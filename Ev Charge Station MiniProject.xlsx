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tables/table4.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Downloads\my files\"/>
    </mc:Choice>
  </mc:AlternateContent>
  <xr:revisionPtr revIDLastSave="0" documentId="8_{E901F6F4-8185-4C0A-88D0-6C4D21852C9B}" xr6:coauthVersionLast="47" xr6:coauthVersionMax="47" xr10:uidLastSave="{00000000-0000-0000-0000-000000000000}"/>
  <bookViews>
    <workbookView xWindow="-120" yWindow="-120" windowWidth="20730" windowHeight="11160" xr2:uid="{00000000-000D-0000-FFFF-FFFF00000000}"/>
  </bookViews>
  <sheets>
    <sheet name="Ev Raw Data" sheetId="4" r:id="rId1"/>
    <sheet name="Ev charging Cleaned" sheetId="1" r:id="rId2"/>
    <sheet name=" Report   " sheetId="3" r:id="rId3"/>
    <sheet name="Dashboads" sheetId="18" r:id="rId4"/>
    <sheet name="Formulas Used" sheetId="5" r:id="rId5"/>
    <sheet name="Pivot" sheetId="9" r:id="rId6"/>
    <sheet name="Pivots Used for Inights" sheetId="17" r:id="rId7"/>
    <sheet name="Table1" sheetId="6" state="hidden" r:id="rId8"/>
  </sheets>
  <definedNames>
    <definedName name="_xlnm._FilterDatabase" localSheetId="1" hidden="1">'Ev charging Cleaned'!$A$1:$N$502</definedName>
    <definedName name="_xlchart.v2.0" hidden="1">'Pivots Used for Inights'!$D$52:$D$59</definedName>
    <definedName name="_xlchart.v2.1" hidden="1">'Pivots Used for Inights'!$E$52:$E$59</definedName>
    <definedName name="_xlchart.v2.2" hidden="1">'Pivots Used for Inights'!$D$52:$D$59</definedName>
    <definedName name="_xlchart.v2.3" hidden="1">'Pivots Used for Inights'!$E$52:$E$59</definedName>
    <definedName name="_xlchart.v2.4" hidden="1">'Pivots Used for Inights'!$H$50</definedName>
    <definedName name="_xlchart.v2.5" hidden="1">'Pivots Used for Inights'!$H$51:$H$58</definedName>
    <definedName name="_xlchart.v2.6" hidden="1">'Pivots Used for Inights'!$I$50</definedName>
    <definedName name="_xlchart.v2.7" hidden="1">'Pivots Used for Inights'!$I$51:$I$58</definedName>
    <definedName name="_xlchart.v2.8" hidden="1">'Pivots Used for Inights'!$D$52:$D$59</definedName>
    <definedName name="_xlchart.v2.9" hidden="1">'Pivots Used for Inights'!$E$52:$E$59</definedName>
    <definedName name="ExternalData_1" localSheetId="7" hidden="1">Table1!$A$1:$B$5</definedName>
    <definedName name="Slicer_Connectors">#N/A</definedName>
    <definedName name="Slicer_Status">#N/A</definedName>
    <definedName name="Slicer_Utilization">#N/A</definedName>
    <definedName name="Slicer_Year">#N/A</definedName>
  </definedNames>
  <calcPr calcId="191029"/>
  <pivotCaches>
    <pivotCache cacheId="0" r:id="rId9"/>
    <pivotCache cacheId="64"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2" i="5" l="1"/>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H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F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V2" i="5"/>
  <c r="V3" i="5"/>
  <c r="V4" i="5"/>
  <c r="V5" i="5"/>
  <c r="V6" i="5"/>
  <c r="V7" i="5"/>
  <c r="V8" i="5"/>
  <c r="V9" i="5"/>
  <c r="V10" i="5"/>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V98" i="5"/>
  <c r="V99" i="5"/>
  <c r="V100" i="5"/>
  <c r="V101" i="5"/>
  <c r="V102" i="5"/>
  <c r="V103" i="5"/>
  <c r="V104" i="5"/>
  <c r="V105" i="5"/>
  <c r="V106" i="5"/>
  <c r="V107" i="5"/>
  <c r="V108" i="5"/>
  <c r="V109" i="5"/>
  <c r="V110" i="5"/>
  <c r="V111" i="5"/>
  <c r="V112" i="5"/>
  <c r="V113" i="5"/>
  <c r="V114" i="5"/>
  <c r="V115" i="5"/>
  <c r="V116" i="5"/>
  <c r="V117" i="5"/>
  <c r="V118" i="5"/>
  <c r="V119" i="5"/>
  <c r="V120" i="5"/>
  <c r="V121" i="5"/>
  <c r="V122" i="5"/>
  <c r="V123" i="5"/>
  <c r="V124" i="5"/>
  <c r="V125" i="5"/>
  <c r="V126" i="5"/>
  <c r="V127" i="5"/>
  <c r="V128" i="5"/>
  <c r="V129" i="5"/>
  <c r="V130" i="5"/>
  <c r="V131" i="5"/>
  <c r="V132" i="5"/>
  <c r="V133" i="5"/>
  <c r="V134" i="5"/>
  <c r="V135" i="5"/>
  <c r="V136" i="5"/>
  <c r="V137" i="5"/>
  <c r="V138" i="5"/>
  <c r="V139" i="5"/>
  <c r="V140" i="5"/>
  <c r="V141" i="5"/>
  <c r="V142" i="5"/>
  <c r="V143" i="5"/>
  <c r="V144" i="5"/>
  <c r="V145" i="5"/>
  <c r="V146" i="5"/>
  <c r="V147" i="5"/>
  <c r="V148" i="5"/>
  <c r="V149" i="5"/>
  <c r="V150" i="5"/>
  <c r="V151" i="5"/>
  <c r="V152" i="5"/>
  <c r="V153" i="5"/>
  <c r="V154" i="5"/>
  <c r="V155" i="5"/>
  <c r="V156" i="5"/>
  <c r="V157" i="5"/>
  <c r="V158" i="5"/>
  <c r="V159" i="5"/>
  <c r="V160" i="5"/>
  <c r="V161" i="5"/>
  <c r="V162" i="5"/>
  <c r="V163" i="5"/>
  <c r="V164" i="5"/>
  <c r="V165" i="5"/>
  <c r="V166" i="5"/>
  <c r="V167" i="5"/>
  <c r="V168" i="5"/>
  <c r="V169" i="5"/>
  <c r="V170" i="5"/>
  <c r="V171" i="5"/>
  <c r="V172" i="5"/>
  <c r="V173" i="5"/>
  <c r="V174" i="5"/>
  <c r="V175" i="5"/>
  <c r="V176" i="5"/>
  <c r="V177" i="5"/>
  <c r="V178" i="5"/>
  <c r="V179" i="5"/>
  <c r="V180" i="5"/>
  <c r="V181" i="5"/>
  <c r="V182" i="5"/>
  <c r="V183" i="5"/>
  <c r="V184" i="5"/>
  <c r="V185" i="5"/>
  <c r="V186" i="5"/>
  <c r="V187" i="5"/>
  <c r="V188" i="5"/>
  <c r="V189" i="5"/>
  <c r="V190" i="5"/>
  <c r="V191" i="5"/>
  <c r="V192" i="5"/>
  <c r="V193" i="5"/>
  <c r="V194" i="5"/>
  <c r="V195" i="5"/>
  <c r="V196" i="5"/>
  <c r="V197" i="5"/>
  <c r="V198" i="5"/>
  <c r="V199" i="5"/>
  <c r="V200" i="5"/>
  <c r="V201" i="5"/>
  <c r="V202" i="5"/>
  <c r="V203" i="5"/>
  <c r="V204" i="5"/>
  <c r="V205" i="5"/>
  <c r="V206" i="5"/>
  <c r="V207" i="5"/>
  <c r="V208" i="5"/>
  <c r="V209" i="5"/>
  <c r="V210" i="5"/>
  <c r="V211" i="5"/>
  <c r="V212" i="5"/>
  <c r="V213" i="5"/>
  <c r="V214" i="5"/>
  <c r="V215" i="5"/>
  <c r="V216" i="5"/>
  <c r="V217" i="5"/>
  <c r="V218" i="5"/>
  <c r="V219" i="5"/>
  <c r="V220" i="5"/>
  <c r="V221" i="5"/>
  <c r="V222" i="5"/>
  <c r="V223" i="5"/>
  <c r="V224" i="5"/>
  <c r="V225" i="5"/>
  <c r="V226" i="5"/>
  <c r="V227" i="5"/>
  <c r="V228" i="5"/>
  <c r="V229" i="5"/>
  <c r="V230" i="5"/>
  <c r="V231" i="5"/>
  <c r="V232" i="5"/>
  <c r="V233" i="5"/>
  <c r="V234" i="5"/>
  <c r="V235" i="5"/>
  <c r="V236" i="5"/>
  <c r="V237" i="5"/>
  <c r="V238" i="5"/>
  <c r="V239" i="5"/>
  <c r="V240" i="5"/>
  <c r="V241" i="5"/>
  <c r="V242" i="5"/>
  <c r="V243" i="5"/>
  <c r="V244" i="5"/>
  <c r="V245" i="5"/>
  <c r="V246" i="5"/>
  <c r="V247" i="5"/>
  <c r="V248" i="5"/>
  <c r="V249" i="5"/>
  <c r="V250" i="5"/>
  <c r="V251" i="5"/>
  <c r="V252" i="5"/>
  <c r="V253" i="5"/>
  <c r="V254" i="5"/>
  <c r="V255" i="5"/>
  <c r="V256" i="5"/>
  <c r="V257" i="5"/>
  <c r="V258" i="5"/>
  <c r="V259" i="5"/>
  <c r="V260" i="5"/>
  <c r="V261" i="5"/>
  <c r="V262" i="5"/>
  <c r="V263" i="5"/>
  <c r="V264" i="5"/>
  <c r="V265" i="5"/>
  <c r="V266" i="5"/>
  <c r="V267" i="5"/>
  <c r="V268" i="5"/>
  <c r="V269" i="5"/>
  <c r="V270" i="5"/>
  <c r="V271" i="5"/>
  <c r="V272" i="5"/>
  <c r="V273" i="5"/>
  <c r="V274" i="5"/>
  <c r="V275" i="5"/>
  <c r="V276" i="5"/>
  <c r="V277" i="5"/>
  <c r="V278" i="5"/>
  <c r="V279" i="5"/>
  <c r="V280" i="5"/>
  <c r="V281" i="5"/>
  <c r="V282" i="5"/>
  <c r="V283" i="5"/>
  <c r="V284" i="5"/>
  <c r="V285" i="5"/>
  <c r="V286" i="5"/>
  <c r="V287" i="5"/>
  <c r="V288" i="5"/>
  <c r="V289" i="5"/>
  <c r="V290" i="5"/>
  <c r="V291" i="5"/>
  <c r="V292" i="5"/>
  <c r="V293" i="5"/>
  <c r="V294" i="5"/>
  <c r="V295" i="5"/>
  <c r="V296" i="5"/>
  <c r="V297" i="5"/>
  <c r="V298" i="5"/>
  <c r="V299" i="5"/>
  <c r="V300" i="5"/>
  <c r="V301" i="5"/>
  <c r="V302" i="5"/>
  <c r="V303" i="5"/>
  <c r="V304" i="5"/>
  <c r="V305" i="5"/>
  <c r="V306" i="5"/>
  <c r="V307" i="5"/>
  <c r="V308" i="5"/>
  <c r="V309" i="5"/>
  <c r="V310" i="5"/>
  <c r="V311" i="5"/>
  <c r="V312" i="5"/>
  <c r="V313" i="5"/>
  <c r="V314" i="5"/>
  <c r="V315" i="5"/>
  <c r="V316" i="5"/>
  <c r="V317" i="5"/>
  <c r="V318" i="5"/>
  <c r="V319" i="5"/>
  <c r="V320" i="5"/>
  <c r="V321" i="5"/>
  <c r="V322" i="5"/>
  <c r="V323" i="5"/>
  <c r="V324" i="5"/>
  <c r="V325" i="5"/>
  <c r="V326" i="5"/>
  <c r="V327" i="5"/>
  <c r="V328" i="5"/>
  <c r="V329" i="5"/>
  <c r="V330" i="5"/>
  <c r="V331" i="5"/>
  <c r="V332" i="5"/>
  <c r="V333" i="5"/>
  <c r="V334" i="5"/>
  <c r="V335" i="5"/>
  <c r="V336" i="5"/>
  <c r="V337" i="5"/>
  <c r="V338" i="5"/>
  <c r="V339" i="5"/>
  <c r="V340" i="5"/>
  <c r="V341" i="5"/>
  <c r="V342" i="5"/>
  <c r="V343" i="5"/>
  <c r="V344" i="5"/>
  <c r="V345" i="5"/>
  <c r="V346" i="5"/>
  <c r="V347" i="5"/>
  <c r="V348" i="5"/>
  <c r="V349" i="5"/>
  <c r="V350" i="5"/>
  <c r="V351" i="5"/>
  <c r="V352" i="5"/>
  <c r="V353" i="5"/>
  <c r="V354" i="5"/>
  <c r="V355" i="5"/>
  <c r="V356" i="5"/>
  <c r="V357" i="5"/>
  <c r="V358" i="5"/>
  <c r="V359" i="5"/>
  <c r="V360" i="5"/>
  <c r="V361" i="5"/>
  <c r="V362" i="5"/>
  <c r="V363" i="5"/>
  <c r="V364" i="5"/>
  <c r="V365" i="5"/>
  <c r="V366" i="5"/>
  <c r="V367" i="5"/>
  <c r="V368" i="5"/>
  <c r="V369" i="5"/>
  <c r="V370" i="5"/>
  <c r="V371" i="5"/>
  <c r="V372" i="5"/>
  <c r="V373" i="5"/>
  <c r="V374" i="5"/>
  <c r="V375" i="5"/>
  <c r="V376" i="5"/>
  <c r="V377" i="5"/>
  <c r="V378" i="5"/>
  <c r="V379" i="5"/>
  <c r="V380" i="5"/>
  <c r="V381" i="5"/>
  <c r="V382" i="5"/>
  <c r="V383" i="5"/>
  <c r="V384" i="5"/>
  <c r="V385" i="5"/>
  <c r="V386" i="5"/>
  <c r="V387" i="5"/>
  <c r="V388" i="5"/>
  <c r="V389" i="5"/>
  <c r="V390" i="5"/>
  <c r="V391" i="5"/>
  <c r="V392" i="5"/>
  <c r="V393" i="5"/>
  <c r="V394" i="5"/>
  <c r="V395" i="5"/>
  <c r="V396" i="5"/>
  <c r="V397" i="5"/>
  <c r="V398" i="5"/>
  <c r="V399" i="5"/>
  <c r="V400" i="5"/>
  <c r="V401" i="5"/>
  <c r="V402" i="5"/>
  <c r="V403" i="5"/>
  <c r="V404" i="5"/>
  <c r="V405" i="5"/>
  <c r="V406" i="5"/>
  <c r="V407" i="5"/>
  <c r="V408" i="5"/>
  <c r="V409" i="5"/>
  <c r="V410" i="5"/>
  <c r="V411" i="5"/>
  <c r="V412" i="5"/>
  <c r="V413" i="5"/>
  <c r="V414" i="5"/>
  <c r="V415" i="5"/>
  <c r="V416" i="5"/>
  <c r="V417" i="5"/>
  <c r="V418" i="5"/>
  <c r="V419" i="5"/>
  <c r="V420" i="5"/>
  <c r="V421" i="5"/>
  <c r="V422" i="5"/>
  <c r="V423" i="5"/>
  <c r="V424" i="5"/>
  <c r="V425" i="5"/>
  <c r="V426" i="5"/>
  <c r="V427" i="5"/>
  <c r="V428" i="5"/>
  <c r="V429" i="5"/>
  <c r="V430" i="5"/>
  <c r="V431" i="5"/>
  <c r="V432" i="5"/>
  <c r="V433" i="5"/>
  <c r="V434" i="5"/>
  <c r="V435" i="5"/>
  <c r="V436" i="5"/>
  <c r="V437" i="5"/>
  <c r="V438" i="5"/>
  <c r="V439" i="5"/>
  <c r="V440" i="5"/>
  <c r="V441" i="5"/>
  <c r="V442" i="5"/>
  <c r="V443" i="5"/>
  <c r="V444" i="5"/>
  <c r="V445" i="5"/>
  <c r="V446" i="5"/>
  <c r="V447" i="5"/>
  <c r="V448" i="5"/>
  <c r="V449" i="5"/>
  <c r="V450" i="5"/>
  <c r="V451" i="5"/>
  <c r="V452" i="5"/>
  <c r="V453" i="5"/>
  <c r="V454" i="5"/>
  <c r="V455" i="5"/>
  <c r="V456" i="5"/>
  <c r="V457" i="5"/>
  <c r="V458" i="5"/>
  <c r="V459" i="5"/>
  <c r="V460" i="5"/>
  <c r="V461" i="5"/>
  <c r="V462" i="5"/>
  <c r="V463" i="5"/>
  <c r="V464" i="5"/>
  <c r="V465" i="5"/>
  <c r="V466" i="5"/>
  <c r="V467" i="5"/>
  <c r="V468" i="5"/>
  <c r="V469" i="5"/>
  <c r="V470" i="5"/>
  <c r="V471" i="5"/>
  <c r="V472" i="5"/>
  <c r="V473" i="5"/>
  <c r="V474" i="5"/>
  <c r="V475" i="5"/>
  <c r="V476" i="5"/>
  <c r="V477" i="5"/>
  <c r="V478" i="5"/>
  <c r="V479" i="5"/>
  <c r="V480" i="5"/>
  <c r="V481" i="5"/>
  <c r="V482" i="5"/>
  <c r="V483" i="5"/>
  <c r="V484" i="5"/>
  <c r="V485" i="5"/>
  <c r="V486" i="5"/>
  <c r="V487" i="5"/>
  <c r="V488" i="5"/>
  <c r="V489" i="5"/>
  <c r="V490" i="5"/>
  <c r="V491" i="5"/>
  <c r="V492" i="5"/>
  <c r="V493" i="5"/>
  <c r="V494" i="5"/>
  <c r="V495" i="5"/>
  <c r="V496" i="5"/>
  <c r="V497" i="5"/>
  <c r="V498" i="5"/>
  <c r="V499" i="5"/>
  <c r="V500" i="5"/>
  <c r="V501" i="5"/>
  <c r="S277" i="5"/>
  <c r="S95" i="5"/>
  <c r="S8" i="5"/>
  <c r="S169" i="5"/>
  <c r="S92" i="5"/>
  <c r="S68" i="5"/>
  <c r="S364" i="5"/>
  <c r="S230" i="5"/>
  <c r="S194" i="5"/>
  <c r="S484" i="5"/>
  <c r="S220" i="5"/>
  <c r="S182" i="5"/>
  <c r="S309" i="5"/>
  <c r="S251" i="5"/>
  <c r="S12" i="5"/>
  <c r="S383" i="5"/>
  <c r="S373" i="5"/>
  <c r="S32" i="5"/>
  <c r="S496" i="5"/>
  <c r="S139" i="5"/>
  <c r="S157" i="5"/>
  <c r="S86" i="5"/>
  <c r="S119" i="5"/>
  <c r="S174" i="5"/>
  <c r="S325" i="5"/>
  <c r="S333" i="5"/>
  <c r="S81" i="5"/>
  <c r="S454" i="5"/>
  <c r="S312" i="5"/>
  <c r="S255" i="5"/>
  <c r="S342" i="5"/>
  <c r="S335" i="5"/>
  <c r="S11" i="5"/>
  <c r="S280" i="5"/>
  <c r="S70" i="5"/>
  <c r="S419" i="5"/>
  <c r="S205" i="5"/>
  <c r="S395" i="5"/>
  <c r="S307" i="5"/>
  <c r="S301" i="5"/>
  <c r="S349" i="5"/>
  <c r="S57" i="5"/>
  <c r="S191" i="5"/>
  <c r="S148" i="5"/>
  <c r="S160" i="5"/>
  <c r="S224" i="5"/>
  <c r="S257" i="5"/>
  <c r="S155" i="5"/>
  <c r="S178" i="5"/>
  <c r="S212" i="5"/>
  <c r="S291" i="5"/>
  <c r="S78" i="5"/>
  <c r="S449" i="5"/>
  <c r="S351" i="5"/>
  <c r="S150" i="5"/>
  <c r="S448" i="5"/>
  <c r="S75" i="5"/>
  <c r="S4" i="5"/>
  <c r="S79" i="5"/>
  <c r="S402" i="5"/>
  <c r="S436" i="5"/>
  <c r="S489" i="5"/>
  <c r="S299" i="5"/>
  <c r="S65" i="5"/>
  <c r="S485" i="5"/>
  <c r="S283" i="5"/>
  <c r="S72" i="5"/>
  <c r="S175" i="5"/>
  <c r="S35" i="5"/>
  <c r="S74" i="5"/>
  <c r="S80" i="5"/>
  <c r="S2" i="5"/>
  <c r="S13" i="5"/>
  <c r="S340" i="5"/>
  <c r="S24" i="5"/>
  <c r="S480" i="5"/>
  <c r="S492" i="5"/>
  <c r="S106" i="5"/>
  <c r="S84" i="5"/>
  <c r="S187" i="5"/>
  <c r="S142" i="5"/>
  <c r="S20" i="5"/>
  <c r="S358" i="5"/>
  <c r="S134" i="5"/>
  <c r="S126" i="5"/>
  <c r="S103" i="5"/>
  <c r="S41" i="5"/>
  <c r="S472" i="5"/>
  <c r="S48" i="5"/>
  <c r="S316" i="5"/>
  <c r="S450" i="5"/>
  <c r="S367" i="5"/>
  <c r="S179" i="5"/>
  <c r="S288" i="5"/>
  <c r="S348" i="5"/>
  <c r="S133" i="5"/>
  <c r="S435" i="5"/>
  <c r="S458" i="5"/>
  <c r="S71" i="5"/>
  <c r="S359" i="5"/>
  <c r="S425" i="5"/>
  <c r="S336" i="5"/>
  <c r="S229" i="5"/>
  <c r="S438" i="5"/>
  <c r="S210" i="5"/>
  <c r="S334" i="5"/>
  <c r="S222" i="5"/>
  <c r="S49" i="5"/>
  <c r="S326" i="5"/>
  <c r="S186" i="5"/>
  <c r="S499" i="5"/>
  <c r="S357" i="5"/>
  <c r="S322" i="5"/>
  <c r="S197" i="5"/>
  <c r="S337" i="5"/>
  <c r="S494" i="5"/>
  <c r="S452" i="5"/>
  <c r="S33" i="5"/>
  <c r="S88" i="5"/>
  <c r="S433" i="5"/>
  <c r="S77" i="5"/>
  <c r="S459" i="5"/>
  <c r="S17" i="5"/>
  <c r="S423" i="5"/>
  <c r="S184" i="5"/>
  <c r="S475" i="5"/>
  <c r="S21" i="5"/>
  <c r="S399" i="5"/>
  <c r="S58" i="5"/>
  <c r="S306" i="5"/>
  <c r="S344" i="5"/>
  <c r="S442" i="5"/>
  <c r="S406" i="5"/>
  <c r="S27" i="5"/>
  <c r="S263" i="5"/>
  <c r="S44" i="5"/>
  <c r="S273" i="5"/>
  <c r="S211" i="5"/>
  <c r="S289" i="5"/>
  <c r="S128" i="5"/>
  <c r="S416" i="5"/>
  <c r="S115" i="5"/>
  <c r="S362" i="5"/>
  <c r="S292" i="5"/>
  <c r="S156" i="5"/>
  <c r="S59" i="5"/>
  <c r="S213" i="5"/>
  <c r="S26" i="5"/>
  <c r="S19" i="5"/>
  <c r="S247" i="5"/>
  <c r="S231" i="5"/>
  <c r="S227" i="5"/>
  <c r="S96" i="5"/>
  <c r="S464" i="5"/>
  <c r="S286" i="5"/>
  <c r="S25" i="5"/>
  <c r="S246" i="5"/>
  <c r="S424" i="5"/>
  <c r="S377" i="5"/>
  <c r="S7" i="5"/>
  <c r="S118" i="5"/>
  <c r="S47" i="5"/>
  <c r="S409" i="5"/>
  <c r="S18" i="5"/>
  <c r="S486" i="5"/>
  <c r="S372" i="5"/>
  <c r="S5" i="5"/>
  <c r="S276" i="5"/>
  <c r="S428" i="5"/>
  <c r="S62" i="5"/>
  <c r="S112" i="5"/>
  <c r="S331" i="5"/>
  <c r="S274" i="5"/>
  <c r="S31" i="5"/>
  <c r="S282" i="5"/>
  <c r="S413" i="5"/>
  <c r="S28" i="5"/>
  <c r="S9" i="5"/>
  <c r="S183" i="5"/>
  <c r="S474" i="5"/>
  <c r="S110" i="5"/>
  <c r="S39" i="5"/>
  <c r="S159" i="5"/>
  <c r="S490" i="5"/>
  <c r="S120" i="5"/>
  <c r="S116" i="5"/>
  <c r="S427" i="5"/>
  <c r="S177" i="5"/>
  <c r="S206" i="5"/>
  <c r="S371" i="5"/>
  <c r="S146" i="5"/>
  <c r="S196" i="5"/>
  <c r="S385" i="5"/>
  <c r="S397" i="5"/>
  <c r="S378" i="5"/>
  <c r="S488" i="5"/>
  <c r="S240" i="5"/>
  <c r="S466" i="5"/>
  <c r="S143" i="5"/>
  <c r="S408" i="5"/>
  <c r="S69" i="5"/>
  <c r="S233" i="5"/>
  <c r="S170" i="5"/>
  <c r="S190" i="5"/>
  <c r="S239" i="5"/>
  <c r="S392" i="5"/>
  <c r="S313" i="5"/>
  <c r="S195" i="5"/>
  <c r="S83" i="5"/>
  <c r="S111" i="5"/>
  <c r="S264" i="5"/>
  <c r="S147" i="5"/>
  <c r="S94" i="5"/>
  <c r="S154" i="5"/>
  <c r="S354" i="5"/>
  <c r="S412" i="5"/>
  <c r="S279" i="5"/>
  <c r="S85" i="5"/>
  <c r="S105" i="5"/>
  <c r="S167" i="5"/>
  <c r="S165" i="5"/>
  <c r="S201" i="5"/>
  <c r="S252" i="5"/>
  <c r="S76" i="5"/>
  <c r="S470" i="5"/>
  <c r="S236" i="5"/>
  <c r="S500" i="5"/>
  <c r="S121" i="5"/>
  <c r="S293" i="5"/>
  <c r="S434" i="5"/>
  <c r="S457" i="5"/>
  <c r="S369" i="5"/>
  <c r="S418" i="5"/>
  <c r="S249" i="5"/>
  <c r="S267" i="5"/>
  <c r="S270" i="5"/>
  <c r="S314" i="5"/>
  <c r="S400" i="5"/>
  <c r="S324" i="5"/>
  <c r="S38" i="5"/>
  <c r="S198" i="5"/>
  <c r="S141" i="5"/>
  <c r="S390" i="5"/>
  <c r="S440" i="5"/>
  <c r="S303" i="5"/>
  <c r="S420" i="5"/>
  <c r="S61" i="5"/>
  <c r="S471" i="5"/>
  <c r="S250" i="5"/>
  <c r="S113" i="5"/>
  <c r="S91" i="5"/>
  <c r="S463" i="5"/>
  <c r="S268" i="5"/>
  <c r="S376" i="5"/>
  <c r="S152" i="5"/>
  <c r="S398" i="5"/>
  <c r="S40" i="5"/>
  <c r="S327" i="5"/>
  <c r="S200" i="5"/>
  <c r="S304" i="5"/>
  <c r="S410" i="5"/>
  <c r="S149" i="5"/>
  <c r="S319" i="5"/>
  <c r="S298" i="5"/>
  <c r="S125" i="5"/>
  <c r="S384" i="5"/>
  <c r="S98" i="5"/>
  <c r="S145" i="5"/>
  <c r="S241" i="5"/>
  <c r="S323" i="5"/>
  <c r="S99" i="5"/>
  <c r="S473" i="5"/>
  <c r="S124" i="5"/>
  <c r="S185" i="5"/>
  <c r="S204" i="5"/>
  <c r="S248" i="5"/>
  <c r="S318" i="5"/>
  <c r="S366" i="5"/>
  <c r="S414" i="5"/>
  <c r="S498" i="5"/>
  <c r="S127" i="5"/>
  <c r="S491" i="5"/>
  <c r="S225" i="5"/>
  <c r="S144" i="5"/>
  <c r="S221" i="5"/>
  <c r="S131" i="5"/>
  <c r="S439" i="5"/>
  <c r="S300" i="5"/>
  <c r="S453" i="5"/>
  <c r="S394" i="5"/>
  <c r="S404" i="5"/>
  <c r="S370" i="5"/>
  <c r="S296" i="5"/>
  <c r="S382" i="5"/>
  <c r="S356" i="5"/>
  <c r="S114" i="5"/>
  <c r="S181" i="5"/>
  <c r="S320" i="5"/>
  <c r="S426" i="5"/>
  <c r="S343" i="5"/>
  <c r="S481" i="5"/>
  <c r="S375" i="5"/>
  <c r="S235" i="5"/>
  <c r="S166" i="5"/>
  <c r="S138" i="5"/>
  <c r="S199" i="5"/>
  <c r="S260" i="5"/>
  <c r="S234" i="5"/>
  <c r="S117" i="5"/>
  <c r="S122" i="5"/>
  <c r="S363" i="5"/>
  <c r="S226" i="5"/>
  <c r="S443" i="5"/>
  <c r="S350" i="5"/>
  <c r="S129" i="5"/>
  <c r="S287" i="5"/>
  <c r="S430" i="5"/>
  <c r="S109" i="5"/>
  <c r="S386" i="5"/>
  <c r="S338" i="5"/>
  <c r="S135" i="5"/>
  <c r="S379" i="5"/>
  <c r="S46" i="5"/>
  <c r="S483" i="5"/>
  <c r="S67" i="5"/>
  <c r="S285" i="5"/>
  <c r="S87" i="5"/>
  <c r="S244" i="5"/>
  <c r="S188" i="5"/>
  <c r="S401" i="5"/>
  <c r="S161" i="5"/>
  <c r="S14" i="5"/>
  <c r="S37" i="5"/>
  <c r="S30" i="5"/>
  <c r="S172" i="5"/>
  <c r="S417" i="5"/>
  <c r="S355" i="5"/>
  <c r="S223" i="5"/>
  <c r="S97" i="5"/>
  <c r="S53" i="5"/>
  <c r="S242" i="5"/>
  <c r="S388" i="5"/>
  <c r="S353" i="5"/>
  <c r="S396" i="5"/>
  <c r="S180" i="5"/>
  <c r="S43" i="5"/>
  <c r="S456" i="5"/>
  <c r="S405" i="5"/>
  <c r="S208" i="5"/>
  <c r="S284" i="5"/>
  <c r="S360" i="5"/>
  <c r="S256" i="5"/>
  <c r="S431" i="5"/>
  <c r="S6" i="5"/>
  <c r="S258" i="5"/>
  <c r="S469" i="5"/>
  <c r="S102" i="5"/>
  <c r="S228" i="5"/>
  <c r="S446" i="5"/>
  <c r="S215" i="5"/>
  <c r="S441" i="5"/>
  <c r="S173" i="5"/>
  <c r="S100" i="5"/>
  <c r="S294" i="5"/>
  <c r="S217" i="5"/>
  <c r="S63" i="5"/>
  <c r="S34" i="5"/>
  <c r="S269" i="5"/>
  <c r="S329" i="5"/>
  <c r="S202" i="5"/>
  <c r="S467" i="5"/>
  <c r="S29" i="5"/>
  <c r="S407" i="5"/>
  <c r="S232" i="5"/>
  <c r="S262" i="5"/>
  <c r="S380" i="5"/>
  <c r="S290" i="5"/>
  <c r="S164" i="5"/>
  <c r="S393" i="5"/>
  <c r="S444" i="5"/>
  <c r="S140" i="5"/>
  <c r="S64" i="5"/>
  <c r="S137" i="5"/>
  <c r="S130" i="5"/>
  <c r="S501" i="5"/>
  <c r="S10" i="5"/>
  <c r="S328" i="5"/>
  <c r="S487" i="5"/>
  <c r="S66" i="5"/>
  <c r="S302" i="5"/>
  <c r="S16" i="5"/>
  <c r="S158" i="5"/>
  <c r="S42" i="5"/>
  <c r="S381" i="5"/>
  <c r="S422" i="5"/>
  <c r="S218" i="5"/>
  <c r="S411" i="5"/>
  <c r="S281" i="5"/>
  <c r="S455" i="5"/>
  <c r="S451" i="5"/>
  <c r="S339" i="5"/>
  <c r="S238" i="5"/>
  <c r="S209" i="5"/>
  <c r="S214" i="5"/>
  <c r="S297" i="5"/>
  <c r="S478" i="5"/>
  <c r="S253" i="5"/>
  <c r="S479" i="5"/>
  <c r="S305" i="5"/>
  <c r="S352" i="5"/>
  <c r="S271" i="5"/>
  <c r="S203" i="5"/>
  <c r="S163" i="5"/>
  <c r="S45" i="5"/>
  <c r="S219" i="5"/>
  <c r="S403" i="5"/>
  <c r="S192" i="5"/>
  <c r="S311" i="5"/>
  <c r="S261" i="5"/>
  <c r="S107" i="5"/>
  <c r="S55" i="5"/>
  <c r="S391" i="5"/>
  <c r="S3" i="5"/>
  <c r="S462" i="5"/>
  <c r="S51" i="5"/>
  <c r="S421" i="5"/>
  <c r="S82" i="5"/>
  <c r="S207" i="5"/>
  <c r="S36" i="5"/>
  <c r="S432" i="5"/>
  <c r="S265" i="5"/>
  <c r="S429" i="5"/>
  <c r="S495" i="5"/>
  <c r="S368" i="5"/>
  <c r="S93" i="5"/>
  <c r="S341" i="5"/>
  <c r="S497" i="5"/>
  <c r="S54" i="5"/>
  <c r="S347" i="5"/>
  <c r="S266" i="5"/>
  <c r="S243" i="5"/>
  <c r="S15" i="5"/>
  <c r="S317" i="5"/>
  <c r="S90" i="5"/>
  <c r="S389" i="5"/>
  <c r="S275" i="5"/>
  <c r="S168" i="5"/>
  <c r="S330" i="5"/>
  <c r="S136" i="5"/>
  <c r="S308" i="5"/>
  <c r="S321" i="5"/>
  <c r="S245" i="5"/>
  <c r="S56" i="5"/>
  <c r="S365" i="5"/>
  <c r="S52" i="5"/>
  <c r="S482" i="5"/>
  <c r="S176" i="5"/>
  <c r="S447" i="5"/>
  <c r="S465" i="5"/>
  <c r="S189" i="5"/>
  <c r="S477" i="5"/>
  <c r="S171" i="5"/>
  <c r="S60" i="5"/>
  <c r="S476" i="5"/>
  <c r="S50" i="5"/>
  <c r="S346" i="5"/>
  <c r="S237" i="5"/>
  <c r="S254" i="5"/>
  <c r="S23" i="5"/>
  <c r="S315" i="5"/>
  <c r="S461" i="5"/>
  <c r="S162" i="5"/>
  <c r="S278" i="5"/>
  <c r="S445" i="5"/>
  <c r="S193" i="5"/>
  <c r="S387" i="5"/>
  <c r="S295" i="5"/>
  <c r="S415" i="5"/>
  <c r="S493" i="5"/>
  <c r="S345" i="5"/>
  <c r="S259" i="5"/>
  <c r="S310" i="5"/>
  <c r="S151" i="5"/>
  <c r="S132" i="5"/>
  <c r="S153" i="5"/>
  <c r="S361" i="5"/>
  <c r="S101" i="5"/>
  <c r="S374" i="5"/>
  <c r="S89" i="5"/>
  <c r="S460" i="5"/>
  <c r="S332" i="5"/>
  <c r="S216" i="5"/>
  <c r="S468" i="5"/>
  <c r="S123" i="5"/>
  <c r="S22" i="5"/>
  <c r="S73" i="5"/>
  <c r="S108" i="5"/>
  <c r="S272" i="5"/>
  <c r="S437" i="5"/>
  <c r="S104" i="5"/>
  <c r="R277" i="5"/>
  <c r="R95" i="5"/>
  <c r="R8" i="5"/>
  <c r="R169" i="5"/>
  <c r="R92" i="5"/>
  <c r="R68" i="5"/>
  <c r="R364" i="5"/>
  <c r="R230" i="5"/>
  <c r="R194" i="5"/>
  <c r="R484" i="5"/>
  <c r="R220" i="5"/>
  <c r="R182" i="5"/>
  <c r="R309" i="5"/>
  <c r="R251" i="5"/>
  <c r="R12" i="5"/>
  <c r="R383" i="5"/>
  <c r="R373" i="5"/>
  <c r="R32" i="5"/>
  <c r="R496" i="5"/>
  <c r="R139" i="5"/>
  <c r="R157" i="5"/>
  <c r="R86" i="5"/>
  <c r="R119" i="5"/>
  <c r="R174" i="5"/>
  <c r="R325" i="5"/>
  <c r="R333" i="5"/>
  <c r="R81" i="5"/>
  <c r="R454" i="5"/>
  <c r="R312" i="5"/>
  <c r="R255" i="5"/>
  <c r="R342" i="5"/>
  <c r="R335" i="5"/>
  <c r="R11" i="5"/>
  <c r="R280" i="5"/>
  <c r="R70" i="5"/>
  <c r="R419" i="5"/>
  <c r="R205" i="5"/>
  <c r="R395" i="5"/>
  <c r="R307" i="5"/>
  <c r="R301" i="5"/>
  <c r="R349" i="5"/>
  <c r="R57" i="5"/>
  <c r="R191" i="5"/>
  <c r="R148" i="5"/>
  <c r="R160" i="5"/>
  <c r="R224" i="5"/>
  <c r="R257" i="5"/>
  <c r="R155" i="5"/>
  <c r="R178" i="5"/>
  <c r="R212" i="5"/>
  <c r="R291" i="5"/>
  <c r="R78" i="5"/>
  <c r="R449" i="5"/>
  <c r="R351" i="5"/>
  <c r="R150" i="5"/>
  <c r="R448" i="5"/>
  <c r="R75" i="5"/>
  <c r="R4" i="5"/>
  <c r="R79" i="5"/>
  <c r="R402" i="5"/>
  <c r="R436" i="5"/>
  <c r="R489" i="5"/>
  <c r="R299" i="5"/>
  <c r="R65" i="5"/>
  <c r="R485" i="5"/>
  <c r="R283" i="5"/>
  <c r="R72" i="5"/>
  <c r="R175" i="5"/>
  <c r="R35" i="5"/>
  <c r="R74" i="5"/>
  <c r="R80" i="5"/>
  <c r="R2" i="5"/>
  <c r="R13" i="5"/>
  <c r="R340" i="5"/>
  <c r="R24" i="5"/>
  <c r="R480" i="5"/>
  <c r="R492" i="5"/>
  <c r="R106" i="5"/>
  <c r="R84" i="5"/>
  <c r="R187" i="5"/>
  <c r="R142" i="5"/>
  <c r="R20" i="5"/>
  <c r="R358" i="5"/>
  <c r="R134" i="5"/>
  <c r="R126" i="5"/>
  <c r="R103" i="5"/>
  <c r="R41" i="5"/>
  <c r="R472" i="5"/>
  <c r="R48" i="5"/>
  <c r="R316" i="5"/>
  <c r="R450" i="5"/>
  <c r="R367" i="5"/>
  <c r="R179" i="5"/>
  <c r="R288" i="5"/>
  <c r="R348" i="5"/>
  <c r="R133" i="5"/>
  <c r="R435" i="5"/>
  <c r="R458" i="5"/>
  <c r="R71" i="5"/>
  <c r="R359" i="5"/>
  <c r="R425" i="5"/>
  <c r="R336" i="5"/>
  <c r="R229" i="5"/>
  <c r="R438" i="5"/>
  <c r="R210" i="5"/>
  <c r="R334" i="5"/>
  <c r="R222" i="5"/>
  <c r="R49" i="5"/>
  <c r="R326" i="5"/>
  <c r="R186" i="5"/>
  <c r="R499" i="5"/>
  <c r="R357" i="5"/>
  <c r="R322" i="5"/>
  <c r="R197" i="5"/>
  <c r="R337" i="5"/>
  <c r="R494" i="5"/>
  <c r="R452" i="5"/>
  <c r="R33" i="5"/>
  <c r="R88" i="5"/>
  <c r="R433" i="5"/>
  <c r="R77" i="5"/>
  <c r="R459" i="5"/>
  <c r="R17" i="5"/>
  <c r="R423" i="5"/>
  <c r="R184" i="5"/>
  <c r="R475" i="5"/>
  <c r="R21" i="5"/>
  <c r="R399" i="5"/>
  <c r="R58" i="5"/>
  <c r="R306" i="5"/>
  <c r="R344" i="5"/>
  <c r="R442" i="5"/>
  <c r="R406" i="5"/>
  <c r="R27" i="5"/>
  <c r="R263" i="5"/>
  <c r="R44" i="5"/>
  <c r="R273" i="5"/>
  <c r="R211" i="5"/>
  <c r="R289" i="5"/>
  <c r="R128" i="5"/>
  <c r="R416" i="5"/>
  <c r="R115" i="5"/>
  <c r="R362" i="5"/>
  <c r="R292" i="5"/>
  <c r="R156" i="5"/>
  <c r="R59" i="5"/>
  <c r="R213" i="5"/>
  <c r="R26" i="5"/>
  <c r="R19" i="5"/>
  <c r="R247" i="5"/>
  <c r="R231" i="5"/>
  <c r="R227" i="5"/>
  <c r="R96" i="5"/>
  <c r="R464" i="5"/>
  <c r="R286" i="5"/>
  <c r="R25" i="5"/>
  <c r="R246" i="5"/>
  <c r="R424" i="5"/>
  <c r="R377" i="5"/>
  <c r="R7" i="5"/>
  <c r="R118" i="5"/>
  <c r="R47" i="5"/>
  <c r="R409" i="5"/>
  <c r="R18" i="5"/>
  <c r="R486" i="5"/>
  <c r="R372" i="5"/>
  <c r="R5" i="5"/>
  <c r="R276" i="5"/>
  <c r="R428" i="5"/>
  <c r="R62" i="5"/>
  <c r="R112" i="5"/>
  <c r="R331" i="5"/>
  <c r="R274" i="5"/>
  <c r="R31" i="5"/>
  <c r="R282" i="5"/>
  <c r="R413" i="5"/>
  <c r="R28" i="5"/>
  <c r="R9" i="5"/>
  <c r="R183" i="5"/>
  <c r="R474" i="5"/>
  <c r="R110" i="5"/>
  <c r="R39" i="5"/>
  <c r="R159" i="5"/>
  <c r="R490" i="5"/>
  <c r="R120" i="5"/>
  <c r="R116" i="5"/>
  <c r="R427" i="5"/>
  <c r="R177" i="5"/>
  <c r="R206" i="5"/>
  <c r="R371" i="5"/>
  <c r="R146" i="5"/>
  <c r="R196" i="5"/>
  <c r="R385" i="5"/>
  <c r="R397" i="5"/>
  <c r="R378" i="5"/>
  <c r="R488" i="5"/>
  <c r="R240" i="5"/>
  <c r="R466" i="5"/>
  <c r="R143" i="5"/>
  <c r="R408" i="5"/>
  <c r="R69" i="5"/>
  <c r="R233" i="5"/>
  <c r="R170" i="5"/>
  <c r="R190" i="5"/>
  <c r="R239" i="5"/>
  <c r="R392" i="5"/>
  <c r="R313" i="5"/>
  <c r="R195" i="5"/>
  <c r="R83" i="5"/>
  <c r="R111" i="5"/>
  <c r="R264" i="5"/>
  <c r="R147" i="5"/>
  <c r="R94" i="5"/>
  <c r="R154" i="5"/>
  <c r="R354" i="5"/>
  <c r="R412" i="5"/>
  <c r="R279" i="5"/>
  <c r="R85" i="5"/>
  <c r="R105" i="5"/>
  <c r="R167" i="5"/>
  <c r="R165" i="5"/>
  <c r="R201" i="5"/>
  <c r="R252" i="5"/>
  <c r="R76" i="5"/>
  <c r="R470" i="5"/>
  <c r="R236" i="5"/>
  <c r="R500" i="5"/>
  <c r="R121" i="5"/>
  <c r="R293" i="5"/>
  <c r="R434" i="5"/>
  <c r="R457" i="5"/>
  <c r="R369" i="5"/>
  <c r="R418" i="5"/>
  <c r="R249" i="5"/>
  <c r="R267" i="5"/>
  <c r="R270" i="5"/>
  <c r="R314" i="5"/>
  <c r="R400" i="5"/>
  <c r="R324" i="5"/>
  <c r="R38" i="5"/>
  <c r="R198" i="5"/>
  <c r="R141" i="5"/>
  <c r="R390" i="5"/>
  <c r="R440" i="5"/>
  <c r="R303" i="5"/>
  <c r="R420" i="5"/>
  <c r="R61" i="5"/>
  <c r="R471" i="5"/>
  <c r="R250" i="5"/>
  <c r="R113" i="5"/>
  <c r="R91" i="5"/>
  <c r="R463" i="5"/>
  <c r="R268" i="5"/>
  <c r="R376" i="5"/>
  <c r="R152" i="5"/>
  <c r="R398" i="5"/>
  <c r="R40" i="5"/>
  <c r="R327" i="5"/>
  <c r="R200" i="5"/>
  <c r="R304" i="5"/>
  <c r="R410" i="5"/>
  <c r="R149" i="5"/>
  <c r="R319" i="5"/>
  <c r="R298" i="5"/>
  <c r="R125" i="5"/>
  <c r="R384" i="5"/>
  <c r="R98" i="5"/>
  <c r="R145" i="5"/>
  <c r="R241" i="5"/>
  <c r="R323" i="5"/>
  <c r="R99" i="5"/>
  <c r="R473" i="5"/>
  <c r="R124" i="5"/>
  <c r="R185" i="5"/>
  <c r="R204" i="5"/>
  <c r="R248" i="5"/>
  <c r="R318" i="5"/>
  <c r="R366" i="5"/>
  <c r="R414" i="5"/>
  <c r="R498" i="5"/>
  <c r="R127" i="5"/>
  <c r="R491" i="5"/>
  <c r="R225" i="5"/>
  <c r="R144" i="5"/>
  <c r="R221" i="5"/>
  <c r="R131" i="5"/>
  <c r="R439" i="5"/>
  <c r="R300" i="5"/>
  <c r="R453" i="5"/>
  <c r="R394" i="5"/>
  <c r="R404" i="5"/>
  <c r="R370" i="5"/>
  <c r="R296" i="5"/>
  <c r="R382" i="5"/>
  <c r="R356" i="5"/>
  <c r="R114" i="5"/>
  <c r="R181" i="5"/>
  <c r="R320" i="5"/>
  <c r="R426" i="5"/>
  <c r="R343" i="5"/>
  <c r="R481" i="5"/>
  <c r="R375" i="5"/>
  <c r="R235" i="5"/>
  <c r="R166" i="5"/>
  <c r="R138" i="5"/>
  <c r="R199" i="5"/>
  <c r="R260" i="5"/>
  <c r="R234" i="5"/>
  <c r="R117" i="5"/>
  <c r="R122" i="5"/>
  <c r="R363" i="5"/>
  <c r="R226" i="5"/>
  <c r="R443" i="5"/>
  <c r="R350" i="5"/>
  <c r="R129" i="5"/>
  <c r="R287" i="5"/>
  <c r="R430" i="5"/>
  <c r="R109" i="5"/>
  <c r="R386" i="5"/>
  <c r="R338" i="5"/>
  <c r="R135" i="5"/>
  <c r="R379" i="5"/>
  <c r="R46" i="5"/>
  <c r="R483" i="5"/>
  <c r="R67" i="5"/>
  <c r="R285" i="5"/>
  <c r="R87" i="5"/>
  <c r="R244" i="5"/>
  <c r="R188" i="5"/>
  <c r="R401" i="5"/>
  <c r="R161" i="5"/>
  <c r="R14" i="5"/>
  <c r="R37" i="5"/>
  <c r="R30" i="5"/>
  <c r="R172" i="5"/>
  <c r="R417" i="5"/>
  <c r="R355" i="5"/>
  <c r="R223" i="5"/>
  <c r="R97" i="5"/>
  <c r="R53" i="5"/>
  <c r="R242" i="5"/>
  <c r="R388" i="5"/>
  <c r="R353" i="5"/>
  <c r="R396" i="5"/>
  <c r="R180" i="5"/>
  <c r="R43" i="5"/>
  <c r="R456" i="5"/>
  <c r="R405" i="5"/>
  <c r="R208" i="5"/>
  <c r="R284" i="5"/>
  <c r="R360" i="5"/>
  <c r="R256" i="5"/>
  <c r="R431" i="5"/>
  <c r="R6" i="5"/>
  <c r="R258" i="5"/>
  <c r="R469" i="5"/>
  <c r="R102" i="5"/>
  <c r="R228" i="5"/>
  <c r="R446" i="5"/>
  <c r="R215" i="5"/>
  <c r="R441" i="5"/>
  <c r="R173" i="5"/>
  <c r="R100" i="5"/>
  <c r="R294" i="5"/>
  <c r="R217" i="5"/>
  <c r="R63" i="5"/>
  <c r="R34" i="5"/>
  <c r="R269" i="5"/>
  <c r="R329" i="5"/>
  <c r="R202" i="5"/>
  <c r="R467" i="5"/>
  <c r="R29" i="5"/>
  <c r="R407" i="5"/>
  <c r="R232" i="5"/>
  <c r="R262" i="5"/>
  <c r="R380" i="5"/>
  <c r="R290" i="5"/>
  <c r="R164" i="5"/>
  <c r="R393" i="5"/>
  <c r="R444" i="5"/>
  <c r="R140" i="5"/>
  <c r="R64" i="5"/>
  <c r="R137" i="5"/>
  <c r="R130" i="5"/>
  <c r="R501" i="5"/>
  <c r="R10" i="5"/>
  <c r="R328" i="5"/>
  <c r="R487" i="5"/>
  <c r="R66" i="5"/>
  <c r="R302" i="5"/>
  <c r="R16" i="5"/>
  <c r="R158" i="5"/>
  <c r="R42" i="5"/>
  <c r="R381" i="5"/>
  <c r="R422" i="5"/>
  <c r="R218" i="5"/>
  <c r="R411" i="5"/>
  <c r="R281" i="5"/>
  <c r="R455" i="5"/>
  <c r="R451" i="5"/>
  <c r="R339" i="5"/>
  <c r="R238" i="5"/>
  <c r="R209" i="5"/>
  <c r="R214" i="5"/>
  <c r="R297" i="5"/>
  <c r="R478" i="5"/>
  <c r="R253" i="5"/>
  <c r="R479" i="5"/>
  <c r="R305" i="5"/>
  <c r="R352" i="5"/>
  <c r="R271" i="5"/>
  <c r="R203" i="5"/>
  <c r="R163" i="5"/>
  <c r="R45" i="5"/>
  <c r="R219" i="5"/>
  <c r="R403" i="5"/>
  <c r="R192" i="5"/>
  <c r="R311" i="5"/>
  <c r="R261" i="5"/>
  <c r="R107" i="5"/>
  <c r="R55" i="5"/>
  <c r="R391" i="5"/>
  <c r="R3" i="5"/>
  <c r="R462" i="5"/>
  <c r="R51" i="5"/>
  <c r="R421" i="5"/>
  <c r="R82" i="5"/>
  <c r="R207" i="5"/>
  <c r="R36" i="5"/>
  <c r="R432" i="5"/>
  <c r="R265" i="5"/>
  <c r="R429" i="5"/>
  <c r="R495" i="5"/>
  <c r="R368" i="5"/>
  <c r="R93" i="5"/>
  <c r="R341" i="5"/>
  <c r="R497" i="5"/>
  <c r="R54" i="5"/>
  <c r="R347" i="5"/>
  <c r="R266" i="5"/>
  <c r="R243" i="5"/>
  <c r="R15" i="5"/>
  <c r="R317" i="5"/>
  <c r="R90" i="5"/>
  <c r="R389" i="5"/>
  <c r="R275" i="5"/>
  <c r="R168" i="5"/>
  <c r="R330" i="5"/>
  <c r="R136" i="5"/>
  <c r="R308" i="5"/>
  <c r="R321" i="5"/>
  <c r="R245" i="5"/>
  <c r="R56" i="5"/>
  <c r="R365" i="5"/>
  <c r="R52" i="5"/>
  <c r="R482" i="5"/>
  <c r="R176" i="5"/>
  <c r="R447" i="5"/>
  <c r="R465" i="5"/>
  <c r="R189" i="5"/>
  <c r="R477" i="5"/>
  <c r="R171" i="5"/>
  <c r="R60" i="5"/>
  <c r="R476" i="5"/>
  <c r="R50" i="5"/>
  <c r="R346" i="5"/>
  <c r="R237" i="5"/>
  <c r="R254" i="5"/>
  <c r="R23" i="5"/>
  <c r="R315" i="5"/>
  <c r="R461" i="5"/>
  <c r="R162" i="5"/>
  <c r="R278" i="5"/>
  <c r="R445" i="5"/>
  <c r="R193" i="5"/>
  <c r="R387" i="5"/>
  <c r="R295" i="5"/>
  <c r="R415" i="5"/>
  <c r="R493" i="5"/>
  <c r="R345" i="5"/>
  <c r="R259" i="5"/>
  <c r="R310" i="5"/>
  <c r="R151" i="5"/>
  <c r="R132" i="5"/>
  <c r="R153" i="5"/>
  <c r="R361" i="5"/>
  <c r="R101" i="5"/>
  <c r="R374" i="5"/>
  <c r="R89" i="5"/>
  <c r="R460" i="5"/>
  <c r="R332" i="5"/>
  <c r="R216" i="5"/>
  <c r="R468" i="5"/>
  <c r="R123" i="5"/>
  <c r="R22" i="5"/>
  <c r="R73" i="5"/>
  <c r="R108" i="5"/>
  <c r="R272" i="5"/>
  <c r="R437" i="5"/>
  <c r="R104" i="5"/>
  <c r="F505" i="5"/>
  <c r="O277" i="5"/>
  <c r="P277" i="5" s="1"/>
  <c r="O95" i="5"/>
  <c r="P95" i="5" s="1"/>
  <c r="O8" i="5"/>
  <c r="P8" i="5" s="1"/>
  <c r="O169" i="5"/>
  <c r="P169" i="5" s="1"/>
  <c r="O92" i="5"/>
  <c r="P92" i="5" s="1"/>
  <c r="O68" i="5"/>
  <c r="P68" i="5" s="1"/>
  <c r="O364" i="5"/>
  <c r="P364" i="5" s="1"/>
  <c r="O230" i="5"/>
  <c r="P230" i="5" s="1"/>
  <c r="O194" i="5"/>
  <c r="P194" i="5" s="1"/>
  <c r="O484" i="5"/>
  <c r="P484" i="5" s="1"/>
  <c r="O220" i="5"/>
  <c r="P220" i="5" s="1"/>
  <c r="O182" i="5"/>
  <c r="P182" i="5" s="1"/>
  <c r="O309" i="5"/>
  <c r="P309" i="5" s="1"/>
  <c r="O251" i="5"/>
  <c r="P251" i="5" s="1"/>
  <c r="O12" i="5"/>
  <c r="P12" i="5" s="1"/>
  <c r="O383" i="5"/>
  <c r="P383" i="5" s="1"/>
  <c r="O373" i="5"/>
  <c r="P373" i="5" s="1"/>
  <c r="O32" i="5"/>
  <c r="P32" i="5" s="1"/>
  <c r="O496" i="5"/>
  <c r="P496" i="5" s="1"/>
  <c r="O139" i="5"/>
  <c r="P139" i="5" s="1"/>
  <c r="O157" i="5"/>
  <c r="P157" i="5" s="1"/>
  <c r="O86" i="5"/>
  <c r="P86" i="5" s="1"/>
  <c r="O119" i="5"/>
  <c r="P119" i="5" s="1"/>
  <c r="O174" i="5"/>
  <c r="P174" i="5" s="1"/>
  <c r="O325" i="5"/>
  <c r="P325" i="5" s="1"/>
  <c r="O333" i="5"/>
  <c r="P333" i="5" s="1"/>
  <c r="O81" i="5"/>
  <c r="P81" i="5" s="1"/>
  <c r="O454" i="5"/>
  <c r="P454" i="5" s="1"/>
  <c r="O312" i="5"/>
  <c r="P312" i="5" s="1"/>
  <c r="O255" i="5"/>
  <c r="P255" i="5" s="1"/>
  <c r="O342" i="5"/>
  <c r="P342" i="5" s="1"/>
  <c r="O335" i="5"/>
  <c r="P335" i="5" s="1"/>
  <c r="O11" i="5"/>
  <c r="P11" i="5" s="1"/>
  <c r="O280" i="5"/>
  <c r="P280" i="5" s="1"/>
  <c r="O70" i="5"/>
  <c r="P70" i="5" s="1"/>
  <c r="O419" i="5"/>
  <c r="P419" i="5" s="1"/>
  <c r="O205" i="5"/>
  <c r="P205" i="5" s="1"/>
  <c r="O395" i="5"/>
  <c r="P395" i="5" s="1"/>
  <c r="O307" i="5"/>
  <c r="P307" i="5" s="1"/>
  <c r="O301" i="5"/>
  <c r="P301" i="5" s="1"/>
  <c r="O349" i="5"/>
  <c r="P349" i="5" s="1"/>
  <c r="O57" i="5"/>
  <c r="P57" i="5" s="1"/>
  <c r="O191" i="5"/>
  <c r="P191" i="5" s="1"/>
  <c r="O148" i="5"/>
  <c r="P148" i="5" s="1"/>
  <c r="O160" i="5"/>
  <c r="P160" i="5" s="1"/>
  <c r="O224" i="5"/>
  <c r="P224" i="5" s="1"/>
  <c r="O257" i="5"/>
  <c r="P257" i="5" s="1"/>
  <c r="O155" i="5"/>
  <c r="P155" i="5" s="1"/>
  <c r="O178" i="5"/>
  <c r="P178" i="5" s="1"/>
  <c r="O212" i="5"/>
  <c r="P212" i="5" s="1"/>
  <c r="O291" i="5"/>
  <c r="P291" i="5" s="1"/>
  <c r="O78" i="5"/>
  <c r="P78" i="5" s="1"/>
  <c r="O449" i="5"/>
  <c r="P449" i="5" s="1"/>
  <c r="O351" i="5"/>
  <c r="P351" i="5" s="1"/>
  <c r="O150" i="5"/>
  <c r="P150" i="5" s="1"/>
  <c r="O448" i="5"/>
  <c r="P448" i="5" s="1"/>
  <c r="O75" i="5"/>
  <c r="P75" i="5" s="1"/>
  <c r="O4" i="5"/>
  <c r="P4" i="5" s="1"/>
  <c r="O79" i="5"/>
  <c r="P79" i="5" s="1"/>
  <c r="O402" i="5"/>
  <c r="P402" i="5" s="1"/>
  <c r="O436" i="5"/>
  <c r="P436" i="5" s="1"/>
  <c r="O489" i="5"/>
  <c r="P489" i="5" s="1"/>
  <c r="O299" i="5"/>
  <c r="P299" i="5" s="1"/>
  <c r="O65" i="5"/>
  <c r="P65" i="5" s="1"/>
  <c r="O485" i="5"/>
  <c r="P485" i="5" s="1"/>
  <c r="O283" i="5"/>
  <c r="P283" i="5" s="1"/>
  <c r="O72" i="5"/>
  <c r="P72" i="5" s="1"/>
  <c r="O175" i="5"/>
  <c r="P175" i="5" s="1"/>
  <c r="O35" i="5"/>
  <c r="P35" i="5" s="1"/>
  <c r="O74" i="5"/>
  <c r="P74" i="5" s="1"/>
  <c r="O80" i="5"/>
  <c r="P80" i="5" s="1"/>
  <c r="O2" i="5"/>
  <c r="P2" i="5" s="1"/>
  <c r="O13" i="5"/>
  <c r="P13" i="5" s="1"/>
  <c r="O340" i="5"/>
  <c r="P340" i="5" s="1"/>
  <c r="O24" i="5"/>
  <c r="P24" i="5" s="1"/>
  <c r="O480" i="5"/>
  <c r="P480" i="5" s="1"/>
  <c r="O492" i="5"/>
  <c r="P492" i="5" s="1"/>
  <c r="O106" i="5"/>
  <c r="P106" i="5" s="1"/>
  <c r="O84" i="5"/>
  <c r="P84" i="5" s="1"/>
  <c r="O187" i="5"/>
  <c r="P187" i="5" s="1"/>
  <c r="O142" i="5"/>
  <c r="P142" i="5" s="1"/>
  <c r="O20" i="5"/>
  <c r="P20" i="5" s="1"/>
  <c r="O358" i="5"/>
  <c r="P358" i="5" s="1"/>
  <c r="O134" i="5"/>
  <c r="P134" i="5" s="1"/>
  <c r="O126" i="5"/>
  <c r="P126" i="5" s="1"/>
  <c r="O103" i="5"/>
  <c r="P103" i="5" s="1"/>
  <c r="O41" i="5"/>
  <c r="P41" i="5" s="1"/>
  <c r="O472" i="5"/>
  <c r="P472" i="5" s="1"/>
  <c r="O48" i="5"/>
  <c r="P48" i="5" s="1"/>
  <c r="O316" i="5"/>
  <c r="P316" i="5" s="1"/>
  <c r="O450" i="5"/>
  <c r="P450" i="5" s="1"/>
  <c r="O367" i="5"/>
  <c r="P367" i="5" s="1"/>
  <c r="O179" i="5"/>
  <c r="P179" i="5" s="1"/>
  <c r="O288" i="5"/>
  <c r="P288" i="5" s="1"/>
  <c r="O348" i="5"/>
  <c r="P348" i="5" s="1"/>
  <c r="O133" i="5"/>
  <c r="P133" i="5" s="1"/>
  <c r="O435" i="5"/>
  <c r="P435" i="5" s="1"/>
  <c r="O458" i="5"/>
  <c r="P458" i="5" s="1"/>
  <c r="O71" i="5"/>
  <c r="P71" i="5" s="1"/>
  <c r="O359" i="5"/>
  <c r="P359" i="5" s="1"/>
  <c r="O425" i="5"/>
  <c r="P425" i="5" s="1"/>
  <c r="O336" i="5"/>
  <c r="P336" i="5" s="1"/>
  <c r="O229" i="5"/>
  <c r="P229" i="5" s="1"/>
  <c r="O438" i="5"/>
  <c r="P438" i="5" s="1"/>
  <c r="O210" i="5"/>
  <c r="P210" i="5" s="1"/>
  <c r="O334" i="5"/>
  <c r="P334" i="5" s="1"/>
  <c r="O222" i="5"/>
  <c r="P222" i="5" s="1"/>
  <c r="O49" i="5"/>
  <c r="P49" i="5" s="1"/>
  <c r="O326" i="5"/>
  <c r="P326" i="5" s="1"/>
  <c r="O186" i="5"/>
  <c r="P186" i="5" s="1"/>
  <c r="O499" i="5"/>
  <c r="P499" i="5" s="1"/>
  <c r="O357" i="5"/>
  <c r="P357" i="5" s="1"/>
  <c r="O322" i="5"/>
  <c r="P322" i="5" s="1"/>
  <c r="O197" i="5"/>
  <c r="P197" i="5" s="1"/>
  <c r="O337" i="5"/>
  <c r="P337" i="5" s="1"/>
  <c r="O494" i="5"/>
  <c r="P494" i="5" s="1"/>
  <c r="O452" i="5"/>
  <c r="P452" i="5" s="1"/>
  <c r="O33" i="5"/>
  <c r="P33" i="5" s="1"/>
  <c r="O88" i="5"/>
  <c r="P88" i="5" s="1"/>
  <c r="O433" i="5"/>
  <c r="P433" i="5" s="1"/>
  <c r="O77" i="5"/>
  <c r="P77" i="5" s="1"/>
  <c r="O459" i="5"/>
  <c r="P459" i="5" s="1"/>
  <c r="O17" i="5"/>
  <c r="P17" i="5" s="1"/>
  <c r="O423" i="5"/>
  <c r="P423" i="5" s="1"/>
  <c r="O184" i="5"/>
  <c r="P184" i="5" s="1"/>
  <c r="O475" i="5"/>
  <c r="P475" i="5" s="1"/>
  <c r="O21" i="5"/>
  <c r="P21" i="5" s="1"/>
  <c r="O399" i="5"/>
  <c r="P399" i="5" s="1"/>
  <c r="O58" i="5"/>
  <c r="P58" i="5" s="1"/>
  <c r="O306" i="5"/>
  <c r="P306" i="5" s="1"/>
  <c r="O344" i="5"/>
  <c r="P344" i="5" s="1"/>
  <c r="O442" i="5"/>
  <c r="P442" i="5" s="1"/>
  <c r="O406" i="5"/>
  <c r="P406" i="5" s="1"/>
  <c r="O27" i="5"/>
  <c r="P27" i="5" s="1"/>
  <c r="O263" i="5"/>
  <c r="P263" i="5" s="1"/>
  <c r="O44" i="5"/>
  <c r="P44" i="5" s="1"/>
  <c r="O273" i="5"/>
  <c r="P273" i="5" s="1"/>
  <c r="O211" i="5"/>
  <c r="P211" i="5" s="1"/>
  <c r="O289" i="5"/>
  <c r="P289" i="5" s="1"/>
  <c r="O128" i="5"/>
  <c r="P128" i="5" s="1"/>
  <c r="O416" i="5"/>
  <c r="P416" i="5" s="1"/>
  <c r="O115" i="5"/>
  <c r="P115" i="5" s="1"/>
  <c r="O362" i="5"/>
  <c r="P362" i="5" s="1"/>
  <c r="O292" i="5"/>
  <c r="P292" i="5" s="1"/>
  <c r="O156" i="5"/>
  <c r="P156" i="5" s="1"/>
  <c r="O59" i="5"/>
  <c r="P59" i="5" s="1"/>
  <c r="O213" i="5"/>
  <c r="P213" i="5" s="1"/>
  <c r="O26" i="5"/>
  <c r="P26" i="5" s="1"/>
  <c r="O19" i="5"/>
  <c r="P19" i="5" s="1"/>
  <c r="O247" i="5"/>
  <c r="P247" i="5" s="1"/>
  <c r="O231" i="5"/>
  <c r="P231" i="5" s="1"/>
  <c r="O227" i="5"/>
  <c r="P227" i="5" s="1"/>
  <c r="O96" i="5"/>
  <c r="P96" i="5" s="1"/>
  <c r="O464" i="5"/>
  <c r="P464" i="5" s="1"/>
  <c r="O286" i="5"/>
  <c r="P286" i="5" s="1"/>
  <c r="O25" i="5"/>
  <c r="P25" i="5" s="1"/>
  <c r="O246" i="5"/>
  <c r="P246" i="5" s="1"/>
  <c r="O424" i="5"/>
  <c r="P424" i="5" s="1"/>
  <c r="O377" i="5"/>
  <c r="P377" i="5" s="1"/>
  <c r="O7" i="5"/>
  <c r="P7" i="5" s="1"/>
  <c r="O118" i="5"/>
  <c r="P118" i="5" s="1"/>
  <c r="O47" i="5"/>
  <c r="P47" i="5" s="1"/>
  <c r="O409" i="5"/>
  <c r="P409" i="5" s="1"/>
  <c r="O18" i="5"/>
  <c r="P18" i="5" s="1"/>
  <c r="O486" i="5"/>
  <c r="P486" i="5" s="1"/>
  <c r="O372" i="5"/>
  <c r="P372" i="5" s="1"/>
  <c r="O5" i="5"/>
  <c r="P5" i="5" s="1"/>
  <c r="O276" i="5"/>
  <c r="P276" i="5" s="1"/>
  <c r="O428" i="5"/>
  <c r="P428" i="5" s="1"/>
  <c r="O62" i="5"/>
  <c r="P62" i="5" s="1"/>
  <c r="O112" i="5"/>
  <c r="P112" i="5" s="1"/>
  <c r="O331" i="5"/>
  <c r="P331" i="5" s="1"/>
  <c r="O274" i="5"/>
  <c r="P274" i="5" s="1"/>
  <c r="O31" i="5"/>
  <c r="P31" i="5" s="1"/>
  <c r="O282" i="5"/>
  <c r="P282" i="5" s="1"/>
  <c r="O413" i="5"/>
  <c r="P413" i="5" s="1"/>
  <c r="O28" i="5"/>
  <c r="P28" i="5" s="1"/>
  <c r="O9" i="5"/>
  <c r="P9" i="5" s="1"/>
  <c r="O183" i="5"/>
  <c r="P183" i="5" s="1"/>
  <c r="O474" i="5"/>
  <c r="P474" i="5" s="1"/>
  <c r="O110" i="5"/>
  <c r="P110" i="5" s="1"/>
  <c r="O39" i="5"/>
  <c r="P39" i="5" s="1"/>
  <c r="O159" i="5"/>
  <c r="P159" i="5" s="1"/>
  <c r="O490" i="5"/>
  <c r="P490" i="5" s="1"/>
  <c r="O120" i="5"/>
  <c r="P120" i="5" s="1"/>
  <c r="O116" i="5"/>
  <c r="P116" i="5" s="1"/>
  <c r="O427" i="5"/>
  <c r="P427" i="5" s="1"/>
  <c r="O177" i="5"/>
  <c r="P177" i="5" s="1"/>
  <c r="O206" i="5"/>
  <c r="P206" i="5" s="1"/>
  <c r="O371" i="5"/>
  <c r="P371" i="5" s="1"/>
  <c r="O146" i="5"/>
  <c r="P146" i="5" s="1"/>
  <c r="O196" i="5"/>
  <c r="P196" i="5" s="1"/>
  <c r="O385" i="5"/>
  <c r="P385" i="5" s="1"/>
  <c r="O397" i="5"/>
  <c r="P397" i="5" s="1"/>
  <c r="O378" i="5"/>
  <c r="P378" i="5" s="1"/>
  <c r="O488" i="5"/>
  <c r="P488" i="5" s="1"/>
  <c r="O240" i="5"/>
  <c r="P240" i="5" s="1"/>
  <c r="O466" i="5"/>
  <c r="P466" i="5" s="1"/>
  <c r="O143" i="5"/>
  <c r="P143" i="5" s="1"/>
  <c r="O408" i="5"/>
  <c r="P408" i="5" s="1"/>
  <c r="O69" i="5"/>
  <c r="P69" i="5" s="1"/>
  <c r="O233" i="5"/>
  <c r="P233" i="5" s="1"/>
  <c r="O170" i="5"/>
  <c r="P170" i="5" s="1"/>
  <c r="O190" i="5"/>
  <c r="P190" i="5" s="1"/>
  <c r="O239" i="5"/>
  <c r="P239" i="5" s="1"/>
  <c r="O392" i="5"/>
  <c r="P392" i="5" s="1"/>
  <c r="O313" i="5"/>
  <c r="P313" i="5" s="1"/>
  <c r="O195" i="5"/>
  <c r="P195" i="5" s="1"/>
  <c r="O83" i="5"/>
  <c r="P83" i="5" s="1"/>
  <c r="O111" i="5"/>
  <c r="P111" i="5" s="1"/>
  <c r="O264" i="5"/>
  <c r="P264" i="5" s="1"/>
  <c r="O147" i="5"/>
  <c r="P147" i="5" s="1"/>
  <c r="O94" i="5"/>
  <c r="P94" i="5" s="1"/>
  <c r="O154" i="5"/>
  <c r="P154" i="5" s="1"/>
  <c r="O354" i="5"/>
  <c r="P354" i="5" s="1"/>
  <c r="O412" i="5"/>
  <c r="P412" i="5" s="1"/>
  <c r="O279" i="5"/>
  <c r="P279" i="5" s="1"/>
  <c r="O85" i="5"/>
  <c r="P85" i="5" s="1"/>
  <c r="O105" i="5"/>
  <c r="P105" i="5" s="1"/>
  <c r="O167" i="5"/>
  <c r="P167" i="5" s="1"/>
  <c r="O165" i="5"/>
  <c r="P165" i="5" s="1"/>
  <c r="O201" i="5"/>
  <c r="P201" i="5" s="1"/>
  <c r="O252" i="5"/>
  <c r="P252" i="5" s="1"/>
  <c r="O76" i="5"/>
  <c r="P76" i="5" s="1"/>
  <c r="O470" i="5"/>
  <c r="P470" i="5" s="1"/>
  <c r="O236" i="5"/>
  <c r="P236" i="5" s="1"/>
  <c r="O500" i="5"/>
  <c r="P500" i="5" s="1"/>
  <c r="O121" i="5"/>
  <c r="P121" i="5" s="1"/>
  <c r="O293" i="5"/>
  <c r="P293" i="5" s="1"/>
  <c r="O434" i="5"/>
  <c r="P434" i="5" s="1"/>
  <c r="O457" i="5"/>
  <c r="P457" i="5" s="1"/>
  <c r="O369" i="5"/>
  <c r="P369" i="5" s="1"/>
  <c r="O418" i="5"/>
  <c r="P418" i="5" s="1"/>
  <c r="O249" i="5"/>
  <c r="P249" i="5" s="1"/>
  <c r="O267" i="5"/>
  <c r="P267" i="5" s="1"/>
  <c r="O270" i="5"/>
  <c r="P270" i="5" s="1"/>
  <c r="O314" i="5"/>
  <c r="P314" i="5" s="1"/>
  <c r="O400" i="5"/>
  <c r="P400" i="5" s="1"/>
  <c r="O324" i="5"/>
  <c r="P324" i="5" s="1"/>
  <c r="O38" i="5"/>
  <c r="P38" i="5" s="1"/>
  <c r="O198" i="5"/>
  <c r="P198" i="5" s="1"/>
  <c r="O141" i="5"/>
  <c r="P141" i="5" s="1"/>
  <c r="O390" i="5"/>
  <c r="P390" i="5" s="1"/>
  <c r="O440" i="5"/>
  <c r="P440" i="5" s="1"/>
  <c r="O303" i="5"/>
  <c r="P303" i="5" s="1"/>
  <c r="O420" i="5"/>
  <c r="P420" i="5" s="1"/>
  <c r="O61" i="5"/>
  <c r="P61" i="5" s="1"/>
  <c r="O471" i="5"/>
  <c r="P471" i="5" s="1"/>
  <c r="O250" i="5"/>
  <c r="P250" i="5" s="1"/>
  <c r="O113" i="5"/>
  <c r="P113" i="5" s="1"/>
  <c r="O91" i="5"/>
  <c r="P91" i="5" s="1"/>
  <c r="O463" i="5"/>
  <c r="P463" i="5" s="1"/>
  <c r="O268" i="5"/>
  <c r="P268" i="5" s="1"/>
  <c r="O376" i="5"/>
  <c r="P376" i="5" s="1"/>
  <c r="O152" i="5"/>
  <c r="P152" i="5" s="1"/>
  <c r="O398" i="5"/>
  <c r="P398" i="5" s="1"/>
  <c r="O40" i="5"/>
  <c r="P40" i="5" s="1"/>
  <c r="O327" i="5"/>
  <c r="P327" i="5" s="1"/>
  <c r="O200" i="5"/>
  <c r="P200" i="5" s="1"/>
  <c r="O304" i="5"/>
  <c r="P304" i="5" s="1"/>
  <c r="O410" i="5"/>
  <c r="P410" i="5" s="1"/>
  <c r="O149" i="5"/>
  <c r="P149" i="5" s="1"/>
  <c r="O319" i="5"/>
  <c r="P319" i="5" s="1"/>
  <c r="O298" i="5"/>
  <c r="P298" i="5" s="1"/>
  <c r="O125" i="5"/>
  <c r="P125" i="5" s="1"/>
  <c r="O384" i="5"/>
  <c r="P384" i="5" s="1"/>
  <c r="O98" i="5"/>
  <c r="P98" i="5" s="1"/>
  <c r="O145" i="5"/>
  <c r="P145" i="5" s="1"/>
  <c r="O241" i="5"/>
  <c r="P241" i="5" s="1"/>
  <c r="O323" i="5"/>
  <c r="P323" i="5" s="1"/>
  <c r="O99" i="5"/>
  <c r="P99" i="5" s="1"/>
  <c r="O473" i="5"/>
  <c r="P473" i="5" s="1"/>
  <c r="O124" i="5"/>
  <c r="P124" i="5" s="1"/>
  <c r="O185" i="5"/>
  <c r="P185" i="5" s="1"/>
  <c r="O204" i="5"/>
  <c r="P204" i="5" s="1"/>
  <c r="O248" i="5"/>
  <c r="P248" i="5" s="1"/>
  <c r="O318" i="5"/>
  <c r="P318" i="5" s="1"/>
  <c r="O366" i="5"/>
  <c r="P366" i="5" s="1"/>
  <c r="O414" i="5"/>
  <c r="P414" i="5" s="1"/>
  <c r="O498" i="5"/>
  <c r="P498" i="5" s="1"/>
  <c r="O127" i="5"/>
  <c r="P127" i="5" s="1"/>
  <c r="O491" i="5"/>
  <c r="P491" i="5" s="1"/>
  <c r="O225" i="5"/>
  <c r="P225" i="5" s="1"/>
  <c r="O144" i="5"/>
  <c r="P144" i="5" s="1"/>
  <c r="O221" i="5"/>
  <c r="P221" i="5" s="1"/>
  <c r="O131" i="5"/>
  <c r="P131" i="5" s="1"/>
  <c r="O439" i="5"/>
  <c r="P439" i="5" s="1"/>
  <c r="O300" i="5"/>
  <c r="P300" i="5" s="1"/>
  <c r="O453" i="5"/>
  <c r="P453" i="5" s="1"/>
  <c r="O394" i="5"/>
  <c r="P394" i="5" s="1"/>
  <c r="O404" i="5"/>
  <c r="P404" i="5" s="1"/>
  <c r="O370" i="5"/>
  <c r="P370" i="5" s="1"/>
  <c r="O296" i="5"/>
  <c r="P296" i="5" s="1"/>
  <c r="O382" i="5"/>
  <c r="P382" i="5" s="1"/>
  <c r="O356" i="5"/>
  <c r="P356" i="5" s="1"/>
  <c r="O114" i="5"/>
  <c r="P114" i="5" s="1"/>
  <c r="O181" i="5"/>
  <c r="P181" i="5" s="1"/>
  <c r="O320" i="5"/>
  <c r="P320" i="5" s="1"/>
  <c r="O426" i="5"/>
  <c r="P426" i="5" s="1"/>
  <c r="O343" i="5"/>
  <c r="P343" i="5" s="1"/>
  <c r="O481" i="5"/>
  <c r="P481" i="5" s="1"/>
  <c r="O375" i="5"/>
  <c r="P375" i="5" s="1"/>
  <c r="O235" i="5"/>
  <c r="P235" i="5" s="1"/>
  <c r="O166" i="5"/>
  <c r="P166" i="5" s="1"/>
  <c r="O138" i="5"/>
  <c r="P138" i="5" s="1"/>
  <c r="O199" i="5"/>
  <c r="P199" i="5" s="1"/>
  <c r="O260" i="5"/>
  <c r="P260" i="5" s="1"/>
  <c r="O234" i="5"/>
  <c r="P234" i="5" s="1"/>
  <c r="O117" i="5"/>
  <c r="P117" i="5" s="1"/>
  <c r="O122" i="5"/>
  <c r="P122" i="5" s="1"/>
  <c r="O363" i="5"/>
  <c r="P363" i="5" s="1"/>
  <c r="O226" i="5"/>
  <c r="P226" i="5" s="1"/>
  <c r="O443" i="5"/>
  <c r="P443" i="5" s="1"/>
  <c r="O350" i="5"/>
  <c r="P350" i="5" s="1"/>
  <c r="O129" i="5"/>
  <c r="P129" i="5" s="1"/>
  <c r="O287" i="5"/>
  <c r="P287" i="5" s="1"/>
  <c r="O430" i="5"/>
  <c r="P430" i="5" s="1"/>
  <c r="O109" i="5"/>
  <c r="P109" i="5" s="1"/>
  <c r="O386" i="5"/>
  <c r="P386" i="5" s="1"/>
  <c r="O338" i="5"/>
  <c r="P338" i="5" s="1"/>
  <c r="O135" i="5"/>
  <c r="P135" i="5" s="1"/>
  <c r="O379" i="5"/>
  <c r="P379" i="5" s="1"/>
  <c r="O46" i="5"/>
  <c r="P46" i="5" s="1"/>
  <c r="O483" i="5"/>
  <c r="P483" i="5" s="1"/>
  <c r="O67" i="5"/>
  <c r="P67" i="5" s="1"/>
  <c r="O285" i="5"/>
  <c r="P285" i="5" s="1"/>
  <c r="O87" i="5"/>
  <c r="P87" i="5" s="1"/>
  <c r="O244" i="5"/>
  <c r="P244" i="5" s="1"/>
  <c r="O188" i="5"/>
  <c r="P188" i="5" s="1"/>
  <c r="O401" i="5"/>
  <c r="P401" i="5" s="1"/>
  <c r="O161" i="5"/>
  <c r="P161" i="5" s="1"/>
  <c r="O14" i="5"/>
  <c r="P14" i="5" s="1"/>
  <c r="O37" i="5"/>
  <c r="P37" i="5" s="1"/>
  <c r="O30" i="5"/>
  <c r="P30" i="5" s="1"/>
  <c r="O172" i="5"/>
  <c r="P172" i="5" s="1"/>
  <c r="O417" i="5"/>
  <c r="P417" i="5" s="1"/>
  <c r="O355" i="5"/>
  <c r="P355" i="5" s="1"/>
  <c r="O223" i="5"/>
  <c r="P223" i="5" s="1"/>
  <c r="O97" i="5"/>
  <c r="P97" i="5" s="1"/>
  <c r="O53" i="5"/>
  <c r="P53" i="5" s="1"/>
  <c r="O242" i="5"/>
  <c r="P242" i="5" s="1"/>
  <c r="O388" i="5"/>
  <c r="P388" i="5" s="1"/>
  <c r="O353" i="5"/>
  <c r="P353" i="5" s="1"/>
  <c r="O396" i="5"/>
  <c r="P396" i="5" s="1"/>
  <c r="O180" i="5"/>
  <c r="P180" i="5" s="1"/>
  <c r="O43" i="5"/>
  <c r="P43" i="5" s="1"/>
  <c r="O456" i="5"/>
  <c r="P456" i="5" s="1"/>
  <c r="O405" i="5"/>
  <c r="P405" i="5" s="1"/>
  <c r="O208" i="5"/>
  <c r="P208" i="5" s="1"/>
  <c r="O284" i="5"/>
  <c r="P284" i="5" s="1"/>
  <c r="O360" i="5"/>
  <c r="P360" i="5" s="1"/>
  <c r="O256" i="5"/>
  <c r="P256" i="5" s="1"/>
  <c r="O431" i="5"/>
  <c r="P431" i="5" s="1"/>
  <c r="O6" i="5"/>
  <c r="P6" i="5" s="1"/>
  <c r="O258" i="5"/>
  <c r="P258" i="5" s="1"/>
  <c r="O469" i="5"/>
  <c r="P469" i="5" s="1"/>
  <c r="O102" i="5"/>
  <c r="P102" i="5" s="1"/>
  <c r="O228" i="5"/>
  <c r="P228" i="5" s="1"/>
  <c r="O446" i="5"/>
  <c r="P446" i="5" s="1"/>
  <c r="O215" i="5"/>
  <c r="P215" i="5" s="1"/>
  <c r="O441" i="5"/>
  <c r="P441" i="5" s="1"/>
  <c r="O173" i="5"/>
  <c r="P173" i="5" s="1"/>
  <c r="O100" i="5"/>
  <c r="P100" i="5" s="1"/>
  <c r="O294" i="5"/>
  <c r="P294" i="5" s="1"/>
  <c r="O217" i="5"/>
  <c r="P217" i="5" s="1"/>
  <c r="O63" i="5"/>
  <c r="P63" i="5" s="1"/>
  <c r="O34" i="5"/>
  <c r="P34" i="5" s="1"/>
  <c r="O269" i="5"/>
  <c r="P269" i="5" s="1"/>
  <c r="O329" i="5"/>
  <c r="P329" i="5" s="1"/>
  <c r="O202" i="5"/>
  <c r="P202" i="5" s="1"/>
  <c r="O467" i="5"/>
  <c r="P467" i="5" s="1"/>
  <c r="O29" i="5"/>
  <c r="P29" i="5" s="1"/>
  <c r="O407" i="5"/>
  <c r="P407" i="5" s="1"/>
  <c r="O232" i="5"/>
  <c r="P232" i="5" s="1"/>
  <c r="O262" i="5"/>
  <c r="P262" i="5" s="1"/>
  <c r="O380" i="5"/>
  <c r="P380" i="5" s="1"/>
  <c r="O290" i="5"/>
  <c r="P290" i="5" s="1"/>
  <c r="O164" i="5"/>
  <c r="P164" i="5" s="1"/>
  <c r="O393" i="5"/>
  <c r="P393" i="5" s="1"/>
  <c r="O444" i="5"/>
  <c r="P444" i="5" s="1"/>
  <c r="O140" i="5"/>
  <c r="P140" i="5" s="1"/>
  <c r="O64" i="5"/>
  <c r="P64" i="5" s="1"/>
  <c r="O137" i="5"/>
  <c r="P137" i="5" s="1"/>
  <c r="O130" i="5"/>
  <c r="P130" i="5" s="1"/>
  <c r="O501" i="5"/>
  <c r="P501" i="5" s="1"/>
  <c r="O10" i="5"/>
  <c r="P10" i="5" s="1"/>
  <c r="O328" i="5"/>
  <c r="P328" i="5" s="1"/>
  <c r="O487" i="5"/>
  <c r="P487" i="5" s="1"/>
  <c r="O66" i="5"/>
  <c r="P66" i="5" s="1"/>
  <c r="O302" i="5"/>
  <c r="P302" i="5" s="1"/>
  <c r="O16" i="5"/>
  <c r="P16" i="5" s="1"/>
  <c r="O158" i="5"/>
  <c r="P158" i="5" s="1"/>
  <c r="O42" i="5"/>
  <c r="P42" i="5" s="1"/>
  <c r="O381" i="5"/>
  <c r="P381" i="5" s="1"/>
  <c r="O422" i="5"/>
  <c r="P422" i="5" s="1"/>
  <c r="O218" i="5"/>
  <c r="P218" i="5" s="1"/>
  <c r="O411" i="5"/>
  <c r="P411" i="5" s="1"/>
  <c r="O281" i="5"/>
  <c r="P281" i="5" s="1"/>
  <c r="O455" i="5"/>
  <c r="P455" i="5" s="1"/>
  <c r="O451" i="5"/>
  <c r="P451" i="5" s="1"/>
  <c r="O339" i="5"/>
  <c r="P339" i="5" s="1"/>
  <c r="O238" i="5"/>
  <c r="P238" i="5" s="1"/>
  <c r="O209" i="5"/>
  <c r="P209" i="5" s="1"/>
  <c r="O214" i="5"/>
  <c r="P214" i="5" s="1"/>
  <c r="O297" i="5"/>
  <c r="P297" i="5" s="1"/>
  <c r="O478" i="5"/>
  <c r="P478" i="5" s="1"/>
  <c r="O253" i="5"/>
  <c r="P253" i="5" s="1"/>
  <c r="O479" i="5"/>
  <c r="P479" i="5" s="1"/>
  <c r="O305" i="5"/>
  <c r="P305" i="5" s="1"/>
  <c r="O352" i="5"/>
  <c r="P352" i="5" s="1"/>
  <c r="O271" i="5"/>
  <c r="P271" i="5" s="1"/>
  <c r="O203" i="5"/>
  <c r="P203" i="5" s="1"/>
  <c r="O163" i="5"/>
  <c r="P163" i="5" s="1"/>
  <c r="O45" i="5"/>
  <c r="P45" i="5" s="1"/>
  <c r="O219" i="5"/>
  <c r="P219" i="5" s="1"/>
  <c r="O403" i="5"/>
  <c r="P403" i="5" s="1"/>
  <c r="O192" i="5"/>
  <c r="P192" i="5" s="1"/>
  <c r="O311" i="5"/>
  <c r="P311" i="5" s="1"/>
  <c r="O261" i="5"/>
  <c r="P261" i="5" s="1"/>
  <c r="O107" i="5"/>
  <c r="P107" i="5" s="1"/>
  <c r="O55" i="5"/>
  <c r="P55" i="5" s="1"/>
  <c r="O391" i="5"/>
  <c r="P391" i="5" s="1"/>
  <c r="O3" i="5"/>
  <c r="P3" i="5" s="1"/>
  <c r="O462" i="5"/>
  <c r="P462" i="5" s="1"/>
  <c r="O51" i="5"/>
  <c r="P51" i="5" s="1"/>
  <c r="O421" i="5"/>
  <c r="P421" i="5" s="1"/>
  <c r="O82" i="5"/>
  <c r="P82" i="5" s="1"/>
  <c r="O207" i="5"/>
  <c r="P207" i="5" s="1"/>
  <c r="O36" i="5"/>
  <c r="P36" i="5" s="1"/>
  <c r="O432" i="5"/>
  <c r="P432" i="5" s="1"/>
  <c r="O265" i="5"/>
  <c r="P265" i="5" s="1"/>
  <c r="O429" i="5"/>
  <c r="P429" i="5" s="1"/>
  <c r="O495" i="5"/>
  <c r="P495" i="5" s="1"/>
  <c r="O368" i="5"/>
  <c r="P368" i="5" s="1"/>
  <c r="O93" i="5"/>
  <c r="P93" i="5" s="1"/>
  <c r="O341" i="5"/>
  <c r="P341" i="5" s="1"/>
  <c r="O497" i="5"/>
  <c r="P497" i="5" s="1"/>
  <c r="O54" i="5"/>
  <c r="P54" i="5" s="1"/>
  <c r="O347" i="5"/>
  <c r="P347" i="5" s="1"/>
  <c r="O266" i="5"/>
  <c r="P266" i="5" s="1"/>
  <c r="O243" i="5"/>
  <c r="P243" i="5" s="1"/>
  <c r="O15" i="5"/>
  <c r="P15" i="5" s="1"/>
  <c r="O317" i="5"/>
  <c r="P317" i="5" s="1"/>
  <c r="O90" i="5"/>
  <c r="P90" i="5" s="1"/>
  <c r="O389" i="5"/>
  <c r="P389" i="5" s="1"/>
  <c r="O275" i="5"/>
  <c r="P275" i="5" s="1"/>
  <c r="O168" i="5"/>
  <c r="P168" i="5" s="1"/>
  <c r="O330" i="5"/>
  <c r="P330" i="5" s="1"/>
  <c r="O136" i="5"/>
  <c r="P136" i="5" s="1"/>
  <c r="O308" i="5"/>
  <c r="P308" i="5" s="1"/>
  <c r="O321" i="5"/>
  <c r="P321" i="5" s="1"/>
  <c r="O245" i="5"/>
  <c r="P245" i="5" s="1"/>
  <c r="O56" i="5"/>
  <c r="P56" i="5" s="1"/>
  <c r="O365" i="5"/>
  <c r="P365" i="5" s="1"/>
  <c r="O52" i="5"/>
  <c r="P52" i="5" s="1"/>
  <c r="O482" i="5"/>
  <c r="P482" i="5" s="1"/>
  <c r="O176" i="5"/>
  <c r="P176" i="5" s="1"/>
  <c r="O447" i="5"/>
  <c r="P447" i="5" s="1"/>
  <c r="O465" i="5"/>
  <c r="P465" i="5" s="1"/>
  <c r="O189" i="5"/>
  <c r="P189" i="5" s="1"/>
  <c r="O477" i="5"/>
  <c r="P477" i="5" s="1"/>
  <c r="O171" i="5"/>
  <c r="P171" i="5" s="1"/>
  <c r="O60" i="5"/>
  <c r="P60" i="5" s="1"/>
  <c r="O476" i="5"/>
  <c r="P476" i="5" s="1"/>
  <c r="O50" i="5"/>
  <c r="P50" i="5" s="1"/>
  <c r="O346" i="5"/>
  <c r="P346" i="5" s="1"/>
  <c r="O237" i="5"/>
  <c r="P237" i="5" s="1"/>
  <c r="O254" i="5"/>
  <c r="P254" i="5" s="1"/>
  <c r="O23" i="5"/>
  <c r="P23" i="5" s="1"/>
  <c r="O315" i="5"/>
  <c r="P315" i="5" s="1"/>
  <c r="O461" i="5"/>
  <c r="P461" i="5" s="1"/>
  <c r="O162" i="5"/>
  <c r="P162" i="5" s="1"/>
  <c r="O278" i="5"/>
  <c r="P278" i="5" s="1"/>
  <c r="O445" i="5"/>
  <c r="P445" i="5" s="1"/>
  <c r="O193" i="5"/>
  <c r="P193" i="5" s="1"/>
  <c r="O387" i="5"/>
  <c r="P387" i="5" s="1"/>
  <c r="O295" i="5"/>
  <c r="P295" i="5" s="1"/>
  <c r="O415" i="5"/>
  <c r="P415" i="5" s="1"/>
  <c r="O493" i="5"/>
  <c r="P493" i="5" s="1"/>
  <c r="O345" i="5"/>
  <c r="P345" i="5" s="1"/>
  <c r="O259" i="5"/>
  <c r="P259" i="5" s="1"/>
  <c r="O310" i="5"/>
  <c r="P310" i="5" s="1"/>
  <c r="O151" i="5"/>
  <c r="P151" i="5" s="1"/>
  <c r="O132" i="5"/>
  <c r="P132" i="5" s="1"/>
  <c r="O153" i="5"/>
  <c r="P153" i="5" s="1"/>
  <c r="O361" i="5"/>
  <c r="P361" i="5" s="1"/>
  <c r="O101" i="5"/>
  <c r="P101" i="5" s="1"/>
  <c r="O374" i="5"/>
  <c r="P374" i="5" s="1"/>
  <c r="O89" i="5"/>
  <c r="P89" i="5" s="1"/>
  <c r="O460" i="5"/>
  <c r="P460" i="5" s="1"/>
  <c r="O332" i="5"/>
  <c r="P332" i="5" s="1"/>
  <c r="O216" i="5"/>
  <c r="P216" i="5" s="1"/>
  <c r="O468" i="5"/>
  <c r="P468" i="5" s="1"/>
  <c r="O123" i="5"/>
  <c r="P123" i="5" s="1"/>
  <c r="O22" i="5"/>
  <c r="P22" i="5" s="1"/>
  <c r="O73" i="5"/>
  <c r="P73" i="5" s="1"/>
  <c r="O108" i="5"/>
  <c r="P108" i="5" s="1"/>
  <c r="O272" i="5"/>
  <c r="P272" i="5" s="1"/>
  <c r="O437" i="5"/>
  <c r="P437" i="5" s="1"/>
  <c r="O104" i="5"/>
  <c r="P104" i="5" s="1"/>
  <c r="M277" i="5"/>
  <c r="N277" i="5" s="1"/>
  <c r="U277" i="5" s="1"/>
  <c r="M95" i="5"/>
  <c r="N95" i="5" s="1"/>
  <c r="U95" i="5" s="1"/>
  <c r="M8" i="5"/>
  <c r="N8" i="5" s="1"/>
  <c r="M169" i="5"/>
  <c r="N169" i="5" s="1"/>
  <c r="U169" i="5" s="1"/>
  <c r="M92" i="5"/>
  <c r="N92" i="5" s="1"/>
  <c r="M68" i="5"/>
  <c r="N68" i="5" s="1"/>
  <c r="M364" i="5"/>
  <c r="N364" i="5" s="1"/>
  <c r="M230" i="5"/>
  <c r="N230" i="5" s="1"/>
  <c r="U230" i="5" s="1"/>
  <c r="M194" i="5"/>
  <c r="N194" i="5" s="1"/>
  <c r="U194" i="5" s="1"/>
  <c r="M484" i="5"/>
  <c r="N484" i="5" s="1"/>
  <c r="U484" i="5" s="1"/>
  <c r="M220" i="5"/>
  <c r="N220" i="5" s="1"/>
  <c r="M182" i="5"/>
  <c r="N182" i="5" s="1"/>
  <c r="U182" i="5" s="1"/>
  <c r="M309" i="5"/>
  <c r="N309" i="5" s="1"/>
  <c r="U309" i="5" s="1"/>
  <c r="M251" i="5"/>
  <c r="N251" i="5" s="1"/>
  <c r="U251" i="5" s="1"/>
  <c r="M12" i="5"/>
  <c r="N12" i="5" s="1"/>
  <c r="M383" i="5"/>
  <c r="N383" i="5" s="1"/>
  <c r="U383" i="5" s="1"/>
  <c r="M373" i="5"/>
  <c r="N373" i="5" s="1"/>
  <c r="U373" i="5" s="1"/>
  <c r="M32" i="5"/>
  <c r="N32" i="5" s="1"/>
  <c r="W32" i="5" s="1"/>
  <c r="M496" i="5"/>
  <c r="N496" i="5" s="1"/>
  <c r="M139" i="5"/>
  <c r="N139" i="5" s="1"/>
  <c r="U139" i="5" s="1"/>
  <c r="M157" i="5"/>
  <c r="N157" i="5" s="1"/>
  <c r="U157" i="5" s="1"/>
  <c r="M86" i="5"/>
  <c r="N86" i="5" s="1"/>
  <c r="U86" i="5" s="1"/>
  <c r="M119" i="5"/>
  <c r="N119" i="5" s="1"/>
  <c r="M174" i="5"/>
  <c r="N174" i="5" s="1"/>
  <c r="U174" i="5" s="1"/>
  <c r="M325" i="5"/>
  <c r="N325" i="5" s="1"/>
  <c r="U325" i="5" s="1"/>
  <c r="M333" i="5"/>
  <c r="N333" i="5" s="1"/>
  <c r="U333" i="5" s="1"/>
  <c r="M81" i="5"/>
  <c r="N81" i="5" s="1"/>
  <c r="M454" i="5"/>
  <c r="N454" i="5" s="1"/>
  <c r="U454" i="5" s="1"/>
  <c r="M312" i="5"/>
  <c r="N312" i="5" s="1"/>
  <c r="U312" i="5" s="1"/>
  <c r="M255" i="5"/>
  <c r="N255" i="5" s="1"/>
  <c r="U255" i="5" s="1"/>
  <c r="M342" i="5"/>
  <c r="N342" i="5" s="1"/>
  <c r="M335" i="5"/>
  <c r="N335" i="5" s="1"/>
  <c r="U335" i="5" s="1"/>
  <c r="M11" i="5"/>
  <c r="N11" i="5" s="1"/>
  <c r="U11" i="5" s="1"/>
  <c r="M280" i="5"/>
  <c r="N280" i="5" s="1"/>
  <c r="U280" i="5" s="1"/>
  <c r="M70" i="5"/>
  <c r="N70" i="5" s="1"/>
  <c r="M419" i="5"/>
  <c r="N419" i="5" s="1"/>
  <c r="W419" i="5" s="1"/>
  <c r="M205" i="5"/>
  <c r="N205" i="5" s="1"/>
  <c r="U205" i="5" s="1"/>
  <c r="M395" i="5"/>
  <c r="N395" i="5" s="1"/>
  <c r="U395" i="5" s="1"/>
  <c r="M307" i="5"/>
  <c r="N307" i="5" s="1"/>
  <c r="M301" i="5"/>
  <c r="N301" i="5" s="1"/>
  <c r="U301" i="5" s="1"/>
  <c r="M349" i="5"/>
  <c r="N349" i="5" s="1"/>
  <c r="U349" i="5" s="1"/>
  <c r="M57" i="5"/>
  <c r="N57" i="5" s="1"/>
  <c r="U57" i="5" s="1"/>
  <c r="M191" i="5"/>
  <c r="N191" i="5" s="1"/>
  <c r="M148" i="5"/>
  <c r="N148" i="5" s="1"/>
  <c r="U148" i="5" s="1"/>
  <c r="M160" i="5"/>
  <c r="N160" i="5" s="1"/>
  <c r="U160" i="5" s="1"/>
  <c r="M224" i="5"/>
  <c r="N224" i="5" s="1"/>
  <c r="U224" i="5" s="1"/>
  <c r="M257" i="5"/>
  <c r="N257" i="5" s="1"/>
  <c r="U257" i="5" s="1"/>
  <c r="M155" i="5"/>
  <c r="N155" i="5" s="1"/>
  <c r="U155" i="5" s="1"/>
  <c r="M178" i="5"/>
  <c r="N178" i="5" s="1"/>
  <c r="W178" i="5" s="1"/>
  <c r="M212" i="5"/>
  <c r="N212" i="5" s="1"/>
  <c r="U212" i="5" s="1"/>
  <c r="M291" i="5"/>
  <c r="N291" i="5" s="1"/>
  <c r="M78" i="5"/>
  <c r="N78" i="5" s="1"/>
  <c r="U78" i="5" s="1"/>
  <c r="M449" i="5"/>
  <c r="N449" i="5" s="1"/>
  <c r="U449" i="5" s="1"/>
  <c r="M351" i="5"/>
  <c r="N351" i="5" s="1"/>
  <c r="U351" i="5" s="1"/>
  <c r="M150" i="5"/>
  <c r="N150" i="5" s="1"/>
  <c r="M448" i="5"/>
  <c r="N448" i="5" s="1"/>
  <c r="U448" i="5" s="1"/>
  <c r="M75" i="5"/>
  <c r="N75" i="5" s="1"/>
  <c r="U75" i="5" s="1"/>
  <c r="M4" i="5"/>
  <c r="N4" i="5" s="1"/>
  <c r="M79" i="5"/>
  <c r="N79" i="5" s="1"/>
  <c r="M402" i="5"/>
  <c r="N402" i="5" s="1"/>
  <c r="U402" i="5" s="1"/>
  <c r="M436" i="5"/>
  <c r="N436" i="5" s="1"/>
  <c r="U436" i="5" s="1"/>
  <c r="M489" i="5"/>
  <c r="N489" i="5" s="1"/>
  <c r="U489" i="5" s="1"/>
  <c r="M299" i="5"/>
  <c r="N299" i="5" s="1"/>
  <c r="M65" i="5"/>
  <c r="N65" i="5" s="1"/>
  <c r="U65" i="5" s="1"/>
  <c r="M485" i="5"/>
  <c r="N485" i="5" s="1"/>
  <c r="U485" i="5" s="1"/>
  <c r="M283" i="5"/>
  <c r="N283" i="5" s="1"/>
  <c r="U283" i="5" s="1"/>
  <c r="M72" i="5"/>
  <c r="N72" i="5" s="1"/>
  <c r="M175" i="5"/>
  <c r="N175" i="5" s="1"/>
  <c r="U175" i="5" s="1"/>
  <c r="M35" i="5"/>
  <c r="N35" i="5" s="1"/>
  <c r="M74" i="5"/>
  <c r="N74" i="5" s="1"/>
  <c r="U74" i="5" s="1"/>
  <c r="M80" i="5"/>
  <c r="N80" i="5" s="1"/>
  <c r="M2" i="5"/>
  <c r="N2" i="5" s="1"/>
  <c r="U2" i="5" s="1"/>
  <c r="M13" i="5"/>
  <c r="N13" i="5" s="1"/>
  <c r="U13" i="5" s="1"/>
  <c r="M340" i="5"/>
  <c r="N340" i="5" s="1"/>
  <c r="U340" i="5" s="1"/>
  <c r="M24" i="5"/>
  <c r="N24" i="5" s="1"/>
  <c r="M480" i="5"/>
  <c r="N480" i="5" s="1"/>
  <c r="U480" i="5" s="1"/>
  <c r="M492" i="5"/>
  <c r="N492" i="5" s="1"/>
  <c r="U492" i="5" s="1"/>
  <c r="M106" i="5"/>
  <c r="N106" i="5" s="1"/>
  <c r="U106" i="5" s="1"/>
  <c r="M84" i="5"/>
  <c r="N84" i="5" s="1"/>
  <c r="M187" i="5"/>
  <c r="N187" i="5" s="1"/>
  <c r="U187" i="5" s="1"/>
  <c r="M142" i="5"/>
  <c r="N142" i="5" s="1"/>
  <c r="U142" i="5" s="1"/>
  <c r="M20" i="5"/>
  <c r="N20" i="5" s="1"/>
  <c r="M358" i="5"/>
  <c r="N358" i="5" s="1"/>
  <c r="M134" i="5"/>
  <c r="N134" i="5" s="1"/>
  <c r="U134" i="5" s="1"/>
  <c r="M126" i="5"/>
  <c r="N126" i="5" s="1"/>
  <c r="U126" i="5" s="1"/>
  <c r="M103" i="5"/>
  <c r="N103" i="5" s="1"/>
  <c r="U103" i="5" s="1"/>
  <c r="M41" i="5"/>
  <c r="N41" i="5" s="1"/>
  <c r="M472" i="5"/>
  <c r="N472" i="5" s="1"/>
  <c r="U472" i="5" s="1"/>
  <c r="M48" i="5"/>
  <c r="N48" i="5" s="1"/>
  <c r="W48" i="5" s="1"/>
  <c r="M316" i="5"/>
  <c r="N316" i="5" s="1"/>
  <c r="W316" i="5" s="1"/>
  <c r="M450" i="5"/>
  <c r="N450" i="5" s="1"/>
  <c r="M367" i="5"/>
  <c r="N367" i="5" s="1"/>
  <c r="U367" i="5" s="1"/>
  <c r="M179" i="5"/>
  <c r="N179" i="5" s="1"/>
  <c r="U179" i="5" s="1"/>
  <c r="M288" i="5"/>
  <c r="N288" i="5" s="1"/>
  <c r="U288" i="5" s="1"/>
  <c r="M348" i="5"/>
  <c r="N348" i="5" s="1"/>
  <c r="M133" i="5"/>
  <c r="N133" i="5" s="1"/>
  <c r="U133" i="5" s="1"/>
  <c r="M435" i="5"/>
  <c r="N435" i="5" s="1"/>
  <c r="W435" i="5" s="1"/>
  <c r="M458" i="5"/>
  <c r="N458" i="5" s="1"/>
  <c r="U458" i="5" s="1"/>
  <c r="M71" i="5"/>
  <c r="N71" i="5" s="1"/>
  <c r="M359" i="5"/>
  <c r="N359" i="5" s="1"/>
  <c r="U359" i="5" s="1"/>
  <c r="M425" i="5"/>
  <c r="N425" i="5" s="1"/>
  <c r="U425" i="5" s="1"/>
  <c r="M336" i="5"/>
  <c r="N336" i="5" s="1"/>
  <c r="U336" i="5" s="1"/>
  <c r="M229" i="5"/>
  <c r="N229" i="5" s="1"/>
  <c r="M438" i="5"/>
  <c r="N438" i="5" s="1"/>
  <c r="U438" i="5" s="1"/>
  <c r="M210" i="5"/>
  <c r="N210" i="5" s="1"/>
  <c r="U210" i="5" s="1"/>
  <c r="M334" i="5"/>
  <c r="N334" i="5" s="1"/>
  <c r="U334" i="5" s="1"/>
  <c r="M222" i="5"/>
  <c r="N222" i="5" s="1"/>
  <c r="M49" i="5"/>
  <c r="N49" i="5" s="1"/>
  <c r="W49" i="5" s="1"/>
  <c r="M326" i="5"/>
  <c r="N326" i="5" s="1"/>
  <c r="U326" i="5" s="1"/>
  <c r="M186" i="5"/>
  <c r="N186" i="5" s="1"/>
  <c r="U186" i="5" s="1"/>
  <c r="M499" i="5"/>
  <c r="N499" i="5" s="1"/>
  <c r="M357" i="5"/>
  <c r="N357" i="5" s="1"/>
  <c r="U357" i="5" s="1"/>
  <c r="M322" i="5"/>
  <c r="N322" i="5" s="1"/>
  <c r="U322" i="5" s="1"/>
  <c r="M197" i="5"/>
  <c r="N197" i="5" s="1"/>
  <c r="U197" i="5" s="1"/>
  <c r="M337" i="5"/>
  <c r="N337" i="5" s="1"/>
  <c r="U337" i="5" s="1"/>
  <c r="M494" i="5"/>
  <c r="N494" i="5" s="1"/>
  <c r="W494" i="5" s="1"/>
  <c r="M452" i="5"/>
  <c r="N452" i="5" s="1"/>
  <c r="U452" i="5" s="1"/>
  <c r="M33" i="5"/>
  <c r="N33" i="5" s="1"/>
  <c r="U33" i="5" s="1"/>
  <c r="M88" i="5"/>
  <c r="N88" i="5" s="1"/>
  <c r="M433" i="5"/>
  <c r="N433" i="5" s="1"/>
  <c r="U433" i="5" s="1"/>
  <c r="M77" i="5"/>
  <c r="N77" i="5" s="1"/>
  <c r="U77" i="5" s="1"/>
  <c r="M459" i="5"/>
  <c r="N459" i="5" s="1"/>
  <c r="U459" i="5" s="1"/>
  <c r="M17" i="5"/>
  <c r="N17" i="5" s="1"/>
  <c r="M423" i="5"/>
  <c r="N423" i="5" s="1"/>
  <c r="U423" i="5" s="1"/>
  <c r="M184" i="5"/>
  <c r="N184" i="5" s="1"/>
  <c r="U184" i="5" s="1"/>
  <c r="M475" i="5"/>
  <c r="N475" i="5" s="1"/>
  <c r="U475" i="5" s="1"/>
  <c r="M21" i="5"/>
  <c r="N21" i="5" s="1"/>
  <c r="M399" i="5"/>
  <c r="N399" i="5" s="1"/>
  <c r="U399" i="5" s="1"/>
  <c r="M58" i="5"/>
  <c r="N58" i="5" s="1"/>
  <c r="U58" i="5" s="1"/>
  <c r="M306" i="5"/>
  <c r="N306" i="5" s="1"/>
  <c r="U306" i="5" s="1"/>
  <c r="M344" i="5"/>
  <c r="N344" i="5" s="1"/>
  <c r="M442" i="5"/>
  <c r="N442" i="5" s="1"/>
  <c r="U442" i="5" s="1"/>
  <c r="M406" i="5"/>
  <c r="N406" i="5" s="1"/>
  <c r="U406" i="5" s="1"/>
  <c r="M27" i="5"/>
  <c r="N27" i="5" s="1"/>
  <c r="U27" i="5" s="1"/>
  <c r="M263" i="5"/>
  <c r="N263" i="5" s="1"/>
  <c r="M44" i="5"/>
  <c r="N44" i="5" s="1"/>
  <c r="M273" i="5"/>
  <c r="N273" i="5" s="1"/>
  <c r="U273" i="5" s="1"/>
  <c r="M211" i="5"/>
  <c r="N211" i="5" s="1"/>
  <c r="U211" i="5" s="1"/>
  <c r="M289" i="5"/>
  <c r="N289" i="5" s="1"/>
  <c r="U289" i="5" s="1"/>
  <c r="M128" i="5"/>
  <c r="N128" i="5" s="1"/>
  <c r="W128" i="5" s="1"/>
  <c r="M416" i="5"/>
  <c r="N416" i="5" s="1"/>
  <c r="U416" i="5" s="1"/>
  <c r="M115" i="5"/>
  <c r="N115" i="5" s="1"/>
  <c r="U115" i="5" s="1"/>
  <c r="M362" i="5"/>
  <c r="N362" i="5" s="1"/>
  <c r="M292" i="5"/>
  <c r="N292" i="5" s="1"/>
  <c r="U292" i="5" s="1"/>
  <c r="M156" i="5"/>
  <c r="N156" i="5" s="1"/>
  <c r="U156" i="5" s="1"/>
  <c r="M59" i="5"/>
  <c r="N59" i="5" s="1"/>
  <c r="U59" i="5" s="1"/>
  <c r="M213" i="5"/>
  <c r="N213" i="5" s="1"/>
  <c r="M26" i="5"/>
  <c r="N26" i="5" s="1"/>
  <c r="U26" i="5" s="1"/>
  <c r="M19" i="5"/>
  <c r="N19" i="5" s="1"/>
  <c r="M247" i="5"/>
  <c r="N247" i="5" s="1"/>
  <c r="U247" i="5" s="1"/>
  <c r="M231" i="5"/>
  <c r="N231" i="5" s="1"/>
  <c r="M227" i="5"/>
  <c r="N227" i="5" s="1"/>
  <c r="U227" i="5" s="1"/>
  <c r="M96" i="5"/>
  <c r="N96" i="5" s="1"/>
  <c r="M464" i="5"/>
  <c r="N464" i="5" s="1"/>
  <c r="U464" i="5" s="1"/>
  <c r="M286" i="5"/>
  <c r="N286" i="5" s="1"/>
  <c r="M25" i="5"/>
  <c r="N25" i="5" s="1"/>
  <c r="M246" i="5"/>
  <c r="N246" i="5" s="1"/>
  <c r="U246" i="5" s="1"/>
  <c r="M424" i="5"/>
  <c r="N424" i="5" s="1"/>
  <c r="U424" i="5" s="1"/>
  <c r="M377" i="5"/>
  <c r="N377" i="5" s="1"/>
  <c r="U377" i="5" s="1"/>
  <c r="M7" i="5"/>
  <c r="N7" i="5" s="1"/>
  <c r="U7" i="5" s="1"/>
  <c r="M118" i="5"/>
  <c r="N118" i="5" s="1"/>
  <c r="U118" i="5" s="1"/>
  <c r="M47" i="5"/>
  <c r="N47" i="5" s="1"/>
  <c r="U47" i="5" s="1"/>
  <c r="M409" i="5"/>
  <c r="N409" i="5" s="1"/>
  <c r="U409" i="5" s="1"/>
  <c r="M18" i="5"/>
  <c r="N18" i="5" s="1"/>
  <c r="U18" i="5" s="1"/>
  <c r="M486" i="5"/>
  <c r="N486" i="5" s="1"/>
  <c r="W486" i="5" s="1"/>
  <c r="M372" i="5"/>
  <c r="N372" i="5" s="1"/>
  <c r="U372" i="5" s="1"/>
  <c r="M5" i="5"/>
  <c r="N5" i="5" s="1"/>
  <c r="M276" i="5"/>
  <c r="N276" i="5" s="1"/>
  <c r="U276" i="5" s="1"/>
  <c r="M428" i="5"/>
  <c r="N428" i="5" s="1"/>
  <c r="U428" i="5" s="1"/>
  <c r="M62" i="5"/>
  <c r="N62" i="5" s="1"/>
  <c r="U62" i="5" s="1"/>
  <c r="M112" i="5"/>
  <c r="N112" i="5" s="1"/>
  <c r="M331" i="5"/>
  <c r="N331" i="5" s="1"/>
  <c r="U331" i="5" s="1"/>
  <c r="M274" i="5"/>
  <c r="N274" i="5" s="1"/>
  <c r="U274" i="5" s="1"/>
  <c r="M31" i="5"/>
  <c r="N31" i="5" s="1"/>
  <c r="U31" i="5" s="1"/>
  <c r="M282" i="5"/>
  <c r="N282" i="5" s="1"/>
  <c r="M413" i="5"/>
  <c r="N413" i="5" s="1"/>
  <c r="U413" i="5" s="1"/>
  <c r="M28" i="5"/>
  <c r="N28" i="5" s="1"/>
  <c r="M9" i="5"/>
  <c r="N9" i="5" s="1"/>
  <c r="M183" i="5"/>
  <c r="N183" i="5" s="1"/>
  <c r="M474" i="5"/>
  <c r="N474" i="5" s="1"/>
  <c r="U474" i="5" s="1"/>
  <c r="M110" i="5"/>
  <c r="N110" i="5" s="1"/>
  <c r="U110" i="5" s="1"/>
  <c r="M39" i="5"/>
  <c r="N39" i="5" s="1"/>
  <c r="U39" i="5" s="1"/>
  <c r="M159" i="5"/>
  <c r="N159" i="5" s="1"/>
  <c r="M490" i="5"/>
  <c r="N490" i="5" s="1"/>
  <c r="U490" i="5" s="1"/>
  <c r="M120" i="5"/>
  <c r="N120" i="5" s="1"/>
  <c r="M116" i="5"/>
  <c r="N116" i="5" s="1"/>
  <c r="M427" i="5"/>
  <c r="N427" i="5" s="1"/>
  <c r="M177" i="5"/>
  <c r="N177" i="5" s="1"/>
  <c r="U177" i="5" s="1"/>
  <c r="M206" i="5"/>
  <c r="N206" i="5" s="1"/>
  <c r="U206" i="5" s="1"/>
  <c r="M371" i="5"/>
  <c r="N371" i="5" s="1"/>
  <c r="W371" i="5" s="1"/>
  <c r="M146" i="5"/>
  <c r="N146" i="5" s="1"/>
  <c r="M196" i="5"/>
  <c r="N196" i="5" s="1"/>
  <c r="U196" i="5" s="1"/>
  <c r="M385" i="5"/>
  <c r="N385" i="5" s="1"/>
  <c r="U385" i="5" s="1"/>
  <c r="M397" i="5"/>
  <c r="N397" i="5" s="1"/>
  <c r="U397" i="5" s="1"/>
  <c r="M378" i="5"/>
  <c r="N378" i="5" s="1"/>
  <c r="M488" i="5"/>
  <c r="N488" i="5" s="1"/>
  <c r="U488" i="5" s="1"/>
  <c r="M240" i="5"/>
  <c r="N240" i="5" s="1"/>
  <c r="W240" i="5" s="1"/>
  <c r="M466" i="5"/>
  <c r="N466" i="5" s="1"/>
  <c r="U466" i="5" s="1"/>
  <c r="M143" i="5"/>
  <c r="N143" i="5" s="1"/>
  <c r="M408" i="5"/>
  <c r="N408" i="5" s="1"/>
  <c r="U408" i="5" s="1"/>
  <c r="M69" i="5"/>
  <c r="N69" i="5" s="1"/>
  <c r="U69" i="5" s="1"/>
  <c r="M233" i="5"/>
  <c r="N233" i="5" s="1"/>
  <c r="U233" i="5" s="1"/>
  <c r="M170" i="5"/>
  <c r="N170" i="5" s="1"/>
  <c r="M190" i="5"/>
  <c r="N190" i="5" s="1"/>
  <c r="U190" i="5" s="1"/>
  <c r="M239" i="5"/>
  <c r="N239" i="5" s="1"/>
  <c r="U239" i="5" s="1"/>
  <c r="M392" i="5"/>
  <c r="N392" i="5" s="1"/>
  <c r="U392" i="5" s="1"/>
  <c r="M313" i="5"/>
  <c r="N313" i="5" s="1"/>
  <c r="U313" i="5" s="1"/>
  <c r="M195" i="5"/>
  <c r="N195" i="5" s="1"/>
  <c r="U195" i="5" s="1"/>
  <c r="M83" i="5"/>
  <c r="N83" i="5" s="1"/>
  <c r="U83" i="5" s="1"/>
  <c r="M111" i="5"/>
  <c r="N111" i="5" s="1"/>
  <c r="U111" i="5" s="1"/>
  <c r="M264" i="5"/>
  <c r="N264" i="5" s="1"/>
  <c r="M147" i="5"/>
  <c r="N147" i="5" s="1"/>
  <c r="U147" i="5" s="1"/>
  <c r="M94" i="5"/>
  <c r="N94" i="5" s="1"/>
  <c r="U94" i="5" s="1"/>
  <c r="M154" i="5"/>
  <c r="N154" i="5" s="1"/>
  <c r="U154" i="5" s="1"/>
  <c r="M354" i="5"/>
  <c r="N354" i="5" s="1"/>
  <c r="M412" i="5"/>
  <c r="N412" i="5" s="1"/>
  <c r="U412" i="5" s="1"/>
  <c r="M279" i="5"/>
  <c r="N279" i="5" s="1"/>
  <c r="U279" i="5" s="1"/>
  <c r="M85" i="5"/>
  <c r="N85" i="5" s="1"/>
  <c r="U85" i="5" s="1"/>
  <c r="M105" i="5"/>
  <c r="N105" i="5" s="1"/>
  <c r="M167" i="5"/>
  <c r="N167" i="5" s="1"/>
  <c r="U167" i="5" s="1"/>
  <c r="M165" i="5"/>
  <c r="N165" i="5" s="1"/>
  <c r="U165" i="5" s="1"/>
  <c r="M201" i="5"/>
  <c r="N201" i="5" s="1"/>
  <c r="U201" i="5" s="1"/>
  <c r="M252" i="5"/>
  <c r="N252" i="5" s="1"/>
  <c r="M76" i="5"/>
  <c r="N76" i="5" s="1"/>
  <c r="M470" i="5"/>
  <c r="N470" i="5" s="1"/>
  <c r="U470" i="5" s="1"/>
  <c r="M236" i="5"/>
  <c r="N236" i="5" s="1"/>
  <c r="U236" i="5" s="1"/>
  <c r="M500" i="5"/>
  <c r="N500" i="5" s="1"/>
  <c r="M121" i="5"/>
  <c r="N121" i="5" s="1"/>
  <c r="U121" i="5" s="1"/>
  <c r="M293" i="5"/>
  <c r="N293" i="5" s="1"/>
  <c r="U293" i="5" s="1"/>
  <c r="M434" i="5"/>
  <c r="N434" i="5" s="1"/>
  <c r="U434" i="5" s="1"/>
  <c r="M457" i="5"/>
  <c r="N457" i="5" s="1"/>
  <c r="U457" i="5" s="1"/>
  <c r="M369" i="5"/>
  <c r="N369" i="5" s="1"/>
  <c r="U369" i="5" s="1"/>
  <c r="M418" i="5"/>
  <c r="N418" i="5" s="1"/>
  <c r="W418" i="5" s="1"/>
  <c r="M249" i="5"/>
  <c r="N249" i="5" s="1"/>
  <c r="U249" i="5" s="1"/>
  <c r="M267" i="5"/>
  <c r="N267" i="5" s="1"/>
  <c r="M270" i="5"/>
  <c r="N270" i="5" s="1"/>
  <c r="U270" i="5" s="1"/>
  <c r="M314" i="5"/>
  <c r="N314" i="5" s="1"/>
  <c r="U314" i="5" s="1"/>
  <c r="M400" i="5"/>
  <c r="N400" i="5" s="1"/>
  <c r="U400" i="5" s="1"/>
  <c r="M324" i="5"/>
  <c r="N324" i="5" s="1"/>
  <c r="M38" i="5"/>
  <c r="N38" i="5" s="1"/>
  <c r="U38" i="5" s="1"/>
  <c r="M198" i="5"/>
  <c r="N198" i="5" s="1"/>
  <c r="U198" i="5" s="1"/>
  <c r="M141" i="5"/>
  <c r="N141" i="5" s="1"/>
  <c r="U141" i="5" s="1"/>
  <c r="M390" i="5"/>
  <c r="N390" i="5" s="1"/>
  <c r="M440" i="5"/>
  <c r="N440" i="5" s="1"/>
  <c r="U440" i="5" s="1"/>
  <c r="M303" i="5"/>
  <c r="N303" i="5" s="1"/>
  <c r="U303" i="5" s="1"/>
  <c r="M420" i="5"/>
  <c r="N420" i="5" s="1"/>
  <c r="U420" i="5" s="1"/>
  <c r="M61" i="5"/>
  <c r="N61" i="5" s="1"/>
  <c r="M471" i="5"/>
  <c r="N471" i="5" s="1"/>
  <c r="U471" i="5" s="1"/>
  <c r="M250" i="5"/>
  <c r="N250" i="5" s="1"/>
  <c r="U250" i="5" s="1"/>
  <c r="M113" i="5"/>
  <c r="N113" i="5" s="1"/>
  <c r="W113" i="5" s="1"/>
  <c r="M91" i="5"/>
  <c r="N91" i="5" s="1"/>
  <c r="M463" i="5"/>
  <c r="N463" i="5" s="1"/>
  <c r="U463" i="5" s="1"/>
  <c r="M268" i="5"/>
  <c r="N268" i="5" s="1"/>
  <c r="W268" i="5" s="1"/>
  <c r="M376" i="5"/>
  <c r="N376" i="5" s="1"/>
  <c r="U376" i="5" s="1"/>
  <c r="M152" i="5"/>
  <c r="N152" i="5" s="1"/>
  <c r="M398" i="5"/>
  <c r="N398" i="5" s="1"/>
  <c r="W398" i="5" s="1"/>
  <c r="M40" i="5"/>
  <c r="N40" i="5" s="1"/>
  <c r="M327" i="5"/>
  <c r="N327" i="5" s="1"/>
  <c r="U327" i="5" s="1"/>
  <c r="M200" i="5"/>
  <c r="N200" i="5" s="1"/>
  <c r="M304" i="5"/>
  <c r="N304" i="5" s="1"/>
  <c r="W304" i="5" s="1"/>
  <c r="M410" i="5"/>
  <c r="N410" i="5" s="1"/>
  <c r="U410" i="5" s="1"/>
  <c r="M149" i="5"/>
  <c r="N149" i="5" s="1"/>
  <c r="U149" i="5" s="1"/>
  <c r="M319" i="5"/>
  <c r="N319" i="5" s="1"/>
  <c r="M298" i="5"/>
  <c r="N298" i="5" s="1"/>
  <c r="U298" i="5" s="1"/>
  <c r="M125" i="5"/>
  <c r="N125" i="5" s="1"/>
  <c r="U125" i="5" s="1"/>
  <c r="M384" i="5"/>
  <c r="N384" i="5" s="1"/>
  <c r="U384" i="5" s="1"/>
  <c r="M98" i="5"/>
  <c r="N98" i="5" s="1"/>
  <c r="M145" i="5"/>
  <c r="N145" i="5" s="1"/>
  <c r="U145" i="5" s="1"/>
  <c r="M241" i="5"/>
  <c r="N241" i="5" s="1"/>
  <c r="U241" i="5" s="1"/>
  <c r="M323" i="5"/>
  <c r="N323" i="5" s="1"/>
  <c r="U323" i="5" s="1"/>
  <c r="M99" i="5"/>
  <c r="N99" i="5" s="1"/>
  <c r="M473" i="5"/>
  <c r="N473" i="5" s="1"/>
  <c r="W473" i="5" s="1"/>
  <c r="M124" i="5"/>
  <c r="N124" i="5" s="1"/>
  <c r="M185" i="5"/>
  <c r="N185" i="5" s="1"/>
  <c r="U185" i="5" s="1"/>
  <c r="M204" i="5"/>
  <c r="N204" i="5" s="1"/>
  <c r="M248" i="5"/>
  <c r="N248" i="5" s="1"/>
  <c r="U248" i="5" s="1"/>
  <c r="M318" i="5"/>
  <c r="N318" i="5" s="1"/>
  <c r="U318" i="5" s="1"/>
  <c r="M366" i="5"/>
  <c r="N366" i="5" s="1"/>
  <c r="U366" i="5" s="1"/>
  <c r="M414" i="5"/>
  <c r="N414" i="5" s="1"/>
  <c r="M498" i="5"/>
  <c r="N498" i="5" s="1"/>
  <c r="U498" i="5" s="1"/>
  <c r="M127" i="5"/>
  <c r="N127" i="5" s="1"/>
  <c r="U127" i="5" s="1"/>
  <c r="M491" i="5"/>
  <c r="N491" i="5" s="1"/>
  <c r="W491" i="5" s="1"/>
  <c r="M225" i="5"/>
  <c r="N225" i="5" s="1"/>
  <c r="M144" i="5"/>
  <c r="N144" i="5" s="1"/>
  <c r="U144" i="5" s="1"/>
  <c r="M221" i="5"/>
  <c r="N221" i="5" s="1"/>
  <c r="U221" i="5" s="1"/>
  <c r="M131" i="5"/>
  <c r="N131" i="5" s="1"/>
  <c r="U131" i="5" s="1"/>
  <c r="M439" i="5"/>
  <c r="N439" i="5" s="1"/>
  <c r="M300" i="5"/>
  <c r="N300" i="5" s="1"/>
  <c r="U300" i="5" s="1"/>
  <c r="M453" i="5"/>
  <c r="N453" i="5" s="1"/>
  <c r="U453" i="5" s="1"/>
  <c r="M394" i="5"/>
  <c r="N394" i="5" s="1"/>
  <c r="U394" i="5" s="1"/>
  <c r="M404" i="5"/>
  <c r="N404" i="5" s="1"/>
  <c r="M370" i="5"/>
  <c r="N370" i="5" s="1"/>
  <c r="W370" i="5" s="1"/>
  <c r="M296" i="5"/>
  <c r="N296" i="5" s="1"/>
  <c r="U296" i="5" s="1"/>
  <c r="M382" i="5"/>
  <c r="N382" i="5" s="1"/>
  <c r="U382" i="5" s="1"/>
  <c r="M356" i="5"/>
  <c r="N356" i="5" s="1"/>
  <c r="M114" i="5"/>
  <c r="N114" i="5" s="1"/>
  <c r="U114" i="5" s="1"/>
  <c r="M181" i="5"/>
  <c r="N181" i="5" s="1"/>
  <c r="U181" i="5" s="1"/>
  <c r="M320" i="5"/>
  <c r="N320" i="5" s="1"/>
  <c r="U320" i="5" s="1"/>
  <c r="M426" i="5"/>
  <c r="N426" i="5" s="1"/>
  <c r="M343" i="5"/>
  <c r="N343" i="5" s="1"/>
  <c r="W343" i="5" s="1"/>
  <c r="M481" i="5"/>
  <c r="N481" i="5" s="1"/>
  <c r="U481" i="5" s="1"/>
  <c r="M375" i="5"/>
  <c r="N375" i="5" s="1"/>
  <c r="U375" i="5" s="1"/>
  <c r="M235" i="5"/>
  <c r="N235" i="5" s="1"/>
  <c r="M166" i="5"/>
  <c r="N166" i="5" s="1"/>
  <c r="U166" i="5" s="1"/>
  <c r="M138" i="5"/>
  <c r="N138" i="5" s="1"/>
  <c r="U138" i="5" s="1"/>
  <c r="M199" i="5"/>
  <c r="N199" i="5" s="1"/>
  <c r="U199" i="5" s="1"/>
  <c r="M260" i="5"/>
  <c r="N260" i="5" s="1"/>
  <c r="M234" i="5"/>
  <c r="N234" i="5" s="1"/>
  <c r="U234" i="5" s="1"/>
  <c r="M117" i="5"/>
  <c r="N117" i="5" s="1"/>
  <c r="U117" i="5" s="1"/>
  <c r="M122" i="5"/>
  <c r="N122" i="5" s="1"/>
  <c r="U122" i="5" s="1"/>
  <c r="M363" i="5"/>
  <c r="N363" i="5" s="1"/>
  <c r="M226" i="5"/>
  <c r="N226" i="5" s="1"/>
  <c r="U226" i="5" s="1"/>
  <c r="M443" i="5"/>
  <c r="N443" i="5" s="1"/>
  <c r="W443" i="5" s="1"/>
  <c r="M350" i="5"/>
  <c r="N350" i="5" s="1"/>
  <c r="W350" i="5" s="1"/>
  <c r="M129" i="5"/>
  <c r="N129" i="5" s="1"/>
  <c r="M287" i="5"/>
  <c r="N287" i="5" s="1"/>
  <c r="U287" i="5" s="1"/>
  <c r="M430" i="5"/>
  <c r="N430" i="5" s="1"/>
  <c r="U430" i="5" s="1"/>
  <c r="M109" i="5"/>
  <c r="N109" i="5" s="1"/>
  <c r="U109" i="5" s="1"/>
  <c r="M386" i="5"/>
  <c r="N386" i="5" s="1"/>
  <c r="M338" i="5"/>
  <c r="N338" i="5" s="1"/>
  <c r="U338" i="5" s="1"/>
  <c r="M135" i="5"/>
  <c r="N135" i="5" s="1"/>
  <c r="U135" i="5" s="1"/>
  <c r="M379" i="5"/>
  <c r="N379" i="5" s="1"/>
  <c r="W379" i="5" s="1"/>
  <c r="M46" i="5"/>
  <c r="N46" i="5" s="1"/>
  <c r="M483" i="5"/>
  <c r="N483" i="5" s="1"/>
  <c r="U483" i="5" s="1"/>
  <c r="M67" i="5"/>
  <c r="N67" i="5" s="1"/>
  <c r="U67" i="5" s="1"/>
  <c r="M285" i="5"/>
  <c r="N285" i="5" s="1"/>
  <c r="U285" i="5" s="1"/>
  <c r="M87" i="5"/>
  <c r="N87" i="5" s="1"/>
  <c r="M244" i="5"/>
  <c r="N244" i="5" s="1"/>
  <c r="U244" i="5" s="1"/>
  <c r="M188" i="5"/>
  <c r="N188" i="5" s="1"/>
  <c r="U188" i="5" s="1"/>
  <c r="M401" i="5"/>
  <c r="N401" i="5" s="1"/>
  <c r="U401" i="5" s="1"/>
  <c r="M161" i="5"/>
  <c r="N161" i="5" s="1"/>
  <c r="M14" i="5"/>
  <c r="N14" i="5" s="1"/>
  <c r="M37" i="5"/>
  <c r="N37" i="5" s="1"/>
  <c r="U37" i="5" s="1"/>
  <c r="M30" i="5"/>
  <c r="N30" i="5" s="1"/>
  <c r="M172" i="5"/>
  <c r="N172" i="5" s="1"/>
  <c r="M417" i="5"/>
  <c r="N417" i="5" s="1"/>
  <c r="U417" i="5" s="1"/>
  <c r="M355" i="5"/>
  <c r="N355" i="5" s="1"/>
  <c r="U355" i="5" s="1"/>
  <c r="M223" i="5"/>
  <c r="N223" i="5" s="1"/>
  <c r="U223" i="5" s="1"/>
  <c r="M97" i="5"/>
  <c r="N97" i="5" s="1"/>
  <c r="M53" i="5"/>
  <c r="N53" i="5" s="1"/>
  <c r="U53" i="5" s="1"/>
  <c r="M242" i="5"/>
  <c r="N242" i="5" s="1"/>
  <c r="U242" i="5" s="1"/>
  <c r="M388" i="5"/>
  <c r="N388" i="5" s="1"/>
  <c r="U388" i="5" s="1"/>
  <c r="M353" i="5"/>
  <c r="N353" i="5" s="1"/>
  <c r="U353" i="5" s="1"/>
  <c r="M396" i="5"/>
  <c r="N396" i="5" s="1"/>
  <c r="U396" i="5" s="1"/>
  <c r="M180" i="5"/>
  <c r="N180" i="5" s="1"/>
  <c r="U180" i="5" s="1"/>
  <c r="M43" i="5"/>
  <c r="N43" i="5" s="1"/>
  <c r="U43" i="5" s="1"/>
  <c r="M456" i="5"/>
  <c r="N456" i="5" s="1"/>
  <c r="M405" i="5"/>
  <c r="N405" i="5" s="1"/>
  <c r="U405" i="5" s="1"/>
  <c r="M208" i="5"/>
  <c r="N208" i="5" s="1"/>
  <c r="W208" i="5" s="1"/>
  <c r="M284" i="5"/>
  <c r="N284" i="5" s="1"/>
  <c r="U284" i="5" s="1"/>
  <c r="M360" i="5"/>
  <c r="N360" i="5" s="1"/>
  <c r="M256" i="5"/>
  <c r="N256" i="5" s="1"/>
  <c r="U256" i="5" s="1"/>
  <c r="M431" i="5"/>
  <c r="N431" i="5" s="1"/>
  <c r="U431" i="5" s="1"/>
  <c r="M6" i="5"/>
  <c r="N6" i="5" s="1"/>
  <c r="U6" i="5" s="1"/>
  <c r="M258" i="5"/>
  <c r="N258" i="5" s="1"/>
  <c r="M469" i="5"/>
  <c r="N469" i="5" s="1"/>
  <c r="U469" i="5" s="1"/>
  <c r="M102" i="5"/>
  <c r="N102" i="5" s="1"/>
  <c r="U102" i="5" s="1"/>
  <c r="M228" i="5"/>
  <c r="N228" i="5" s="1"/>
  <c r="U228" i="5" s="1"/>
  <c r="M446" i="5"/>
  <c r="N446" i="5" s="1"/>
  <c r="M215" i="5"/>
  <c r="N215" i="5" s="1"/>
  <c r="U215" i="5" s="1"/>
  <c r="M441" i="5"/>
  <c r="N441" i="5" s="1"/>
  <c r="U441" i="5" s="1"/>
  <c r="M173" i="5"/>
  <c r="N173" i="5" s="1"/>
  <c r="U173" i="5" s="1"/>
  <c r="M100" i="5"/>
  <c r="N100" i="5" s="1"/>
  <c r="M294" i="5"/>
  <c r="N294" i="5" s="1"/>
  <c r="U294" i="5" s="1"/>
  <c r="M217" i="5"/>
  <c r="N217" i="5" s="1"/>
  <c r="U217" i="5" s="1"/>
  <c r="M63" i="5"/>
  <c r="N63" i="5" s="1"/>
  <c r="U63" i="5" s="1"/>
  <c r="M34" i="5"/>
  <c r="N34" i="5" s="1"/>
  <c r="M269" i="5"/>
  <c r="N269" i="5" s="1"/>
  <c r="U269" i="5" s="1"/>
  <c r="M329" i="5"/>
  <c r="N329" i="5" s="1"/>
  <c r="U329" i="5" s="1"/>
  <c r="M202" i="5"/>
  <c r="N202" i="5" s="1"/>
  <c r="W202" i="5" s="1"/>
  <c r="M467" i="5"/>
  <c r="N467" i="5" s="1"/>
  <c r="M29" i="5"/>
  <c r="N29" i="5" s="1"/>
  <c r="U29" i="5" s="1"/>
  <c r="M407" i="5"/>
  <c r="N407" i="5" s="1"/>
  <c r="W407" i="5" s="1"/>
  <c r="M232" i="5"/>
  <c r="N232" i="5" s="1"/>
  <c r="U232" i="5" s="1"/>
  <c r="M262" i="5"/>
  <c r="N262" i="5" s="1"/>
  <c r="M380" i="5"/>
  <c r="N380" i="5" s="1"/>
  <c r="U380" i="5" s="1"/>
  <c r="M290" i="5"/>
  <c r="N290" i="5" s="1"/>
  <c r="U290" i="5" s="1"/>
  <c r="M164" i="5"/>
  <c r="N164" i="5" s="1"/>
  <c r="U164" i="5" s="1"/>
  <c r="M393" i="5"/>
  <c r="N393" i="5" s="1"/>
  <c r="U393" i="5" s="1"/>
  <c r="M444" i="5"/>
  <c r="N444" i="5" s="1"/>
  <c r="U444" i="5" s="1"/>
  <c r="M140" i="5"/>
  <c r="N140" i="5" s="1"/>
  <c r="U140" i="5" s="1"/>
  <c r="M64" i="5"/>
  <c r="N64" i="5" s="1"/>
  <c r="W64" i="5" s="1"/>
  <c r="M137" i="5"/>
  <c r="N137" i="5" s="1"/>
  <c r="M130" i="5"/>
  <c r="N130" i="5" s="1"/>
  <c r="U130" i="5" s="1"/>
  <c r="M501" i="5"/>
  <c r="N501" i="5" s="1"/>
  <c r="U501" i="5" s="1"/>
  <c r="M10" i="5"/>
  <c r="N10" i="5" s="1"/>
  <c r="U10" i="5" s="1"/>
  <c r="M328" i="5"/>
  <c r="N328" i="5" s="1"/>
  <c r="M487" i="5"/>
  <c r="N487" i="5" s="1"/>
  <c r="U487" i="5" s="1"/>
  <c r="M66" i="5"/>
  <c r="N66" i="5" s="1"/>
  <c r="U66" i="5" s="1"/>
  <c r="M302" i="5"/>
  <c r="N302" i="5" s="1"/>
  <c r="U302" i="5" s="1"/>
  <c r="M16" i="5"/>
  <c r="N16" i="5" s="1"/>
  <c r="M158" i="5"/>
  <c r="N158" i="5" s="1"/>
  <c r="U158" i="5" s="1"/>
  <c r="M42" i="5"/>
  <c r="N42" i="5" s="1"/>
  <c r="U42" i="5" s="1"/>
  <c r="M381" i="5"/>
  <c r="N381" i="5" s="1"/>
  <c r="U381" i="5" s="1"/>
  <c r="M422" i="5"/>
  <c r="N422" i="5" s="1"/>
  <c r="M218" i="5"/>
  <c r="N218" i="5" s="1"/>
  <c r="U218" i="5" s="1"/>
  <c r="M411" i="5"/>
  <c r="N411" i="5" s="1"/>
  <c r="W411" i="5" s="1"/>
  <c r="M281" i="5"/>
  <c r="N281" i="5" s="1"/>
  <c r="U281" i="5" s="1"/>
  <c r="M455" i="5"/>
  <c r="N455" i="5" s="1"/>
  <c r="M451" i="5"/>
  <c r="N451" i="5" s="1"/>
  <c r="U451" i="5" s="1"/>
  <c r="M339" i="5"/>
  <c r="N339" i="5" s="1"/>
  <c r="U339" i="5" s="1"/>
  <c r="M238" i="5"/>
  <c r="N238" i="5" s="1"/>
  <c r="U238" i="5" s="1"/>
  <c r="M209" i="5"/>
  <c r="N209" i="5" s="1"/>
  <c r="M214" i="5"/>
  <c r="N214" i="5" s="1"/>
  <c r="U214" i="5" s="1"/>
  <c r="M297" i="5"/>
  <c r="N297" i="5" s="1"/>
  <c r="U297" i="5" s="1"/>
  <c r="M478" i="5"/>
  <c r="N478" i="5" s="1"/>
  <c r="U478" i="5" s="1"/>
  <c r="M253" i="5"/>
  <c r="N253" i="5" s="1"/>
  <c r="U253" i="5" s="1"/>
  <c r="M479" i="5"/>
  <c r="N479" i="5" s="1"/>
  <c r="W479" i="5" s="1"/>
  <c r="M305" i="5"/>
  <c r="N305" i="5" s="1"/>
  <c r="U305" i="5" s="1"/>
  <c r="M352" i="5"/>
  <c r="N352" i="5" s="1"/>
  <c r="U352" i="5" s="1"/>
  <c r="M271" i="5"/>
  <c r="N271" i="5" s="1"/>
  <c r="M203" i="5"/>
  <c r="N203" i="5" s="1"/>
  <c r="U203" i="5" s="1"/>
  <c r="M163" i="5"/>
  <c r="N163" i="5" s="1"/>
  <c r="U163" i="5" s="1"/>
  <c r="M45" i="5"/>
  <c r="N45" i="5" s="1"/>
  <c r="U45" i="5" s="1"/>
  <c r="M219" i="5"/>
  <c r="N219" i="5" s="1"/>
  <c r="M403" i="5"/>
  <c r="N403" i="5" s="1"/>
  <c r="U403" i="5" s="1"/>
  <c r="M192" i="5"/>
  <c r="N192" i="5" s="1"/>
  <c r="U192" i="5" s="1"/>
  <c r="M311" i="5"/>
  <c r="N311" i="5" s="1"/>
  <c r="U311" i="5" s="1"/>
  <c r="M261" i="5"/>
  <c r="N261" i="5" s="1"/>
  <c r="U261" i="5" s="1"/>
  <c r="M107" i="5"/>
  <c r="N107" i="5" s="1"/>
  <c r="U107" i="5" s="1"/>
  <c r="M55" i="5"/>
  <c r="N55" i="5" s="1"/>
  <c r="U55" i="5" s="1"/>
  <c r="M391" i="5"/>
  <c r="N391" i="5" s="1"/>
  <c r="W391" i="5" s="1"/>
  <c r="M3" i="5"/>
  <c r="N3" i="5" s="1"/>
  <c r="M462" i="5"/>
  <c r="N462" i="5" s="1"/>
  <c r="U462" i="5" s="1"/>
  <c r="M51" i="5"/>
  <c r="N51" i="5" s="1"/>
  <c r="M421" i="5"/>
  <c r="N421" i="5" s="1"/>
  <c r="U421" i="5" s="1"/>
  <c r="M82" i="5"/>
  <c r="N82" i="5" s="1"/>
  <c r="M207" i="5"/>
  <c r="N207" i="5" s="1"/>
  <c r="U207" i="5" s="1"/>
  <c r="M36" i="5"/>
  <c r="N36" i="5" s="1"/>
  <c r="M432" i="5"/>
  <c r="N432" i="5" s="1"/>
  <c r="U432" i="5" s="1"/>
  <c r="M265" i="5"/>
  <c r="N265" i="5" s="1"/>
  <c r="U265" i="5" s="1"/>
  <c r="M429" i="5"/>
  <c r="N429" i="5" s="1"/>
  <c r="U429" i="5" s="1"/>
  <c r="M495" i="5"/>
  <c r="N495" i="5" s="1"/>
  <c r="W495" i="5" s="1"/>
  <c r="M368" i="5"/>
  <c r="N368" i="5" s="1"/>
  <c r="U368" i="5" s="1"/>
  <c r="M93" i="5"/>
  <c r="N93" i="5" s="1"/>
  <c r="M341" i="5"/>
  <c r="N341" i="5" s="1"/>
  <c r="U341" i="5" s="1"/>
  <c r="M497" i="5"/>
  <c r="N497" i="5" s="1"/>
  <c r="U497" i="5" s="1"/>
  <c r="M54" i="5"/>
  <c r="N54" i="5" s="1"/>
  <c r="U54" i="5" s="1"/>
  <c r="M347" i="5"/>
  <c r="N347" i="5" s="1"/>
  <c r="M266" i="5"/>
  <c r="N266" i="5" s="1"/>
  <c r="W266" i="5" s="1"/>
  <c r="M243" i="5"/>
  <c r="N243" i="5" s="1"/>
  <c r="U243" i="5" s="1"/>
  <c r="M15" i="5"/>
  <c r="N15" i="5" s="1"/>
  <c r="U15" i="5" s="1"/>
  <c r="M317" i="5"/>
  <c r="N317" i="5" s="1"/>
  <c r="U317" i="5" s="1"/>
  <c r="M90" i="5"/>
  <c r="N90" i="5" s="1"/>
  <c r="U90" i="5" s="1"/>
  <c r="M389" i="5"/>
  <c r="N389" i="5" s="1"/>
  <c r="U389" i="5" s="1"/>
  <c r="M275" i="5"/>
  <c r="N275" i="5" s="1"/>
  <c r="U275" i="5" s="1"/>
  <c r="M168" i="5"/>
  <c r="N168" i="5" s="1"/>
  <c r="M330" i="5"/>
  <c r="N330" i="5" s="1"/>
  <c r="W330" i="5" s="1"/>
  <c r="M136" i="5"/>
  <c r="N136" i="5" s="1"/>
  <c r="W136" i="5" s="1"/>
  <c r="M308" i="5"/>
  <c r="N308" i="5" s="1"/>
  <c r="U308" i="5" s="1"/>
  <c r="M321" i="5"/>
  <c r="N321" i="5" s="1"/>
  <c r="U321" i="5" s="1"/>
  <c r="M245" i="5"/>
  <c r="N245" i="5" s="1"/>
  <c r="U245" i="5" s="1"/>
  <c r="M56" i="5"/>
  <c r="N56" i="5" s="1"/>
  <c r="M365" i="5"/>
  <c r="N365" i="5" s="1"/>
  <c r="U365" i="5" s="1"/>
  <c r="M52" i="5"/>
  <c r="N52" i="5" s="1"/>
  <c r="M482" i="5"/>
  <c r="N482" i="5" s="1"/>
  <c r="U482" i="5" s="1"/>
  <c r="M176" i="5"/>
  <c r="N176" i="5" s="1"/>
  <c r="U176" i="5" s="1"/>
  <c r="M447" i="5"/>
  <c r="N447" i="5" s="1"/>
  <c r="U447" i="5" s="1"/>
  <c r="M465" i="5"/>
  <c r="N465" i="5" s="1"/>
  <c r="U465" i="5" s="1"/>
  <c r="M189" i="5"/>
  <c r="N189" i="5" s="1"/>
  <c r="W189" i="5" s="1"/>
  <c r="M477" i="5"/>
  <c r="N477" i="5" s="1"/>
  <c r="U477" i="5" s="1"/>
  <c r="M171" i="5"/>
  <c r="N171" i="5" s="1"/>
  <c r="U171" i="5" s="1"/>
  <c r="M60" i="5"/>
  <c r="N60" i="5" s="1"/>
  <c r="M476" i="5"/>
  <c r="N476" i="5" s="1"/>
  <c r="U476" i="5" s="1"/>
  <c r="M50" i="5"/>
  <c r="N50" i="5" s="1"/>
  <c r="U50" i="5" s="1"/>
  <c r="M346" i="5"/>
  <c r="N346" i="5" s="1"/>
  <c r="U346" i="5" s="1"/>
  <c r="M237" i="5"/>
  <c r="N237" i="5" s="1"/>
  <c r="U237" i="5" s="1"/>
  <c r="M254" i="5"/>
  <c r="N254" i="5" s="1"/>
  <c r="U254" i="5" s="1"/>
  <c r="M23" i="5"/>
  <c r="N23" i="5" s="1"/>
  <c r="U23" i="5" s="1"/>
  <c r="M315" i="5"/>
  <c r="N315" i="5" s="1"/>
  <c r="U315" i="5" s="1"/>
  <c r="M461" i="5"/>
  <c r="N461" i="5" s="1"/>
  <c r="U461" i="5" s="1"/>
  <c r="M162" i="5"/>
  <c r="N162" i="5" s="1"/>
  <c r="U162" i="5" s="1"/>
  <c r="M278" i="5"/>
  <c r="N278" i="5" s="1"/>
  <c r="W278" i="5" s="1"/>
  <c r="M445" i="5"/>
  <c r="N445" i="5" s="1"/>
  <c r="U445" i="5" s="1"/>
  <c r="M193" i="5"/>
  <c r="N193" i="5" s="1"/>
  <c r="M387" i="5"/>
  <c r="N387" i="5" s="1"/>
  <c r="U387" i="5" s="1"/>
  <c r="M295" i="5"/>
  <c r="N295" i="5" s="1"/>
  <c r="U295" i="5" s="1"/>
  <c r="M415" i="5"/>
  <c r="N415" i="5" s="1"/>
  <c r="U415" i="5" s="1"/>
  <c r="M493" i="5"/>
  <c r="N493" i="5" s="1"/>
  <c r="U493" i="5" s="1"/>
  <c r="M345" i="5"/>
  <c r="N345" i="5" s="1"/>
  <c r="U345" i="5" s="1"/>
  <c r="M259" i="5"/>
  <c r="N259" i="5" s="1"/>
  <c r="U259" i="5" s="1"/>
  <c r="M310" i="5"/>
  <c r="N310" i="5" s="1"/>
  <c r="U310" i="5" s="1"/>
  <c r="M151" i="5"/>
  <c r="N151" i="5" s="1"/>
  <c r="M132" i="5"/>
  <c r="N132" i="5" s="1"/>
  <c r="M153" i="5"/>
  <c r="N153" i="5" s="1"/>
  <c r="U153" i="5" s="1"/>
  <c r="M361" i="5"/>
  <c r="N361" i="5" s="1"/>
  <c r="U361" i="5" s="1"/>
  <c r="M101" i="5"/>
  <c r="N101" i="5" s="1"/>
  <c r="M374" i="5"/>
  <c r="N374" i="5" s="1"/>
  <c r="U374" i="5" s="1"/>
  <c r="M89" i="5"/>
  <c r="N89" i="5" s="1"/>
  <c r="U89" i="5" s="1"/>
  <c r="M460" i="5"/>
  <c r="N460" i="5" s="1"/>
  <c r="U460" i="5" s="1"/>
  <c r="M332" i="5"/>
  <c r="N332" i="5" s="1"/>
  <c r="M216" i="5"/>
  <c r="N216" i="5" s="1"/>
  <c r="W216" i="5" s="1"/>
  <c r="M468" i="5"/>
  <c r="N468" i="5" s="1"/>
  <c r="U468" i="5" s="1"/>
  <c r="M123" i="5"/>
  <c r="N123" i="5" s="1"/>
  <c r="U123" i="5" s="1"/>
  <c r="M22" i="5"/>
  <c r="N22" i="5" s="1"/>
  <c r="M73" i="5"/>
  <c r="N73" i="5" s="1"/>
  <c r="U73" i="5" s="1"/>
  <c r="M108" i="5"/>
  <c r="N108" i="5" s="1"/>
  <c r="M272" i="5"/>
  <c r="N272" i="5" s="1"/>
  <c r="U272" i="5" s="1"/>
  <c r="M437" i="5"/>
  <c r="N437" i="5" s="1"/>
  <c r="U437" i="5" s="1"/>
  <c r="M104" i="5"/>
  <c r="N104" i="5" s="1"/>
  <c r="W104" i="5" s="1"/>
  <c r="K277" i="5"/>
  <c r="L277" i="5" s="1"/>
  <c r="T277" i="5" s="1"/>
  <c r="K95" i="5"/>
  <c r="L95" i="5" s="1"/>
  <c r="T95" i="5" s="1"/>
  <c r="K8" i="5"/>
  <c r="L8" i="5" s="1"/>
  <c r="T8" i="5" s="1"/>
  <c r="K169" i="5"/>
  <c r="L169" i="5" s="1"/>
  <c r="T169" i="5" s="1"/>
  <c r="K92" i="5"/>
  <c r="L92" i="5" s="1"/>
  <c r="T92" i="5" s="1"/>
  <c r="K68" i="5"/>
  <c r="L68" i="5" s="1"/>
  <c r="T68" i="5" s="1"/>
  <c r="K364" i="5"/>
  <c r="L364" i="5" s="1"/>
  <c r="T364" i="5" s="1"/>
  <c r="K230" i="5"/>
  <c r="L230" i="5" s="1"/>
  <c r="T230" i="5" s="1"/>
  <c r="K194" i="5"/>
  <c r="L194" i="5" s="1"/>
  <c r="T194" i="5" s="1"/>
  <c r="K484" i="5"/>
  <c r="L484" i="5" s="1"/>
  <c r="T484" i="5" s="1"/>
  <c r="K220" i="5"/>
  <c r="L220" i="5" s="1"/>
  <c r="T220" i="5" s="1"/>
  <c r="K182" i="5"/>
  <c r="L182" i="5" s="1"/>
  <c r="T182" i="5" s="1"/>
  <c r="K309" i="5"/>
  <c r="L309" i="5" s="1"/>
  <c r="T309" i="5" s="1"/>
  <c r="K251" i="5"/>
  <c r="L251" i="5" s="1"/>
  <c r="T251" i="5" s="1"/>
  <c r="K12" i="5"/>
  <c r="L12" i="5" s="1"/>
  <c r="T12" i="5" s="1"/>
  <c r="K383" i="5"/>
  <c r="L383" i="5" s="1"/>
  <c r="T383" i="5" s="1"/>
  <c r="K373" i="5"/>
  <c r="L373" i="5" s="1"/>
  <c r="T373" i="5" s="1"/>
  <c r="K32" i="5"/>
  <c r="L32" i="5" s="1"/>
  <c r="T32" i="5" s="1"/>
  <c r="K496" i="5"/>
  <c r="L496" i="5" s="1"/>
  <c r="T496" i="5" s="1"/>
  <c r="K139" i="5"/>
  <c r="L139" i="5" s="1"/>
  <c r="T139" i="5" s="1"/>
  <c r="K157" i="5"/>
  <c r="L157" i="5" s="1"/>
  <c r="T157" i="5" s="1"/>
  <c r="K86" i="5"/>
  <c r="L86" i="5" s="1"/>
  <c r="T86" i="5" s="1"/>
  <c r="K119" i="5"/>
  <c r="L119" i="5" s="1"/>
  <c r="T119" i="5" s="1"/>
  <c r="K174" i="5"/>
  <c r="L174" i="5" s="1"/>
  <c r="T174" i="5" s="1"/>
  <c r="K325" i="5"/>
  <c r="L325" i="5" s="1"/>
  <c r="T325" i="5" s="1"/>
  <c r="K333" i="5"/>
  <c r="L333" i="5" s="1"/>
  <c r="T333" i="5" s="1"/>
  <c r="K81" i="5"/>
  <c r="L81" i="5" s="1"/>
  <c r="T81" i="5" s="1"/>
  <c r="K454" i="5"/>
  <c r="L454" i="5" s="1"/>
  <c r="T454" i="5" s="1"/>
  <c r="K312" i="5"/>
  <c r="L312" i="5" s="1"/>
  <c r="T312" i="5" s="1"/>
  <c r="K255" i="5"/>
  <c r="L255" i="5" s="1"/>
  <c r="T255" i="5" s="1"/>
  <c r="K342" i="5"/>
  <c r="L342" i="5" s="1"/>
  <c r="T342" i="5" s="1"/>
  <c r="K335" i="5"/>
  <c r="L335" i="5" s="1"/>
  <c r="T335" i="5" s="1"/>
  <c r="K11" i="5"/>
  <c r="L11" i="5" s="1"/>
  <c r="T11" i="5" s="1"/>
  <c r="K280" i="5"/>
  <c r="L280" i="5" s="1"/>
  <c r="T280" i="5" s="1"/>
  <c r="K70" i="5"/>
  <c r="L70" i="5" s="1"/>
  <c r="T70" i="5" s="1"/>
  <c r="K419" i="5"/>
  <c r="L419" i="5" s="1"/>
  <c r="T419" i="5" s="1"/>
  <c r="K205" i="5"/>
  <c r="L205" i="5" s="1"/>
  <c r="T205" i="5" s="1"/>
  <c r="K395" i="5"/>
  <c r="L395" i="5" s="1"/>
  <c r="T395" i="5" s="1"/>
  <c r="K307" i="5"/>
  <c r="L307" i="5" s="1"/>
  <c r="T307" i="5" s="1"/>
  <c r="K301" i="5"/>
  <c r="L301" i="5" s="1"/>
  <c r="T301" i="5" s="1"/>
  <c r="K349" i="5"/>
  <c r="L349" i="5" s="1"/>
  <c r="T349" i="5" s="1"/>
  <c r="K57" i="5"/>
  <c r="L57" i="5" s="1"/>
  <c r="T57" i="5" s="1"/>
  <c r="K191" i="5"/>
  <c r="L191" i="5" s="1"/>
  <c r="T191" i="5" s="1"/>
  <c r="K148" i="5"/>
  <c r="L148" i="5" s="1"/>
  <c r="T148" i="5" s="1"/>
  <c r="K160" i="5"/>
  <c r="L160" i="5" s="1"/>
  <c r="T160" i="5" s="1"/>
  <c r="K224" i="5"/>
  <c r="L224" i="5" s="1"/>
  <c r="T224" i="5" s="1"/>
  <c r="K257" i="5"/>
  <c r="L257" i="5" s="1"/>
  <c r="T257" i="5" s="1"/>
  <c r="K155" i="5"/>
  <c r="L155" i="5" s="1"/>
  <c r="T155" i="5" s="1"/>
  <c r="K178" i="5"/>
  <c r="L178" i="5" s="1"/>
  <c r="T178" i="5" s="1"/>
  <c r="K212" i="5"/>
  <c r="L212" i="5" s="1"/>
  <c r="T212" i="5" s="1"/>
  <c r="K291" i="5"/>
  <c r="L291" i="5" s="1"/>
  <c r="T291" i="5" s="1"/>
  <c r="K78" i="5"/>
  <c r="L78" i="5" s="1"/>
  <c r="T78" i="5" s="1"/>
  <c r="K449" i="5"/>
  <c r="L449" i="5" s="1"/>
  <c r="T449" i="5" s="1"/>
  <c r="K351" i="5"/>
  <c r="L351" i="5" s="1"/>
  <c r="T351" i="5" s="1"/>
  <c r="K150" i="5"/>
  <c r="L150" i="5" s="1"/>
  <c r="T150" i="5" s="1"/>
  <c r="K448" i="5"/>
  <c r="L448" i="5" s="1"/>
  <c r="T448" i="5" s="1"/>
  <c r="K75" i="5"/>
  <c r="L75" i="5" s="1"/>
  <c r="T75" i="5" s="1"/>
  <c r="K4" i="5"/>
  <c r="L4" i="5" s="1"/>
  <c r="T4" i="5" s="1"/>
  <c r="K79" i="5"/>
  <c r="L79" i="5" s="1"/>
  <c r="T79" i="5" s="1"/>
  <c r="K402" i="5"/>
  <c r="L402" i="5" s="1"/>
  <c r="T402" i="5" s="1"/>
  <c r="K436" i="5"/>
  <c r="L436" i="5" s="1"/>
  <c r="T436" i="5" s="1"/>
  <c r="K489" i="5"/>
  <c r="L489" i="5" s="1"/>
  <c r="T489" i="5" s="1"/>
  <c r="K299" i="5"/>
  <c r="L299" i="5" s="1"/>
  <c r="T299" i="5" s="1"/>
  <c r="K65" i="5"/>
  <c r="L65" i="5" s="1"/>
  <c r="T65" i="5" s="1"/>
  <c r="K485" i="5"/>
  <c r="L485" i="5" s="1"/>
  <c r="T485" i="5" s="1"/>
  <c r="K283" i="5"/>
  <c r="L283" i="5" s="1"/>
  <c r="T283" i="5" s="1"/>
  <c r="K72" i="5"/>
  <c r="L72" i="5" s="1"/>
  <c r="T72" i="5" s="1"/>
  <c r="K175" i="5"/>
  <c r="L175" i="5" s="1"/>
  <c r="T175" i="5" s="1"/>
  <c r="K35" i="5"/>
  <c r="L35" i="5" s="1"/>
  <c r="T35" i="5" s="1"/>
  <c r="K74" i="5"/>
  <c r="L74" i="5" s="1"/>
  <c r="T74" i="5" s="1"/>
  <c r="K80" i="5"/>
  <c r="L80" i="5" s="1"/>
  <c r="T80" i="5" s="1"/>
  <c r="K2" i="5"/>
  <c r="K13" i="5"/>
  <c r="L13" i="5" s="1"/>
  <c r="T13" i="5" s="1"/>
  <c r="K340" i="5"/>
  <c r="L340" i="5" s="1"/>
  <c r="T340" i="5" s="1"/>
  <c r="K24" i="5"/>
  <c r="L24" i="5" s="1"/>
  <c r="T24" i="5" s="1"/>
  <c r="K480" i="5"/>
  <c r="L480" i="5" s="1"/>
  <c r="T480" i="5" s="1"/>
  <c r="K492" i="5"/>
  <c r="L492" i="5" s="1"/>
  <c r="T492" i="5" s="1"/>
  <c r="K106" i="5"/>
  <c r="L106" i="5" s="1"/>
  <c r="T106" i="5" s="1"/>
  <c r="K84" i="5"/>
  <c r="L84" i="5" s="1"/>
  <c r="T84" i="5" s="1"/>
  <c r="K187" i="5"/>
  <c r="L187" i="5" s="1"/>
  <c r="T187" i="5" s="1"/>
  <c r="K142" i="5"/>
  <c r="L142" i="5" s="1"/>
  <c r="T142" i="5" s="1"/>
  <c r="K20" i="5"/>
  <c r="L20" i="5" s="1"/>
  <c r="T20" i="5" s="1"/>
  <c r="K358" i="5"/>
  <c r="L358" i="5" s="1"/>
  <c r="T358" i="5" s="1"/>
  <c r="K134" i="5"/>
  <c r="L134" i="5" s="1"/>
  <c r="T134" i="5" s="1"/>
  <c r="K126" i="5"/>
  <c r="L126" i="5" s="1"/>
  <c r="T126" i="5" s="1"/>
  <c r="K103" i="5"/>
  <c r="L103" i="5" s="1"/>
  <c r="T103" i="5" s="1"/>
  <c r="K41" i="5"/>
  <c r="L41" i="5" s="1"/>
  <c r="T41" i="5" s="1"/>
  <c r="K472" i="5"/>
  <c r="L472" i="5" s="1"/>
  <c r="T472" i="5" s="1"/>
  <c r="K48" i="5"/>
  <c r="L48" i="5" s="1"/>
  <c r="T48" i="5" s="1"/>
  <c r="K316" i="5"/>
  <c r="L316" i="5" s="1"/>
  <c r="T316" i="5" s="1"/>
  <c r="K450" i="5"/>
  <c r="L450" i="5" s="1"/>
  <c r="T450" i="5" s="1"/>
  <c r="K367" i="5"/>
  <c r="L367" i="5" s="1"/>
  <c r="T367" i="5" s="1"/>
  <c r="K179" i="5"/>
  <c r="L179" i="5" s="1"/>
  <c r="T179" i="5" s="1"/>
  <c r="K288" i="5"/>
  <c r="L288" i="5" s="1"/>
  <c r="T288" i="5" s="1"/>
  <c r="K348" i="5"/>
  <c r="L348" i="5" s="1"/>
  <c r="T348" i="5" s="1"/>
  <c r="K133" i="5"/>
  <c r="L133" i="5" s="1"/>
  <c r="T133" i="5" s="1"/>
  <c r="K435" i="5"/>
  <c r="L435" i="5" s="1"/>
  <c r="T435" i="5" s="1"/>
  <c r="K458" i="5"/>
  <c r="L458" i="5" s="1"/>
  <c r="T458" i="5" s="1"/>
  <c r="K71" i="5"/>
  <c r="L71" i="5" s="1"/>
  <c r="T71" i="5" s="1"/>
  <c r="K359" i="5"/>
  <c r="L359" i="5" s="1"/>
  <c r="T359" i="5" s="1"/>
  <c r="K425" i="5"/>
  <c r="L425" i="5" s="1"/>
  <c r="T425" i="5" s="1"/>
  <c r="K336" i="5"/>
  <c r="L336" i="5" s="1"/>
  <c r="T336" i="5" s="1"/>
  <c r="K229" i="5"/>
  <c r="L229" i="5" s="1"/>
  <c r="T229" i="5" s="1"/>
  <c r="K438" i="5"/>
  <c r="L438" i="5" s="1"/>
  <c r="T438" i="5" s="1"/>
  <c r="K210" i="5"/>
  <c r="L210" i="5" s="1"/>
  <c r="T210" i="5" s="1"/>
  <c r="K334" i="5"/>
  <c r="L334" i="5" s="1"/>
  <c r="T334" i="5" s="1"/>
  <c r="K222" i="5"/>
  <c r="L222" i="5" s="1"/>
  <c r="T222" i="5" s="1"/>
  <c r="K49" i="5"/>
  <c r="L49" i="5" s="1"/>
  <c r="T49" i="5" s="1"/>
  <c r="K326" i="5"/>
  <c r="L326" i="5" s="1"/>
  <c r="T326" i="5" s="1"/>
  <c r="K186" i="5"/>
  <c r="L186" i="5" s="1"/>
  <c r="T186" i="5" s="1"/>
  <c r="K499" i="5"/>
  <c r="L499" i="5" s="1"/>
  <c r="T499" i="5" s="1"/>
  <c r="K357" i="5"/>
  <c r="L357" i="5" s="1"/>
  <c r="T357" i="5" s="1"/>
  <c r="K322" i="5"/>
  <c r="L322" i="5" s="1"/>
  <c r="T322" i="5" s="1"/>
  <c r="K197" i="5"/>
  <c r="L197" i="5" s="1"/>
  <c r="T197" i="5" s="1"/>
  <c r="K337" i="5"/>
  <c r="L337" i="5" s="1"/>
  <c r="T337" i="5" s="1"/>
  <c r="K494" i="5"/>
  <c r="L494" i="5" s="1"/>
  <c r="T494" i="5" s="1"/>
  <c r="K452" i="5"/>
  <c r="L452" i="5" s="1"/>
  <c r="T452" i="5" s="1"/>
  <c r="K33" i="5"/>
  <c r="L33" i="5" s="1"/>
  <c r="T33" i="5" s="1"/>
  <c r="K88" i="5"/>
  <c r="L88" i="5" s="1"/>
  <c r="T88" i="5" s="1"/>
  <c r="K433" i="5"/>
  <c r="L433" i="5" s="1"/>
  <c r="T433" i="5" s="1"/>
  <c r="K77" i="5"/>
  <c r="L77" i="5" s="1"/>
  <c r="T77" i="5" s="1"/>
  <c r="K459" i="5"/>
  <c r="L459" i="5" s="1"/>
  <c r="T459" i="5" s="1"/>
  <c r="K17" i="5"/>
  <c r="L17" i="5" s="1"/>
  <c r="T17" i="5" s="1"/>
  <c r="K423" i="5"/>
  <c r="L423" i="5" s="1"/>
  <c r="T423" i="5" s="1"/>
  <c r="K184" i="5"/>
  <c r="L184" i="5" s="1"/>
  <c r="T184" i="5" s="1"/>
  <c r="K475" i="5"/>
  <c r="L475" i="5" s="1"/>
  <c r="T475" i="5" s="1"/>
  <c r="K21" i="5"/>
  <c r="L21" i="5" s="1"/>
  <c r="T21" i="5" s="1"/>
  <c r="K399" i="5"/>
  <c r="L399" i="5" s="1"/>
  <c r="T399" i="5" s="1"/>
  <c r="K58" i="5"/>
  <c r="L58" i="5" s="1"/>
  <c r="T58" i="5" s="1"/>
  <c r="K306" i="5"/>
  <c r="L306" i="5" s="1"/>
  <c r="T306" i="5" s="1"/>
  <c r="K344" i="5"/>
  <c r="L344" i="5" s="1"/>
  <c r="T344" i="5" s="1"/>
  <c r="K442" i="5"/>
  <c r="L442" i="5" s="1"/>
  <c r="T442" i="5" s="1"/>
  <c r="K406" i="5"/>
  <c r="L406" i="5" s="1"/>
  <c r="T406" i="5" s="1"/>
  <c r="K27" i="5"/>
  <c r="L27" i="5" s="1"/>
  <c r="T27" i="5" s="1"/>
  <c r="K263" i="5"/>
  <c r="L263" i="5" s="1"/>
  <c r="T263" i="5" s="1"/>
  <c r="K44" i="5"/>
  <c r="L44" i="5" s="1"/>
  <c r="T44" i="5" s="1"/>
  <c r="K273" i="5"/>
  <c r="L273" i="5" s="1"/>
  <c r="T273" i="5" s="1"/>
  <c r="K211" i="5"/>
  <c r="L211" i="5" s="1"/>
  <c r="T211" i="5" s="1"/>
  <c r="K289" i="5"/>
  <c r="L289" i="5" s="1"/>
  <c r="T289" i="5" s="1"/>
  <c r="K128" i="5"/>
  <c r="L128" i="5" s="1"/>
  <c r="T128" i="5" s="1"/>
  <c r="K416" i="5"/>
  <c r="L416" i="5" s="1"/>
  <c r="T416" i="5" s="1"/>
  <c r="K115" i="5"/>
  <c r="L115" i="5" s="1"/>
  <c r="T115" i="5" s="1"/>
  <c r="K362" i="5"/>
  <c r="L362" i="5" s="1"/>
  <c r="T362" i="5" s="1"/>
  <c r="K292" i="5"/>
  <c r="L292" i="5" s="1"/>
  <c r="T292" i="5" s="1"/>
  <c r="K156" i="5"/>
  <c r="L156" i="5" s="1"/>
  <c r="T156" i="5" s="1"/>
  <c r="K59" i="5"/>
  <c r="L59" i="5" s="1"/>
  <c r="T59" i="5" s="1"/>
  <c r="K213" i="5"/>
  <c r="L213" i="5" s="1"/>
  <c r="T213" i="5" s="1"/>
  <c r="K26" i="5"/>
  <c r="L26" i="5" s="1"/>
  <c r="T26" i="5" s="1"/>
  <c r="K19" i="5"/>
  <c r="L19" i="5" s="1"/>
  <c r="T19" i="5" s="1"/>
  <c r="K247" i="5"/>
  <c r="L247" i="5" s="1"/>
  <c r="T247" i="5" s="1"/>
  <c r="K231" i="5"/>
  <c r="L231" i="5" s="1"/>
  <c r="T231" i="5" s="1"/>
  <c r="K227" i="5"/>
  <c r="L227" i="5" s="1"/>
  <c r="T227" i="5" s="1"/>
  <c r="K96" i="5"/>
  <c r="L96" i="5" s="1"/>
  <c r="T96" i="5" s="1"/>
  <c r="K464" i="5"/>
  <c r="L464" i="5" s="1"/>
  <c r="T464" i="5" s="1"/>
  <c r="K286" i="5"/>
  <c r="L286" i="5" s="1"/>
  <c r="T286" i="5" s="1"/>
  <c r="K25" i="5"/>
  <c r="L25" i="5" s="1"/>
  <c r="T25" i="5" s="1"/>
  <c r="K246" i="5"/>
  <c r="L246" i="5" s="1"/>
  <c r="T246" i="5" s="1"/>
  <c r="K424" i="5"/>
  <c r="L424" i="5" s="1"/>
  <c r="T424" i="5" s="1"/>
  <c r="K377" i="5"/>
  <c r="L377" i="5" s="1"/>
  <c r="T377" i="5" s="1"/>
  <c r="K7" i="5"/>
  <c r="L7" i="5" s="1"/>
  <c r="T7" i="5" s="1"/>
  <c r="K118" i="5"/>
  <c r="L118" i="5" s="1"/>
  <c r="T118" i="5" s="1"/>
  <c r="K47" i="5"/>
  <c r="L47" i="5" s="1"/>
  <c r="T47" i="5" s="1"/>
  <c r="K409" i="5"/>
  <c r="L409" i="5" s="1"/>
  <c r="T409" i="5" s="1"/>
  <c r="K18" i="5"/>
  <c r="L18" i="5" s="1"/>
  <c r="T18" i="5" s="1"/>
  <c r="K486" i="5"/>
  <c r="L486" i="5" s="1"/>
  <c r="T486" i="5" s="1"/>
  <c r="K372" i="5"/>
  <c r="L372" i="5" s="1"/>
  <c r="T372" i="5" s="1"/>
  <c r="K5" i="5"/>
  <c r="L5" i="5" s="1"/>
  <c r="T5" i="5" s="1"/>
  <c r="K276" i="5"/>
  <c r="L276" i="5" s="1"/>
  <c r="T276" i="5" s="1"/>
  <c r="K428" i="5"/>
  <c r="L428" i="5" s="1"/>
  <c r="T428" i="5" s="1"/>
  <c r="K62" i="5"/>
  <c r="L62" i="5" s="1"/>
  <c r="T62" i="5" s="1"/>
  <c r="K112" i="5"/>
  <c r="L112" i="5" s="1"/>
  <c r="T112" i="5" s="1"/>
  <c r="K331" i="5"/>
  <c r="L331" i="5" s="1"/>
  <c r="T331" i="5" s="1"/>
  <c r="K274" i="5"/>
  <c r="L274" i="5" s="1"/>
  <c r="T274" i="5" s="1"/>
  <c r="K31" i="5"/>
  <c r="L31" i="5" s="1"/>
  <c r="T31" i="5" s="1"/>
  <c r="K282" i="5"/>
  <c r="L282" i="5" s="1"/>
  <c r="T282" i="5" s="1"/>
  <c r="K413" i="5"/>
  <c r="L413" i="5" s="1"/>
  <c r="T413" i="5" s="1"/>
  <c r="K28" i="5"/>
  <c r="L28" i="5" s="1"/>
  <c r="T28" i="5" s="1"/>
  <c r="K9" i="5"/>
  <c r="L9" i="5" s="1"/>
  <c r="T9" i="5" s="1"/>
  <c r="K183" i="5"/>
  <c r="L183" i="5" s="1"/>
  <c r="T183" i="5" s="1"/>
  <c r="K474" i="5"/>
  <c r="L474" i="5" s="1"/>
  <c r="T474" i="5" s="1"/>
  <c r="K110" i="5"/>
  <c r="L110" i="5" s="1"/>
  <c r="T110" i="5" s="1"/>
  <c r="K39" i="5"/>
  <c r="L39" i="5" s="1"/>
  <c r="T39" i="5" s="1"/>
  <c r="K159" i="5"/>
  <c r="L159" i="5" s="1"/>
  <c r="T159" i="5" s="1"/>
  <c r="K490" i="5"/>
  <c r="L490" i="5" s="1"/>
  <c r="T490" i="5" s="1"/>
  <c r="K120" i="5"/>
  <c r="L120" i="5" s="1"/>
  <c r="T120" i="5" s="1"/>
  <c r="K116" i="5"/>
  <c r="L116" i="5" s="1"/>
  <c r="T116" i="5" s="1"/>
  <c r="K427" i="5"/>
  <c r="L427" i="5" s="1"/>
  <c r="T427" i="5" s="1"/>
  <c r="K177" i="5"/>
  <c r="L177" i="5" s="1"/>
  <c r="T177" i="5" s="1"/>
  <c r="K206" i="5"/>
  <c r="L206" i="5" s="1"/>
  <c r="T206" i="5" s="1"/>
  <c r="K371" i="5"/>
  <c r="L371" i="5" s="1"/>
  <c r="T371" i="5" s="1"/>
  <c r="K146" i="5"/>
  <c r="L146" i="5" s="1"/>
  <c r="T146" i="5" s="1"/>
  <c r="K196" i="5"/>
  <c r="L196" i="5" s="1"/>
  <c r="T196" i="5" s="1"/>
  <c r="K385" i="5"/>
  <c r="L385" i="5" s="1"/>
  <c r="T385" i="5" s="1"/>
  <c r="K397" i="5"/>
  <c r="L397" i="5" s="1"/>
  <c r="T397" i="5" s="1"/>
  <c r="K378" i="5"/>
  <c r="L378" i="5" s="1"/>
  <c r="T378" i="5" s="1"/>
  <c r="K488" i="5"/>
  <c r="L488" i="5" s="1"/>
  <c r="T488" i="5" s="1"/>
  <c r="K240" i="5"/>
  <c r="L240" i="5" s="1"/>
  <c r="T240" i="5" s="1"/>
  <c r="K466" i="5"/>
  <c r="L466" i="5" s="1"/>
  <c r="T466" i="5" s="1"/>
  <c r="K143" i="5"/>
  <c r="L143" i="5" s="1"/>
  <c r="T143" i="5" s="1"/>
  <c r="K408" i="5"/>
  <c r="L408" i="5" s="1"/>
  <c r="T408" i="5" s="1"/>
  <c r="K69" i="5"/>
  <c r="L69" i="5" s="1"/>
  <c r="T69" i="5" s="1"/>
  <c r="K233" i="5"/>
  <c r="L233" i="5" s="1"/>
  <c r="T233" i="5" s="1"/>
  <c r="K170" i="5"/>
  <c r="L170" i="5" s="1"/>
  <c r="T170" i="5" s="1"/>
  <c r="K190" i="5"/>
  <c r="L190" i="5" s="1"/>
  <c r="T190" i="5" s="1"/>
  <c r="K239" i="5"/>
  <c r="L239" i="5" s="1"/>
  <c r="T239" i="5" s="1"/>
  <c r="K392" i="5"/>
  <c r="L392" i="5" s="1"/>
  <c r="T392" i="5" s="1"/>
  <c r="K313" i="5"/>
  <c r="L313" i="5" s="1"/>
  <c r="T313" i="5" s="1"/>
  <c r="K195" i="5"/>
  <c r="L195" i="5" s="1"/>
  <c r="T195" i="5" s="1"/>
  <c r="K83" i="5"/>
  <c r="L83" i="5" s="1"/>
  <c r="T83" i="5" s="1"/>
  <c r="K111" i="5"/>
  <c r="L111" i="5" s="1"/>
  <c r="T111" i="5" s="1"/>
  <c r="K264" i="5"/>
  <c r="L264" i="5" s="1"/>
  <c r="T264" i="5" s="1"/>
  <c r="K147" i="5"/>
  <c r="L147" i="5" s="1"/>
  <c r="T147" i="5" s="1"/>
  <c r="K94" i="5"/>
  <c r="L94" i="5" s="1"/>
  <c r="T94" i="5" s="1"/>
  <c r="K154" i="5"/>
  <c r="L154" i="5" s="1"/>
  <c r="T154" i="5" s="1"/>
  <c r="K354" i="5"/>
  <c r="L354" i="5" s="1"/>
  <c r="T354" i="5" s="1"/>
  <c r="K412" i="5"/>
  <c r="L412" i="5" s="1"/>
  <c r="T412" i="5" s="1"/>
  <c r="K279" i="5"/>
  <c r="L279" i="5" s="1"/>
  <c r="T279" i="5" s="1"/>
  <c r="K85" i="5"/>
  <c r="L85" i="5" s="1"/>
  <c r="T85" i="5" s="1"/>
  <c r="K105" i="5"/>
  <c r="L105" i="5" s="1"/>
  <c r="T105" i="5" s="1"/>
  <c r="K167" i="5"/>
  <c r="L167" i="5" s="1"/>
  <c r="T167" i="5" s="1"/>
  <c r="K165" i="5"/>
  <c r="L165" i="5" s="1"/>
  <c r="T165" i="5" s="1"/>
  <c r="K201" i="5"/>
  <c r="L201" i="5" s="1"/>
  <c r="T201" i="5" s="1"/>
  <c r="K252" i="5"/>
  <c r="L252" i="5" s="1"/>
  <c r="T252" i="5" s="1"/>
  <c r="K76" i="5"/>
  <c r="L76" i="5" s="1"/>
  <c r="T76" i="5" s="1"/>
  <c r="K470" i="5"/>
  <c r="L470" i="5" s="1"/>
  <c r="T470" i="5" s="1"/>
  <c r="K236" i="5"/>
  <c r="L236" i="5" s="1"/>
  <c r="T236" i="5" s="1"/>
  <c r="K500" i="5"/>
  <c r="L500" i="5" s="1"/>
  <c r="T500" i="5" s="1"/>
  <c r="K121" i="5"/>
  <c r="L121" i="5" s="1"/>
  <c r="T121" i="5" s="1"/>
  <c r="K293" i="5"/>
  <c r="L293" i="5" s="1"/>
  <c r="T293" i="5" s="1"/>
  <c r="K434" i="5"/>
  <c r="L434" i="5" s="1"/>
  <c r="T434" i="5" s="1"/>
  <c r="K457" i="5"/>
  <c r="L457" i="5" s="1"/>
  <c r="T457" i="5" s="1"/>
  <c r="K369" i="5"/>
  <c r="L369" i="5" s="1"/>
  <c r="T369" i="5" s="1"/>
  <c r="K418" i="5"/>
  <c r="L418" i="5" s="1"/>
  <c r="T418" i="5" s="1"/>
  <c r="K249" i="5"/>
  <c r="L249" i="5" s="1"/>
  <c r="T249" i="5" s="1"/>
  <c r="K267" i="5"/>
  <c r="L267" i="5" s="1"/>
  <c r="T267" i="5" s="1"/>
  <c r="K270" i="5"/>
  <c r="L270" i="5" s="1"/>
  <c r="T270" i="5" s="1"/>
  <c r="K314" i="5"/>
  <c r="L314" i="5" s="1"/>
  <c r="T314" i="5" s="1"/>
  <c r="K400" i="5"/>
  <c r="L400" i="5" s="1"/>
  <c r="T400" i="5" s="1"/>
  <c r="K324" i="5"/>
  <c r="L324" i="5" s="1"/>
  <c r="T324" i="5" s="1"/>
  <c r="K38" i="5"/>
  <c r="L38" i="5" s="1"/>
  <c r="T38" i="5" s="1"/>
  <c r="K198" i="5"/>
  <c r="L198" i="5" s="1"/>
  <c r="T198" i="5" s="1"/>
  <c r="K141" i="5"/>
  <c r="L141" i="5" s="1"/>
  <c r="T141" i="5" s="1"/>
  <c r="K390" i="5"/>
  <c r="L390" i="5" s="1"/>
  <c r="T390" i="5" s="1"/>
  <c r="K440" i="5"/>
  <c r="L440" i="5" s="1"/>
  <c r="T440" i="5" s="1"/>
  <c r="K303" i="5"/>
  <c r="L303" i="5" s="1"/>
  <c r="T303" i="5" s="1"/>
  <c r="K420" i="5"/>
  <c r="L420" i="5" s="1"/>
  <c r="T420" i="5" s="1"/>
  <c r="K61" i="5"/>
  <c r="L61" i="5" s="1"/>
  <c r="T61" i="5" s="1"/>
  <c r="K471" i="5"/>
  <c r="L471" i="5" s="1"/>
  <c r="T471" i="5" s="1"/>
  <c r="K250" i="5"/>
  <c r="L250" i="5" s="1"/>
  <c r="T250" i="5" s="1"/>
  <c r="K113" i="5"/>
  <c r="L113" i="5" s="1"/>
  <c r="T113" i="5" s="1"/>
  <c r="K91" i="5"/>
  <c r="L91" i="5" s="1"/>
  <c r="T91" i="5" s="1"/>
  <c r="K463" i="5"/>
  <c r="L463" i="5" s="1"/>
  <c r="T463" i="5" s="1"/>
  <c r="K268" i="5"/>
  <c r="L268" i="5" s="1"/>
  <c r="T268" i="5" s="1"/>
  <c r="K376" i="5"/>
  <c r="L376" i="5" s="1"/>
  <c r="T376" i="5" s="1"/>
  <c r="K152" i="5"/>
  <c r="L152" i="5" s="1"/>
  <c r="T152" i="5" s="1"/>
  <c r="K398" i="5"/>
  <c r="L398" i="5" s="1"/>
  <c r="T398" i="5" s="1"/>
  <c r="K40" i="5"/>
  <c r="L40" i="5" s="1"/>
  <c r="T40" i="5" s="1"/>
  <c r="K327" i="5"/>
  <c r="L327" i="5" s="1"/>
  <c r="T327" i="5" s="1"/>
  <c r="K200" i="5"/>
  <c r="L200" i="5" s="1"/>
  <c r="T200" i="5" s="1"/>
  <c r="K304" i="5"/>
  <c r="L304" i="5" s="1"/>
  <c r="T304" i="5" s="1"/>
  <c r="K410" i="5"/>
  <c r="L410" i="5" s="1"/>
  <c r="T410" i="5" s="1"/>
  <c r="K149" i="5"/>
  <c r="L149" i="5" s="1"/>
  <c r="T149" i="5" s="1"/>
  <c r="K319" i="5"/>
  <c r="L319" i="5" s="1"/>
  <c r="T319" i="5" s="1"/>
  <c r="K298" i="5"/>
  <c r="L298" i="5" s="1"/>
  <c r="T298" i="5" s="1"/>
  <c r="K125" i="5"/>
  <c r="L125" i="5" s="1"/>
  <c r="T125" i="5" s="1"/>
  <c r="K384" i="5"/>
  <c r="L384" i="5" s="1"/>
  <c r="T384" i="5" s="1"/>
  <c r="K98" i="5"/>
  <c r="L98" i="5" s="1"/>
  <c r="T98" i="5" s="1"/>
  <c r="K145" i="5"/>
  <c r="L145" i="5" s="1"/>
  <c r="T145" i="5" s="1"/>
  <c r="K241" i="5"/>
  <c r="L241" i="5" s="1"/>
  <c r="T241" i="5" s="1"/>
  <c r="K323" i="5"/>
  <c r="L323" i="5" s="1"/>
  <c r="T323" i="5" s="1"/>
  <c r="K99" i="5"/>
  <c r="L99" i="5" s="1"/>
  <c r="T99" i="5" s="1"/>
  <c r="K473" i="5"/>
  <c r="L473" i="5" s="1"/>
  <c r="T473" i="5" s="1"/>
  <c r="K124" i="5"/>
  <c r="L124" i="5" s="1"/>
  <c r="T124" i="5" s="1"/>
  <c r="K185" i="5"/>
  <c r="L185" i="5" s="1"/>
  <c r="T185" i="5" s="1"/>
  <c r="K204" i="5"/>
  <c r="L204" i="5" s="1"/>
  <c r="T204" i="5" s="1"/>
  <c r="K248" i="5"/>
  <c r="L248" i="5" s="1"/>
  <c r="T248" i="5" s="1"/>
  <c r="K318" i="5"/>
  <c r="L318" i="5" s="1"/>
  <c r="T318" i="5" s="1"/>
  <c r="K366" i="5"/>
  <c r="L366" i="5" s="1"/>
  <c r="T366" i="5" s="1"/>
  <c r="K414" i="5"/>
  <c r="L414" i="5" s="1"/>
  <c r="T414" i="5" s="1"/>
  <c r="K498" i="5"/>
  <c r="L498" i="5" s="1"/>
  <c r="T498" i="5" s="1"/>
  <c r="K127" i="5"/>
  <c r="L127" i="5" s="1"/>
  <c r="T127" i="5" s="1"/>
  <c r="K491" i="5"/>
  <c r="L491" i="5" s="1"/>
  <c r="T491" i="5" s="1"/>
  <c r="K225" i="5"/>
  <c r="L225" i="5" s="1"/>
  <c r="T225" i="5" s="1"/>
  <c r="K144" i="5"/>
  <c r="L144" i="5" s="1"/>
  <c r="T144" i="5" s="1"/>
  <c r="K221" i="5"/>
  <c r="L221" i="5" s="1"/>
  <c r="T221" i="5" s="1"/>
  <c r="K131" i="5"/>
  <c r="L131" i="5" s="1"/>
  <c r="T131" i="5" s="1"/>
  <c r="K439" i="5"/>
  <c r="L439" i="5" s="1"/>
  <c r="T439" i="5" s="1"/>
  <c r="K300" i="5"/>
  <c r="L300" i="5" s="1"/>
  <c r="T300" i="5" s="1"/>
  <c r="K453" i="5"/>
  <c r="L453" i="5" s="1"/>
  <c r="T453" i="5" s="1"/>
  <c r="K394" i="5"/>
  <c r="L394" i="5" s="1"/>
  <c r="T394" i="5" s="1"/>
  <c r="K404" i="5"/>
  <c r="L404" i="5" s="1"/>
  <c r="T404" i="5" s="1"/>
  <c r="K370" i="5"/>
  <c r="L370" i="5" s="1"/>
  <c r="T370" i="5" s="1"/>
  <c r="K296" i="5"/>
  <c r="L296" i="5" s="1"/>
  <c r="T296" i="5" s="1"/>
  <c r="K382" i="5"/>
  <c r="L382" i="5" s="1"/>
  <c r="T382" i="5" s="1"/>
  <c r="K356" i="5"/>
  <c r="L356" i="5" s="1"/>
  <c r="T356" i="5" s="1"/>
  <c r="K114" i="5"/>
  <c r="L114" i="5" s="1"/>
  <c r="T114" i="5" s="1"/>
  <c r="K181" i="5"/>
  <c r="L181" i="5" s="1"/>
  <c r="T181" i="5" s="1"/>
  <c r="K320" i="5"/>
  <c r="L320" i="5" s="1"/>
  <c r="T320" i="5" s="1"/>
  <c r="K426" i="5"/>
  <c r="L426" i="5" s="1"/>
  <c r="T426" i="5" s="1"/>
  <c r="K343" i="5"/>
  <c r="L343" i="5" s="1"/>
  <c r="T343" i="5" s="1"/>
  <c r="K481" i="5"/>
  <c r="L481" i="5" s="1"/>
  <c r="T481" i="5" s="1"/>
  <c r="K375" i="5"/>
  <c r="L375" i="5" s="1"/>
  <c r="T375" i="5" s="1"/>
  <c r="K235" i="5"/>
  <c r="L235" i="5" s="1"/>
  <c r="T235" i="5" s="1"/>
  <c r="K166" i="5"/>
  <c r="L166" i="5" s="1"/>
  <c r="T166" i="5" s="1"/>
  <c r="K138" i="5"/>
  <c r="L138" i="5" s="1"/>
  <c r="T138" i="5" s="1"/>
  <c r="K199" i="5"/>
  <c r="L199" i="5" s="1"/>
  <c r="T199" i="5" s="1"/>
  <c r="K260" i="5"/>
  <c r="L260" i="5" s="1"/>
  <c r="T260" i="5" s="1"/>
  <c r="K234" i="5"/>
  <c r="L234" i="5" s="1"/>
  <c r="T234" i="5" s="1"/>
  <c r="K117" i="5"/>
  <c r="L117" i="5" s="1"/>
  <c r="T117" i="5" s="1"/>
  <c r="K122" i="5"/>
  <c r="L122" i="5" s="1"/>
  <c r="T122" i="5" s="1"/>
  <c r="K363" i="5"/>
  <c r="L363" i="5" s="1"/>
  <c r="T363" i="5" s="1"/>
  <c r="K226" i="5"/>
  <c r="L226" i="5" s="1"/>
  <c r="T226" i="5" s="1"/>
  <c r="K443" i="5"/>
  <c r="L443" i="5" s="1"/>
  <c r="T443" i="5" s="1"/>
  <c r="K350" i="5"/>
  <c r="L350" i="5" s="1"/>
  <c r="T350" i="5" s="1"/>
  <c r="K129" i="5"/>
  <c r="L129" i="5" s="1"/>
  <c r="T129" i="5" s="1"/>
  <c r="K287" i="5"/>
  <c r="L287" i="5" s="1"/>
  <c r="T287" i="5" s="1"/>
  <c r="K430" i="5"/>
  <c r="L430" i="5" s="1"/>
  <c r="T430" i="5" s="1"/>
  <c r="K109" i="5"/>
  <c r="L109" i="5" s="1"/>
  <c r="T109" i="5" s="1"/>
  <c r="K386" i="5"/>
  <c r="L386" i="5" s="1"/>
  <c r="T386" i="5" s="1"/>
  <c r="K338" i="5"/>
  <c r="L338" i="5" s="1"/>
  <c r="T338" i="5" s="1"/>
  <c r="K135" i="5"/>
  <c r="L135" i="5" s="1"/>
  <c r="T135" i="5" s="1"/>
  <c r="K379" i="5"/>
  <c r="L379" i="5" s="1"/>
  <c r="T379" i="5" s="1"/>
  <c r="K46" i="5"/>
  <c r="L46" i="5" s="1"/>
  <c r="T46" i="5" s="1"/>
  <c r="K483" i="5"/>
  <c r="L483" i="5" s="1"/>
  <c r="T483" i="5" s="1"/>
  <c r="K67" i="5"/>
  <c r="L67" i="5" s="1"/>
  <c r="T67" i="5" s="1"/>
  <c r="K285" i="5"/>
  <c r="L285" i="5" s="1"/>
  <c r="T285" i="5" s="1"/>
  <c r="K87" i="5"/>
  <c r="L87" i="5" s="1"/>
  <c r="T87" i="5" s="1"/>
  <c r="K244" i="5"/>
  <c r="L244" i="5" s="1"/>
  <c r="T244" i="5" s="1"/>
  <c r="K188" i="5"/>
  <c r="L188" i="5" s="1"/>
  <c r="T188" i="5" s="1"/>
  <c r="K401" i="5"/>
  <c r="L401" i="5" s="1"/>
  <c r="T401" i="5" s="1"/>
  <c r="K161" i="5"/>
  <c r="L161" i="5" s="1"/>
  <c r="T161" i="5" s="1"/>
  <c r="K14" i="5"/>
  <c r="L14" i="5" s="1"/>
  <c r="T14" i="5" s="1"/>
  <c r="K37" i="5"/>
  <c r="L37" i="5" s="1"/>
  <c r="T37" i="5" s="1"/>
  <c r="K30" i="5"/>
  <c r="L30" i="5" s="1"/>
  <c r="T30" i="5" s="1"/>
  <c r="K172" i="5"/>
  <c r="K417" i="5"/>
  <c r="L417" i="5" s="1"/>
  <c r="T417" i="5" s="1"/>
  <c r="K355" i="5"/>
  <c r="L355" i="5" s="1"/>
  <c r="T355" i="5" s="1"/>
  <c r="K223" i="5"/>
  <c r="L223" i="5" s="1"/>
  <c r="T223" i="5" s="1"/>
  <c r="K97" i="5"/>
  <c r="L97" i="5" s="1"/>
  <c r="T97" i="5" s="1"/>
  <c r="K53" i="5"/>
  <c r="L53" i="5" s="1"/>
  <c r="T53" i="5" s="1"/>
  <c r="K242" i="5"/>
  <c r="L242" i="5" s="1"/>
  <c r="T242" i="5" s="1"/>
  <c r="K388" i="5"/>
  <c r="L388" i="5" s="1"/>
  <c r="T388" i="5" s="1"/>
  <c r="K353" i="5"/>
  <c r="L353" i="5" s="1"/>
  <c r="T353" i="5" s="1"/>
  <c r="K396" i="5"/>
  <c r="L396" i="5" s="1"/>
  <c r="T396" i="5" s="1"/>
  <c r="K180" i="5"/>
  <c r="L180" i="5" s="1"/>
  <c r="T180" i="5" s="1"/>
  <c r="K43" i="5"/>
  <c r="L43" i="5" s="1"/>
  <c r="T43" i="5" s="1"/>
  <c r="K456" i="5"/>
  <c r="L456" i="5" s="1"/>
  <c r="T456" i="5" s="1"/>
  <c r="K405" i="5"/>
  <c r="L405" i="5" s="1"/>
  <c r="T405" i="5" s="1"/>
  <c r="K208" i="5"/>
  <c r="L208" i="5" s="1"/>
  <c r="T208" i="5" s="1"/>
  <c r="K284" i="5"/>
  <c r="L284" i="5" s="1"/>
  <c r="T284" i="5" s="1"/>
  <c r="K360" i="5"/>
  <c r="L360" i="5" s="1"/>
  <c r="T360" i="5" s="1"/>
  <c r="K256" i="5"/>
  <c r="L256" i="5" s="1"/>
  <c r="T256" i="5" s="1"/>
  <c r="K431" i="5"/>
  <c r="L431" i="5" s="1"/>
  <c r="T431" i="5" s="1"/>
  <c r="K6" i="5"/>
  <c r="L6" i="5" s="1"/>
  <c r="T6" i="5" s="1"/>
  <c r="K258" i="5"/>
  <c r="L258" i="5" s="1"/>
  <c r="T258" i="5" s="1"/>
  <c r="K469" i="5"/>
  <c r="L469" i="5" s="1"/>
  <c r="T469" i="5" s="1"/>
  <c r="K102" i="5"/>
  <c r="L102" i="5" s="1"/>
  <c r="T102" i="5" s="1"/>
  <c r="K228" i="5"/>
  <c r="L228" i="5" s="1"/>
  <c r="T228" i="5" s="1"/>
  <c r="K446" i="5"/>
  <c r="L446" i="5" s="1"/>
  <c r="T446" i="5" s="1"/>
  <c r="K215" i="5"/>
  <c r="L215" i="5" s="1"/>
  <c r="T215" i="5" s="1"/>
  <c r="K441" i="5"/>
  <c r="L441" i="5" s="1"/>
  <c r="T441" i="5" s="1"/>
  <c r="K173" i="5"/>
  <c r="L173" i="5" s="1"/>
  <c r="T173" i="5" s="1"/>
  <c r="K100" i="5"/>
  <c r="L100" i="5" s="1"/>
  <c r="T100" i="5" s="1"/>
  <c r="K294" i="5"/>
  <c r="L294" i="5" s="1"/>
  <c r="T294" i="5" s="1"/>
  <c r="K217" i="5"/>
  <c r="L217" i="5" s="1"/>
  <c r="T217" i="5" s="1"/>
  <c r="K63" i="5"/>
  <c r="L63" i="5" s="1"/>
  <c r="T63" i="5" s="1"/>
  <c r="K34" i="5"/>
  <c r="L34" i="5" s="1"/>
  <c r="T34" i="5" s="1"/>
  <c r="K269" i="5"/>
  <c r="L269" i="5" s="1"/>
  <c r="T269" i="5" s="1"/>
  <c r="K329" i="5"/>
  <c r="L329" i="5" s="1"/>
  <c r="T329" i="5" s="1"/>
  <c r="K202" i="5"/>
  <c r="L202" i="5" s="1"/>
  <c r="T202" i="5" s="1"/>
  <c r="K467" i="5"/>
  <c r="L467" i="5" s="1"/>
  <c r="T467" i="5" s="1"/>
  <c r="K29" i="5"/>
  <c r="L29" i="5" s="1"/>
  <c r="T29" i="5" s="1"/>
  <c r="K407" i="5"/>
  <c r="L407" i="5" s="1"/>
  <c r="T407" i="5" s="1"/>
  <c r="K232" i="5"/>
  <c r="L232" i="5" s="1"/>
  <c r="T232" i="5" s="1"/>
  <c r="K262" i="5"/>
  <c r="L262" i="5" s="1"/>
  <c r="T262" i="5" s="1"/>
  <c r="K380" i="5"/>
  <c r="L380" i="5" s="1"/>
  <c r="T380" i="5" s="1"/>
  <c r="K290" i="5"/>
  <c r="L290" i="5" s="1"/>
  <c r="T290" i="5" s="1"/>
  <c r="K164" i="5"/>
  <c r="L164" i="5" s="1"/>
  <c r="T164" i="5" s="1"/>
  <c r="K393" i="5"/>
  <c r="L393" i="5" s="1"/>
  <c r="T393" i="5" s="1"/>
  <c r="K444" i="5"/>
  <c r="L444" i="5" s="1"/>
  <c r="T444" i="5" s="1"/>
  <c r="K140" i="5"/>
  <c r="L140" i="5" s="1"/>
  <c r="T140" i="5" s="1"/>
  <c r="K64" i="5"/>
  <c r="L64" i="5" s="1"/>
  <c r="T64" i="5" s="1"/>
  <c r="K137" i="5"/>
  <c r="L137" i="5" s="1"/>
  <c r="T137" i="5" s="1"/>
  <c r="K130" i="5"/>
  <c r="L130" i="5" s="1"/>
  <c r="T130" i="5" s="1"/>
  <c r="K501" i="5"/>
  <c r="L501" i="5" s="1"/>
  <c r="T501" i="5" s="1"/>
  <c r="K10" i="5"/>
  <c r="L10" i="5" s="1"/>
  <c r="T10" i="5" s="1"/>
  <c r="K328" i="5"/>
  <c r="L328" i="5" s="1"/>
  <c r="T328" i="5" s="1"/>
  <c r="K487" i="5"/>
  <c r="L487" i="5" s="1"/>
  <c r="T487" i="5" s="1"/>
  <c r="K66" i="5"/>
  <c r="L66" i="5" s="1"/>
  <c r="T66" i="5" s="1"/>
  <c r="K302" i="5"/>
  <c r="L302" i="5" s="1"/>
  <c r="T302" i="5" s="1"/>
  <c r="K16" i="5"/>
  <c r="L16" i="5" s="1"/>
  <c r="T16" i="5" s="1"/>
  <c r="K158" i="5"/>
  <c r="L158" i="5" s="1"/>
  <c r="T158" i="5" s="1"/>
  <c r="K42" i="5"/>
  <c r="L42" i="5" s="1"/>
  <c r="T42" i="5" s="1"/>
  <c r="K381" i="5"/>
  <c r="L381" i="5" s="1"/>
  <c r="T381" i="5" s="1"/>
  <c r="K422" i="5"/>
  <c r="L422" i="5" s="1"/>
  <c r="T422" i="5" s="1"/>
  <c r="K218" i="5"/>
  <c r="L218" i="5" s="1"/>
  <c r="T218" i="5" s="1"/>
  <c r="K411" i="5"/>
  <c r="L411" i="5" s="1"/>
  <c r="T411" i="5" s="1"/>
  <c r="K281" i="5"/>
  <c r="L281" i="5" s="1"/>
  <c r="T281" i="5" s="1"/>
  <c r="K455" i="5"/>
  <c r="L455" i="5" s="1"/>
  <c r="T455" i="5" s="1"/>
  <c r="K451" i="5"/>
  <c r="L451" i="5" s="1"/>
  <c r="T451" i="5" s="1"/>
  <c r="K339" i="5"/>
  <c r="L339" i="5" s="1"/>
  <c r="T339" i="5" s="1"/>
  <c r="K238" i="5"/>
  <c r="L238" i="5" s="1"/>
  <c r="T238" i="5" s="1"/>
  <c r="K209" i="5"/>
  <c r="L209" i="5" s="1"/>
  <c r="T209" i="5" s="1"/>
  <c r="K214" i="5"/>
  <c r="L214" i="5" s="1"/>
  <c r="T214" i="5" s="1"/>
  <c r="K297" i="5"/>
  <c r="L297" i="5" s="1"/>
  <c r="T297" i="5" s="1"/>
  <c r="K478" i="5"/>
  <c r="L478" i="5" s="1"/>
  <c r="T478" i="5" s="1"/>
  <c r="K253" i="5"/>
  <c r="L253" i="5" s="1"/>
  <c r="T253" i="5" s="1"/>
  <c r="K479" i="5"/>
  <c r="L479" i="5" s="1"/>
  <c r="T479" i="5" s="1"/>
  <c r="K305" i="5"/>
  <c r="L305" i="5" s="1"/>
  <c r="T305" i="5" s="1"/>
  <c r="K352" i="5"/>
  <c r="L352" i="5" s="1"/>
  <c r="T352" i="5" s="1"/>
  <c r="K271" i="5"/>
  <c r="L271" i="5" s="1"/>
  <c r="T271" i="5" s="1"/>
  <c r="K203" i="5"/>
  <c r="L203" i="5" s="1"/>
  <c r="T203" i="5" s="1"/>
  <c r="K163" i="5"/>
  <c r="L163" i="5" s="1"/>
  <c r="T163" i="5" s="1"/>
  <c r="K45" i="5"/>
  <c r="L45" i="5" s="1"/>
  <c r="T45" i="5" s="1"/>
  <c r="K219" i="5"/>
  <c r="L219" i="5" s="1"/>
  <c r="T219" i="5" s="1"/>
  <c r="K403" i="5"/>
  <c r="L403" i="5" s="1"/>
  <c r="T403" i="5" s="1"/>
  <c r="K192" i="5"/>
  <c r="L192" i="5" s="1"/>
  <c r="T192" i="5" s="1"/>
  <c r="K311" i="5"/>
  <c r="L311" i="5" s="1"/>
  <c r="T311" i="5" s="1"/>
  <c r="K261" i="5"/>
  <c r="L261" i="5" s="1"/>
  <c r="T261" i="5" s="1"/>
  <c r="K107" i="5"/>
  <c r="L107" i="5" s="1"/>
  <c r="T107" i="5" s="1"/>
  <c r="K55" i="5"/>
  <c r="L55" i="5" s="1"/>
  <c r="T55" i="5" s="1"/>
  <c r="K391" i="5"/>
  <c r="L391" i="5" s="1"/>
  <c r="T391" i="5" s="1"/>
  <c r="K3" i="5"/>
  <c r="L3" i="5" s="1"/>
  <c r="T3" i="5" s="1"/>
  <c r="K462" i="5"/>
  <c r="L462" i="5" s="1"/>
  <c r="T462" i="5" s="1"/>
  <c r="K51" i="5"/>
  <c r="L51" i="5" s="1"/>
  <c r="T51" i="5" s="1"/>
  <c r="K421" i="5"/>
  <c r="L421" i="5" s="1"/>
  <c r="T421" i="5" s="1"/>
  <c r="K82" i="5"/>
  <c r="L82" i="5" s="1"/>
  <c r="T82" i="5" s="1"/>
  <c r="K207" i="5"/>
  <c r="L207" i="5" s="1"/>
  <c r="T207" i="5" s="1"/>
  <c r="K36" i="5"/>
  <c r="L36" i="5" s="1"/>
  <c r="T36" i="5" s="1"/>
  <c r="K432" i="5"/>
  <c r="L432" i="5" s="1"/>
  <c r="T432" i="5" s="1"/>
  <c r="K265" i="5"/>
  <c r="L265" i="5" s="1"/>
  <c r="T265" i="5" s="1"/>
  <c r="K429" i="5"/>
  <c r="L429" i="5" s="1"/>
  <c r="T429" i="5" s="1"/>
  <c r="K495" i="5"/>
  <c r="L495" i="5" s="1"/>
  <c r="T495" i="5" s="1"/>
  <c r="K368" i="5"/>
  <c r="L368" i="5" s="1"/>
  <c r="T368" i="5" s="1"/>
  <c r="K93" i="5"/>
  <c r="L93" i="5" s="1"/>
  <c r="T93" i="5" s="1"/>
  <c r="K341" i="5"/>
  <c r="L341" i="5" s="1"/>
  <c r="T341" i="5" s="1"/>
  <c r="K497" i="5"/>
  <c r="L497" i="5" s="1"/>
  <c r="T497" i="5" s="1"/>
  <c r="K54" i="5"/>
  <c r="L54" i="5" s="1"/>
  <c r="T54" i="5" s="1"/>
  <c r="K347" i="5"/>
  <c r="L347" i="5" s="1"/>
  <c r="T347" i="5" s="1"/>
  <c r="K266" i="5"/>
  <c r="L266" i="5" s="1"/>
  <c r="T266" i="5" s="1"/>
  <c r="K243" i="5"/>
  <c r="L243" i="5" s="1"/>
  <c r="T243" i="5" s="1"/>
  <c r="K15" i="5"/>
  <c r="L15" i="5" s="1"/>
  <c r="T15" i="5" s="1"/>
  <c r="K317" i="5"/>
  <c r="L317" i="5" s="1"/>
  <c r="T317" i="5" s="1"/>
  <c r="K90" i="5"/>
  <c r="L90" i="5" s="1"/>
  <c r="T90" i="5" s="1"/>
  <c r="K389" i="5"/>
  <c r="L389" i="5" s="1"/>
  <c r="T389" i="5" s="1"/>
  <c r="K275" i="5"/>
  <c r="L275" i="5" s="1"/>
  <c r="T275" i="5" s="1"/>
  <c r="K168" i="5"/>
  <c r="L168" i="5" s="1"/>
  <c r="T168" i="5" s="1"/>
  <c r="K330" i="5"/>
  <c r="L330" i="5" s="1"/>
  <c r="T330" i="5" s="1"/>
  <c r="K136" i="5"/>
  <c r="L136" i="5" s="1"/>
  <c r="T136" i="5" s="1"/>
  <c r="K308" i="5"/>
  <c r="L308" i="5" s="1"/>
  <c r="T308" i="5" s="1"/>
  <c r="K321" i="5"/>
  <c r="L321" i="5" s="1"/>
  <c r="T321" i="5" s="1"/>
  <c r="K245" i="5"/>
  <c r="L245" i="5" s="1"/>
  <c r="T245" i="5" s="1"/>
  <c r="K56" i="5"/>
  <c r="L56" i="5" s="1"/>
  <c r="T56" i="5" s="1"/>
  <c r="K365" i="5"/>
  <c r="L365" i="5" s="1"/>
  <c r="T365" i="5" s="1"/>
  <c r="K52" i="5"/>
  <c r="L52" i="5" s="1"/>
  <c r="T52" i="5" s="1"/>
  <c r="K482" i="5"/>
  <c r="L482" i="5" s="1"/>
  <c r="T482" i="5" s="1"/>
  <c r="K176" i="5"/>
  <c r="L176" i="5" s="1"/>
  <c r="T176" i="5" s="1"/>
  <c r="K447" i="5"/>
  <c r="L447" i="5" s="1"/>
  <c r="T447" i="5" s="1"/>
  <c r="K465" i="5"/>
  <c r="L465" i="5" s="1"/>
  <c r="T465" i="5" s="1"/>
  <c r="K189" i="5"/>
  <c r="L189" i="5" s="1"/>
  <c r="T189" i="5" s="1"/>
  <c r="K477" i="5"/>
  <c r="L477" i="5" s="1"/>
  <c r="T477" i="5" s="1"/>
  <c r="K171" i="5"/>
  <c r="L171" i="5" s="1"/>
  <c r="T171" i="5" s="1"/>
  <c r="K60" i="5"/>
  <c r="L60" i="5" s="1"/>
  <c r="T60" i="5" s="1"/>
  <c r="K476" i="5"/>
  <c r="L476" i="5" s="1"/>
  <c r="T476" i="5" s="1"/>
  <c r="K50" i="5"/>
  <c r="L50" i="5" s="1"/>
  <c r="T50" i="5" s="1"/>
  <c r="K346" i="5"/>
  <c r="L346" i="5" s="1"/>
  <c r="T346" i="5" s="1"/>
  <c r="K237" i="5"/>
  <c r="L237" i="5" s="1"/>
  <c r="T237" i="5" s="1"/>
  <c r="K254" i="5"/>
  <c r="L254" i="5" s="1"/>
  <c r="T254" i="5" s="1"/>
  <c r="K23" i="5"/>
  <c r="L23" i="5" s="1"/>
  <c r="T23" i="5" s="1"/>
  <c r="K315" i="5"/>
  <c r="L315" i="5" s="1"/>
  <c r="T315" i="5" s="1"/>
  <c r="K461" i="5"/>
  <c r="L461" i="5" s="1"/>
  <c r="T461" i="5" s="1"/>
  <c r="K162" i="5"/>
  <c r="L162" i="5" s="1"/>
  <c r="T162" i="5" s="1"/>
  <c r="K278" i="5"/>
  <c r="L278" i="5" s="1"/>
  <c r="T278" i="5" s="1"/>
  <c r="K445" i="5"/>
  <c r="L445" i="5" s="1"/>
  <c r="T445" i="5" s="1"/>
  <c r="K193" i="5"/>
  <c r="L193" i="5" s="1"/>
  <c r="T193" i="5" s="1"/>
  <c r="K387" i="5"/>
  <c r="L387" i="5" s="1"/>
  <c r="T387" i="5" s="1"/>
  <c r="K295" i="5"/>
  <c r="L295" i="5" s="1"/>
  <c r="T295" i="5" s="1"/>
  <c r="K415" i="5"/>
  <c r="L415" i="5" s="1"/>
  <c r="T415" i="5" s="1"/>
  <c r="K493" i="5"/>
  <c r="L493" i="5" s="1"/>
  <c r="T493" i="5" s="1"/>
  <c r="K345" i="5"/>
  <c r="L345" i="5" s="1"/>
  <c r="T345" i="5" s="1"/>
  <c r="K259" i="5"/>
  <c r="L259" i="5" s="1"/>
  <c r="T259" i="5" s="1"/>
  <c r="K310" i="5"/>
  <c r="L310" i="5" s="1"/>
  <c r="T310" i="5" s="1"/>
  <c r="K151" i="5"/>
  <c r="L151" i="5" s="1"/>
  <c r="T151" i="5" s="1"/>
  <c r="K132" i="5"/>
  <c r="L132" i="5" s="1"/>
  <c r="T132" i="5" s="1"/>
  <c r="K153" i="5"/>
  <c r="L153" i="5" s="1"/>
  <c r="T153" i="5" s="1"/>
  <c r="K361" i="5"/>
  <c r="L361" i="5" s="1"/>
  <c r="T361" i="5" s="1"/>
  <c r="K101" i="5"/>
  <c r="L101" i="5" s="1"/>
  <c r="T101" i="5" s="1"/>
  <c r="K374" i="5"/>
  <c r="L374" i="5" s="1"/>
  <c r="T374" i="5" s="1"/>
  <c r="K89" i="5"/>
  <c r="L89" i="5" s="1"/>
  <c r="T89" i="5" s="1"/>
  <c r="K460" i="5"/>
  <c r="L460" i="5" s="1"/>
  <c r="T460" i="5" s="1"/>
  <c r="K332" i="5"/>
  <c r="L332" i="5" s="1"/>
  <c r="T332" i="5" s="1"/>
  <c r="K216" i="5"/>
  <c r="L216" i="5" s="1"/>
  <c r="T216" i="5" s="1"/>
  <c r="K468" i="5"/>
  <c r="L468" i="5" s="1"/>
  <c r="T468" i="5" s="1"/>
  <c r="K123" i="5"/>
  <c r="L123" i="5" s="1"/>
  <c r="T123" i="5" s="1"/>
  <c r="K22" i="5"/>
  <c r="L22" i="5" s="1"/>
  <c r="T22" i="5" s="1"/>
  <c r="K73" i="5"/>
  <c r="L73" i="5" s="1"/>
  <c r="T73" i="5" s="1"/>
  <c r="K108" i="5"/>
  <c r="L108" i="5" s="1"/>
  <c r="T108" i="5" s="1"/>
  <c r="K272" i="5"/>
  <c r="L272" i="5" s="1"/>
  <c r="T272" i="5" s="1"/>
  <c r="K437" i="5"/>
  <c r="L437" i="5" s="1"/>
  <c r="T437" i="5" s="1"/>
  <c r="K104" i="5"/>
  <c r="L104" i="5" s="1"/>
  <c r="T104" i="5" s="1"/>
  <c r="I277" i="5"/>
  <c r="I95" i="5"/>
  <c r="I8" i="5"/>
  <c r="I169" i="5"/>
  <c r="I92" i="5"/>
  <c r="I68" i="5"/>
  <c r="I364" i="5"/>
  <c r="I230" i="5"/>
  <c r="I194" i="5"/>
  <c r="I484" i="5"/>
  <c r="I220" i="5"/>
  <c r="I182" i="5"/>
  <c r="I309" i="5"/>
  <c r="I251" i="5"/>
  <c r="I12" i="5"/>
  <c r="I383" i="5"/>
  <c r="I373" i="5"/>
  <c r="I32" i="5"/>
  <c r="I496" i="5"/>
  <c r="I139" i="5"/>
  <c r="I157" i="5"/>
  <c r="I86" i="5"/>
  <c r="I119" i="5"/>
  <c r="I174" i="5"/>
  <c r="I325" i="5"/>
  <c r="I333" i="5"/>
  <c r="I81" i="5"/>
  <c r="I454" i="5"/>
  <c r="I312" i="5"/>
  <c r="I255" i="5"/>
  <c r="I342" i="5"/>
  <c r="I335" i="5"/>
  <c r="I11" i="5"/>
  <c r="I280" i="5"/>
  <c r="I70" i="5"/>
  <c r="I419" i="5"/>
  <c r="I205" i="5"/>
  <c r="I395" i="5"/>
  <c r="I307" i="5"/>
  <c r="I301" i="5"/>
  <c r="I349" i="5"/>
  <c r="I57" i="5"/>
  <c r="I191" i="5"/>
  <c r="I148" i="5"/>
  <c r="I160" i="5"/>
  <c r="I224" i="5"/>
  <c r="I257" i="5"/>
  <c r="I155" i="5"/>
  <c r="I178" i="5"/>
  <c r="I212" i="5"/>
  <c r="I291" i="5"/>
  <c r="I78" i="5"/>
  <c r="I449" i="5"/>
  <c r="I351" i="5"/>
  <c r="I150" i="5"/>
  <c r="I448" i="5"/>
  <c r="I75" i="5"/>
  <c r="I4" i="5"/>
  <c r="I79" i="5"/>
  <c r="I402" i="5"/>
  <c r="I436" i="5"/>
  <c r="I489" i="5"/>
  <c r="I299" i="5"/>
  <c r="I65" i="5"/>
  <c r="I485" i="5"/>
  <c r="I283" i="5"/>
  <c r="I72" i="5"/>
  <c r="I175" i="5"/>
  <c r="I35" i="5"/>
  <c r="I74" i="5"/>
  <c r="I80" i="5"/>
  <c r="I2" i="5"/>
  <c r="I13" i="5"/>
  <c r="I340" i="5"/>
  <c r="I24" i="5"/>
  <c r="I480" i="5"/>
  <c r="I492" i="5"/>
  <c r="I106" i="5"/>
  <c r="I84" i="5"/>
  <c r="I187" i="5"/>
  <c r="I142" i="5"/>
  <c r="I20" i="5"/>
  <c r="I358" i="5"/>
  <c r="I134" i="5"/>
  <c r="I126" i="5"/>
  <c r="I103" i="5"/>
  <c r="I41" i="5"/>
  <c r="I472" i="5"/>
  <c r="I48" i="5"/>
  <c r="I316" i="5"/>
  <c r="I450" i="5"/>
  <c r="I367" i="5"/>
  <c r="I179" i="5"/>
  <c r="I288" i="5"/>
  <c r="I348" i="5"/>
  <c r="I133" i="5"/>
  <c r="I435" i="5"/>
  <c r="I458" i="5"/>
  <c r="I71" i="5"/>
  <c r="I359" i="5"/>
  <c r="I425" i="5"/>
  <c r="I336" i="5"/>
  <c r="I229" i="5"/>
  <c r="I438" i="5"/>
  <c r="I210" i="5"/>
  <c r="I334" i="5"/>
  <c r="I222" i="5"/>
  <c r="I49" i="5"/>
  <c r="I326" i="5"/>
  <c r="I186" i="5"/>
  <c r="I499" i="5"/>
  <c r="I357" i="5"/>
  <c r="I322" i="5"/>
  <c r="I197" i="5"/>
  <c r="I337" i="5"/>
  <c r="I494" i="5"/>
  <c r="I452" i="5"/>
  <c r="I33" i="5"/>
  <c r="I88" i="5"/>
  <c r="I433" i="5"/>
  <c r="I77" i="5"/>
  <c r="I459" i="5"/>
  <c r="I17" i="5"/>
  <c r="I423" i="5"/>
  <c r="I184" i="5"/>
  <c r="I475" i="5"/>
  <c r="I21" i="5"/>
  <c r="I399" i="5"/>
  <c r="I58" i="5"/>
  <c r="I306" i="5"/>
  <c r="I344" i="5"/>
  <c r="I442" i="5"/>
  <c r="I406" i="5"/>
  <c r="I27" i="5"/>
  <c r="I263" i="5"/>
  <c r="I44" i="5"/>
  <c r="I273" i="5"/>
  <c r="I211" i="5"/>
  <c r="I289" i="5"/>
  <c r="I128" i="5"/>
  <c r="I416" i="5"/>
  <c r="I115" i="5"/>
  <c r="I362" i="5"/>
  <c r="I292" i="5"/>
  <c r="I156" i="5"/>
  <c r="I59" i="5"/>
  <c r="I213" i="5"/>
  <c r="I26" i="5"/>
  <c r="I19" i="5"/>
  <c r="I247" i="5"/>
  <c r="I231" i="5"/>
  <c r="I227" i="5"/>
  <c r="I96" i="5"/>
  <c r="I464" i="5"/>
  <c r="I286" i="5"/>
  <c r="I25" i="5"/>
  <c r="I246" i="5"/>
  <c r="I424" i="5"/>
  <c r="I377" i="5"/>
  <c r="I7" i="5"/>
  <c r="I118" i="5"/>
  <c r="I47" i="5"/>
  <c r="I409" i="5"/>
  <c r="I18" i="5"/>
  <c r="I486" i="5"/>
  <c r="I372" i="5"/>
  <c r="I5" i="5"/>
  <c r="I276" i="5"/>
  <c r="I428" i="5"/>
  <c r="I62" i="5"/>
  <c r="I112" i="5"/>
  <c r="I331" i="5"/>
  <c r="I274" i="5"/>
  <c r="I31" i="5"/>
  <c r="I282" i="5"/>
  <c r="I413" i="5"/>
  <c r="I28" i="5"/>
  <c r="I9" i="5"/>
  <c r="I183" i="5"/>
  <c r="I474" i="5"/>
  <c r="I110" i="5"/>
  <c r="I39" i="5"/>
  <c r="I159" i="5"/>
  <c r="I490" i="5"/>
  <c r="I120" i="5"/>
  <c r="I116" i="5"/>
  <c r="I427" i="5"/>
  <c r="I177" i="5"/>
  <c r="I206" i="5"/>
  <c r="I371" i="5"/>
  <c r="I146" i="5"/>
  <c r="I196" i="5"/>
  <c r="I385" i="5"/>
  <c r="I397" i="5"/>
  <c r="I378" i="5"/>
  <c r="I488" i="5"/>
  <c r="I240" i="5"/>
  <c r="I466" i="5"/>
  <c r="I143" i="5"/>
  <c r="I408" i="5"/>
  <c r="I69" i="5"/>
  <c r="I233" i="5"/>
  <c r="I170" i="5"/>
  <c r="I190" i="5"/>
  <c r="I239" i="5"/>
  <c r="I392" i="5"/>
  <c r="I313" i="5"/>
  <c r="I195" i="5"/>
  <c r="I83" i="5"/>
  <c r="I111" i="5"/>
  <c r="I264" i="5"/>
  <c r="I147" i="5"/>
  <c r="I94" i="5"/>
  <c r="I154" i="5"/>
  <c r="I354" i="5"/>
  <c r="I412" i="5"/>
  <c r="I279" i="5"/>
  <c r="I85" i="5"/>
  <c r="I105" i="5"/>
  <c r="I167" i="5"/>
  <c r="I165" i="5"/>
  <c r="I201" i="5"/>
  <c r="I252" i="5"/>
  <c r="I76" i="5"/>
  <c r="I470" i="5"/>
  <c r="I236" i="5"/>
  <c r="I500" i="5"/>
  <c r="I121" i="5"/>
  <c r="I293" i="5"/>
  <c r="I434" i="5"/>
  <c r="I457" i="5"/>
  <c r="I369" i="5"/>
  <c r="I418" i="5"/>
  <c r="I249" i="5"/>
  <c r="I267" i="5"/>
  <c r="I270" i="5"/>
  <c r="I314" i="5"/>
  <c r="I400" i="5"/>
  <c r="I324" i="5"/>
  <c r="I38" i="5"/>
  <c r="I198" i="5"/>
  <c r="I141" i="5"/>
  <c r="I390" i="5"/>
  <c r="I440" i="5"/>
  <c r="I303" i="5"/>
  <c r="I420" i="5"/>
  <c r="I61" i="5"/>
  <c r="I471" i="5"/>
  <c r="I250" i="5"/>
  <c r="I113" i="5"/>
  <c r="I91" i="5"/>
  <c r="I463" i="5"/>
  <c r="I268" i="5"/>
  <c r="I376" i="5"/>
  <c r="I152" i="5"/>
  <c r="I398" i="5"/>
  <c r="I40" i="5"/>
  <c r="I327" i="5"/>
  <c r="I200" i="5"/>
  <c r="I304" i="5"/>
  <c r="I410" i="5"/>
  <c r="I149" i="5"/>
  <c r="I319" i="5"/>
  <c r="I298" i="5"/>
  <c r="I125" i="5"/>
  <c r="I384" i="5"/>
  <c r="I98" i="5"/>
  <c r="I145" i="5"/>
  <c r="I241" i="5"/>
  <c r="I323" i="5"/>
  <c r="I99" i="5"/>
  <c r="I473" i="5"/>
  <c r="I124" i="5"/>
  <c r="I185" i="5"/>
  <c r="I204" i="5"/>
  <c r="I248" i="5"/>
  <c r="I318" i="5"/>
  <c r="I366" i="5"/>
  <c r="I414" i="5"/>
  <c r="I498" i="5"/>
  <c r="I127" i="5"/>
  <c r="I491" i="5"/>
  <c r="I225" i="5"/>
  <c r="I144" i="5"/>
  <c r="I221" i="5"/>
  <c r="I131" i="5"/>
  <c r="I439" i="5"/>
  <c r="I300" i="5"/>
  <c r="I453" i="5"/>
  <c r="I394" i="5"/>
  <c r="I404" i="5"/>
  <c r="I370" i="5"/>
  <c r="I296" i="5"/>
  <c r="I382" i="5"/>
  <c r="I356" i="5"/>
  <c r="I114" i="5"/>
  <c r="I181" i="5"/>
  <c r="I320" i="5"/>
  <c r="I426" i="5"/>
  <c r="I343" i="5"/>
  <c r="I481" i="5"/>
  <c r="I375" i="5"/>
  <c r="I235" i="5"/>
  <c r="I166" i="5"/>
  <c r="I138" i="5"/>
  <c r="I199" i="5"/>
  <c r="I260" i="5"/>
  <c r="I234" i="5"/>
  <c r="I117" i="5"/>
  <c r="I122" i="5"/>
  <c r="I363" i="5"/>
  <c r="I226" i="5"/>
  <c r="I443" i="5"/>
  <c r="I350" i="5"/>
  <c r="I129" i="5"/>
  <c r="I287" i="5"/>
  <c r="I430" i="5"/>
  <c r="I109" i="5"/>
  <c r="I386" i="5"/>
  <c r="I338" i="5"/>
  <c r="I135" i="5"/>
  <c r="I379" i="5"/>
  <c r="I46" i="5"/>
  <c r="I483" i="5"/>
  <c r="I67" i="5"/>
  <c r="I285" i="5"/>
  <c r="I87" i="5"/>
  <c r="I244" i="5"/>
  <c r="I188" i="5"/>
  <c r="I401" i="5"/>
  <c r="I161" i="5"/>
  <c r="I14" i="5"/>
  <c r="I37" i="5"/>
  <c r="I30" i="5"/>
  <c r="I172" i="5"/>
  <c r="I417" i="5"/>
  <c r="I355" i="5"/>
  <c r="I223" i="5"/>
  <c r="I97" i="5"/>
  <c r="I53" i="5"/>
  <c r="I242" i="5"/>
  <c r="I388" i="5"/>
  <c r="I353" i="5"/>
  <c r="I396" i="5"/>
  <c r="I180" i="5"/>
  <c r="I43" i="5"/>
  <c r="I456" i="5"/>
  <c r="I405" i="5"/>
  <c r="I208" i="5"/>
  <c r="I284" i="5"/>
  <c r="I360" i="5"/>
  <c r="I256" i="5"/>
  <c r="I431" i="5"/>
  <c r="I6" i="5"/>
  <c r="I258" i="5"/>
  <c r="I469" i="5"/>
  <c r="I102" i="5"/>
  <c r="I228" i="5"/>
  <c r="I446" i="5"/>
  <c r="I215" i="5"/>
  <c r="I441" i="5"/>
  <c r="I173" i="5"/>
  <c r="I100" i="5"/>
  <c r="I294" i="5"/>
  <c r="I217" i="5"/>
  <c r="I63" i="5"/>
  <c r="I34" i="5"/>
  <c r="I269" i="5"/>
  <c r="I329" i="5"/>
  <c r="I202" i="5"/>
  <c r="I467" i="5"/>
  <c r="I29" i="5"/>
  <c r="I407" i="5"/>
  <c r="I232" i="5"/>
  <c r="I262" i="5"/>
  <c r="I380" i="5"/>
  <c r="I290" i="5"/>
  <c r="I164" i="5"/>
  <c r="I393" i="5"/>
  <c r="I444" i="5"/>
  <c r="I140" i="5"/>
  <c r="I64" i="5"/>
  <c r="I137" i="5"/>
  <c r="I130" i="5"/>
  <c r="I501" i="5"/>
  <c r="I10" i="5"/>
  <c r="I328" i="5"/>
  <c r="I487" i="5"/>
  <c r="I66" i="5"/>
  <c r="I302" i="5"/>
  <c r="I16" i="5"/>
  <c r="I158" i="5"/>
  <c r="I42" i="5"/>
  <c r="I381" i="5"/>
  <c r="I422" i="5"/>
  <c r="I218" i="5"/>
  <c r="I411" i="5"/>
  <c r="I281" i="5"/>
  <c r="I455" i="5"/>
  <c r="I451" i="5"/>
  <c r="I339" i="5"/>
  <c r="I238" i="5"/>
  <c r="I209" i="5"/>
  <c r="I214" i="5"/>
  <c r="I297" i="5"/>
  <c r="I478" i="5"/>
  <c r="I253" i="5"/>
  <c r="I479" i="5"/>
  <c r="I305" i="5"/>
  <c r="I352" i="5"/>
  <c r="I271" i="5"/>
  <c r="I203" i="5"/>
  <c r="I163" i="5"/>
  <c r="I45" i="5"/>
  <c r="I219" i="5"/>
  <c r="I403" i="5"/>
  <c r="I192" i="5"/>
  <c r="I311" i="5"/>
  <c r="I261" i="5"/>
  <c r="I107" i="5"/>
  <c r="I55" i="5"/>
  <c r="I391" i="5"/>
  <c r="I3" i="5"/>
  <c r="I462" i="5"/>
  <c r="I51" i="5"/>
  <c r="I421" i="5"/>
  <c r="I82" i="5"/>
  <c r="I207" i="5"/>
  <c r="I36" i="5"/>
  <c r="I432" i="5"/>
  <c r="I265" i="5"/>
  <c r="I429" i="5"/>
  <c r="I495" i="5"/>
  <c r="I368" i="5"/>
  <c r="I93" i="5"/>
  <c r="I341" i="5"/>
  <c r="I497" i="5"/>
  <c r="I54" i="5"/>
  <c r="I347" i="5"/>
  <c r="I266" i="5"/>
  <c r="I243" i="5"/>
  <c r="I15" i="5"/>
  <c r="I317" i="5"/>
  <c r="I90" i="5"/>
  <c r="I389" i="5"/>
  <c r="I275" i="5"/>
  <c r="I168" i="5"/>
  <c r="I330" i="5"/>
  <c r="I136" i="5"/>
  <c r="I308" i="5"/>
  <c r="I321" i="5"/>
  <c r="I245" i="5"/>
  <c r="I56" i="5"/>
  <c r="I365" i="5"/>
  <c r="I52" i="5"/>
  <c r="I482" i="5"/>
  <c r="I176" i="5"/>
  <c r="I447" i="5"/>
  <c r="I465" i="5"/>
  <c r="I189" i="5"/>
  <c r="I477" i="5"/>
  <c r="I171" i="5"/>
  <c r="I60" i="5"/>
  <c r="I476" i="5"/>
  <c r="I50" i="5"/>
  <c r="I346" i="5"/>
  <c r="I237" i="5"/>
  <c r="I254" i="5"/>
  <c r="I23" i="5"/>
  <c r="I315" i="5"/>
  <c r="I461" i="5"/>
  <c r="I162" i="5"/>
  <c r="I278" i="5"/>
  <c r="I445" i="5"/>
  <c r="I193" i="5"/>
  <c r="I387" i="5"/>
  <c r="I295" i="5"/>
  <c r="I415" i="5"/>
  <c r="I493" i="5"/>
  <c r="I345" i="5"/>
  <c r="J345" i="5" s="1"/>
  <c r="I259" i="5"/>
  <c r="I310" i="5"/>
  <c r="I151" i="5"/>
  <c r="I132" i="5"/>
  <c r="I153" i="5"/>
  <c r="I361" i="5"/>
  <c r="I101" i="5"/>
  <c r="I374" i="5"/>
  <c r="I89" i="5"/>
  <c r="I460" i="5"/>
  <c r="I332" i="5"/>
  <c r="I216" i="5"/>
  <c r="I468" i="5"/>
  <c r="I123" i="5"/>
  <c r="I22" i="5"/>
  <c r="I73" i="5"/>
  <c r="I108" i="5"/>
  <c r="I272" i="5"/>
  <c r="I437" i="5"/>
  <c r="I104" i="5"/>
  <c r="J104" i="5" s="1"/>
  <c r="L172" i="5" l="1"/>
  <c r="T172" i="5" s="1"/>
  <c r="L2" i="5"/>
  <c r="T2" i="5" s="1"/>
  <c r="W15" i="5"/>
  <c r="W401" i="5"/>
  <c r="W293" i="5"/>
  <c r="W185" i="5"/>
  <c r="W485" i="5"/>
  <c r="W381" i="5"/>
  <c r="W273" i="5"/>
  <c r="W149" i="5"/>
  <c r="U486" i="5"/>
  <c r="W441" i="5"/>
  <c r="W361" i="5"/>
  <c r="W241" i="5"/>
  <c r="W126" i="5"/>
  <c r="U418" i="5"/>
  <c r="W421" i="5"/>
  <c r="W309" i="5"/>
  <c r="W205" i="5"/>
  <c r="W94" i="5"/>
  <c r="U316" i="5"/>
  <c r="W469" i="5"/>
  <c r="W341" i="5"/>
  <c r="W169" i="5"/>
  <c r="W73" i="5"/>
  <c r="W50" i="5"/>
  <c r="U370" i="5"/>
  <c r="U266" i="5"/>
  <c r="U189" i="5"/>
  <c r="U128" i="5"/>
  <c r="W501" i="5"/>
  <c r="W481" i="5"/>
  <c r="W453" i="5"/>
  <c r="W433" i="5"/>
  <c r="W417" i="5"/>
  <c r="W397" i="5"/>
  <c r="W373" i="5"/>
  <c r="W357" i="5"/>
  <c r="W333" i="5"/>
  <c r="W305" i="5"/>
  <c r="W285" i="5"/>
  <c r="W269" i="5"/>
  <c r="W233" i="5"/>
  <c r="W201" i="5"/>
  <c r="W181" i="5"/>
  <c r="W165" i="5"/>
  <c r="W145" i="5"/>
  <c r="W121" i="5"/>
  <c r="W89" i="5"/>
  <c r="W67" i="5"/>
  <c r="W43" i="5"/>
  <c r="W7" i="5"/>
  <c r="U479" i="5"/>
  <c r="U407" i="5"/>
  <c r="U304" i="5"/>
  <c r="U240" i="5"/>
  <c r="U178" i="5"/>
  <c r="W497" i="5"/>
  <c r="W477" i="5"/>
  <c r="W449" i="5"/>
  <c r="W429" i="5"/>
  <c r="W413" i="5"/>
  <c r="W389" i="5"/>
  <c r="W369" i="5"/>
  <c r="W349" i="5"/>
  <c r="W329" i="5"/>
  <c r="W301" i="5"/>
  <c r="W281" i="5"/>
  <c r="W249" i="5"/>
  <c r="W221" i="5"/>
  <c r="W197" i="5"/>
  <c r="W177" i="5"/>
  <c r="W157" i="5"/>
  <c r="W141" i="5"/>
  <c r="W115" i="5"/>
  <c r="W83" i="5"/>
  <c r="W62" i="5"/>
  <c r="W37" i="5"/>
  <c r="U473" i="5"/>
  <c r="U398" i="5"/>
  <c r="U350" i="5"/>
  <c r="U216" i="5"/>
  <c r="U49" i="5"/>
  <c r="W489" i="5"/>
  <c r="W445" i="5"/>
  <c r="W425" i="5"/>
  <c r="W405" i="5"/>
  <c r="W385" i="5"/>
  <c r="W365" i="5"/>
  <c r="W345" i="5"/>
  <c r="W325" i="5"/>
  <c r="W297" i="5"/>
  <c r="W277" i="5"/>
  <c r="W245" i="5"/>
  <c r="W217" i="5"/>
  <c r="W173" i="5"/>
  <c r="W153" i="5"/>
  <c r="W131" i="5"/>
  <c r="W110" i="5"/>
  <c r="W78" i="5"/>
  <c r="W57" i="5"/>
  <c r="W29" i="5"/>
  <c r="U494" i="5"/>
  <c r="U435" i="5"/>
  <c r="U379" i="5"/>
  <c r="U330" i="5"/>
  <c r="U278" i="5"/>
  <c r="U202" i="5"/>
  <c r="U32" i="5"/>
  <c r="U101" i="5"/>
  <c r="W101" i="5"/>
  <c r="W193" i="5"/>
  <c r="U193" i="5"/>
  <c r="W93" i="5"/>
  <c r="U93" i="5"/>
  <c r="U3" i="5"/>
  <c r="W3" i="5"/>
  <c r="U219" i="5"/>
  <c r="W219" i="5"/>
  <c r="U209" i="5"/>
  <c r="W209" i="5"/>
  <c r="U328" i="5"/>
  <c r="W328" i="5"/>
  <c r="U262" i="5"/>
  <c r="W262" i="5"/>
  <c r="U100" i="5"/>
  <c r="W100" i="5"/>
  <c r="U360" i="5"/>
  <c r="W360" i="5"/>
  <c r="U97" i="5"/>
  <c r="W97" i="5"/>
  <c r="U87" i="5"/>
  <c r="W87" i="5"/>
  <c r="U129" i="5"/>
  <c r="W129" i="5"/>
  <c r="U235" i="5"/>
  <c r="W235" i="5"/>
  <c r="U404" i="5"/>
  <c r="W404" i="5"/>
  <c r="U414" i="5"/>
  <c r="W414" i="5"/>
  <c r="U98" i="5"/>
  <c r="W98" i="5"/>
  <c r="U152" i="5"/>
  <c r="W152" i="5"/>
  <c r="U324" i="5"/>
  <c r="W324" i="5"/>
  <c r="U500" i="5"/>
  <c r="W500" i="5"/>
  <c r="U354" i="5"/>
  <c r="W354" i="5"/>
  <c r="U170" i="5"/>
  <c r="W170" i="5"/>
  <c r="U146" i="5"/>
  <c r="W146" i="5"/>
  <c r="U183" i="5"/>
  <c r="W183" i="5"/>
  <c r="U231" i="5"/>
  <c r="W231" i="5"/>
  <c r="U362" i="5"/>
  <c r="W362" i="5"/>
  <c r="U344" i="5"/>
  <c r="W344" i="5"/>
  <c r="U17" i="5"/>
  <c r="W17" i="5"/>
  <c r="U222" i="5"/>
  <c r="W222" i="5"/>
  <c r="U348" i="5"/>
  <c r="W348" i="5"/>
  <c r="U358" i="5"/>
  <c r="W358" i="5"/>
  <c r="W80" i="5"/>
  <c r="U80" i="5"/>
  <c r="U79" i="5"/>
  <c r="W79" i="5"/>
  <c r="U70" i="5"/>
  <c r="W70" i="5"/>
  <c r="U119" i="5"/>
  <c r="W119" i="5"/>
  <c r="U220" i="5"/>
  <c r="W220" i="5"/>
  <c r="W493" i="5"/>
  <c r="W461" i="5"/>
  <c r="W317" i="5"/>
  <c r="W253" i="5"/>
  <c r="W237" i="5"/>
  <c r="W457" i="5"/>
  <c r="W409" i="5"/>
  <c r="W393" i="5"/>
  <c r="W377" i="5"/>
  <c r="W313" i="5"/>
  <c r="W265" i="5"/>
  <c r="W332" i="5"/>
  <c r="U332" i="5"/>
  <c r="U52" i="5"/>
  <c r="W52" i="5"/>
  <c r="W168" i="5"/>
  <c r="U168" i="5"/>
  <c r="U347" i="5"/>
  <c r="W347" i="5"/>
  <c r="U82" i="5"/>
  <c r="W82" i="5"/>
  <c r="U422" i="5"/>
  <c r="W422" i="5"/>
  <c r="U137" i="5"/>
  <c r="W137" i="5"/>
  <c r="W467" i="5"/>
  <c r="U467" i="5"/>
  <c r="U446" i="5"/>
  <c r="W446" i="5"/>
  <c r="U456" i="5"/>
  <c r="W456" i="5"/>
  <c r="U172" i="5"/>
  <c r="W172" i="5"/>
  <c r="U46" i="5"/>
  <c r="W46" i="5"/>
  <c r="W363" i="5"/>
  <c r="U363" i="5"/>
  <c r="U356" i="5"/>
  <c r="W356" i="5"/>
  <c r="W225" i="5"/>
  <c r="U225" i="5"/>
  <c r="U99" i="5"/>
  <c r="W99" i="5"/>
  <c r="U200" i="5"/>
  <c r="W200" i="5"/>
  <c r="U61" i="5"/>
  <c r="W61" i="5"/>
  <c r="U267" i="5"/>
  <c r="W267" i="5"/>
  <c r="U252" i="5"/>
  <c r="W252" i="5"/>
  <c r="U378" i="5"/>
  <c r="W378" i="5"/>
  <c r="U159" i="5"/>
  <c r="W159" i="5"/>
  <c r="U112" i="5"/>
  <c r="W112" i="5"/>
  <c r="U213" i="5"/>
  <c r="W213" i="5"/>
  <c r="U263" i="5"/>
  <c r="W263" i="5"/>
  <c r="U229" i="5"/>
  <c r="W229" i="5"/>
  <c r="U450" i="5"/>
  <c r="W450" i="5"/>
  <c r="U84" i="5"/>
  <c r="W84" i="5"/>
  <c r="W72" i="5"/>
  <c r="U72" i="5"/>
  <c r="U150" i="5"/>
  <c r="W150" i="5"/>
  <c r="U307" i="5"/>
  <c r="W307" i="5"/>
  <c r="U81" i="5"/>
  <c r="W81" i="5"/>
  <c r="U12" i="5"/>
  <c r="W12" i="5"/>
  <c r="W8" i="5"/>
  <c r="U8" i="5"/>
  <c r="W437" i="5"/>
  <c r="W261" i="5"/>
  <c r="U22" i="5"/>
  <c r="W22" i="5"/>
  <c r="U151" i="5"/>
  <c r="W151" i="5"/>
  <c r="U60" i="5"/>
  <c r="W60" i="5"/>
  <c r="U271" i="5"/>
  <c r="W271" i="5"/>
  <c r="W455" i="5"/>
  <c r="U455" i="5"/>
  <c r="W16" i="5"/>
  <c r="U16" i="5"/>
  <c r="U34" i="5"/>
  <c r="W34" i="5"/>
  <c r="U258" i="5"/>
  <c r="W258" i="5"/>
  <c r="U161" i="5"/>
  <c r="W161" i="5"/>
  <c r="U386" i="5"/>
  <c r="W386" i="5"/>
  <c r="U260" i="5"/>
  <c r="W260" i="5"/>
  <c r="U426" i="5"/>
  <c r="W426" i="5"/>
  <c r="W439" i="5"/>
  <c r="U439" i="5"/>
  <c r="U204" i="5"/>
  <c r="W204" i="5"/>
  <c r="U319" i="5"/>
  <c r="W319" i="5"/>
  <c r="U91" i="5"/>
  <c r="W91" i="5"/>
  <c r="U390" i="5"/>
  <c r="W390" i="5"/>
  <c r="U105" i="5"/>
  <c r="W105" i="5"/>
  <c r="U264" i="5"/>
  <c r="W264" i="5"/>
  <c r="U143" i="5"/>
  <c r="W143" i="5"/>
  <c r="W427" i="5"/>
  <c r="U427" i="5"/>
  <c r="U282" i="5"/>
  <c r="W282" i="5"/>
  <c r="U5" i="5"/>
  <c r="W5" i="5"/>
  <c r="U286" i="5"/>
  <c r="W286" i="5"/>
  <c r="U21" i="5"/>
  <c r="W21" i="5"/>
  <c r="U88" i="5"/>
  <c r="W88" i="5"/>
  <c r="W499" i="5"/>
  <c r="U499" i="5"/>
  <c r="U71" i="5"/>
  <c r="W71" i="5"/>
  <c r="W41" i="5"/>
  <c r="U41" i="5"/>
  <c r="U24" i="5"/>
  <c r="W24" i="5"/>
  <c r="U299" i="5"/>
  <c r="W299" i="5"/>
  <c r="U291" i="5"/>
  <c r="W291" i="5"/>
  <c r="U191" i="5"/>
  <c r="W191" i="5"/>
  <c r="U342" i="5"/>
  <c r="W342" i="5"/>
  <c r="U496" i="5"/>
  <c r="W496" i="5"/>
  <c r="U364" i="5"/>
  <c r="W364" i="5"/>
  <c r="W465" i="5"/>
  <c r="W353" i="5"/>
  <c r="W337" i="5"/>
  <c r="W321" i="5"/>
  <c r="W289" i="5"/>
  <c r="W257" i="5"/>
  <c r="U132" i="5"/>
  <c r="W132" i="5"/>
  <c r="U14" i="5"/>
  <c r="W14" i="5"/>
  <c r="U76" i="5"/>
  <c r="W76" i="5"/>
  <c r="U25" i="5"/>
  <c r="W25" i="5"/>
  <c r="U44" i="5"/>
  <c r="W44" i="5"/>
  <c r="W498" i="5"/>
  <c r="W490" i="5"/>
  <c r="W482" i="5"/>
  <c r="W478" i="5"/>
  <c r="W474" i="5"/>
  <c r="W470" i="5"/>
  <c r="W466" i="5"/>
  <c r="W462" i="5"/>
  <c r="W458" i="5"/>
  <c r="W454" i="5"/>
  <c r="W442" i="5"/>
  <c r="W438" i="5"/>
  <c r="W434" i="5"/>
  <c r="W430" i="5"/>
  <c r="W410" i="5"/>
  <c r="W406" i="5"/>
  <c r="W402" i="5"/>
  <c r="W394" i="5"/>
  <c r="W382" i="5"/>
  <c r="W374" i="5"/>
  <c r="W366" i="5"/>
  <c r="W346" i="5"/>
  <c r="W338" i="5"/>
  <c r="W334" i="5"/>
  <c r="W326" i="5"/>
  <c r="W322" i="5"/>
  <c r="W318" i="5"/>
  <c r="W314" i="5"/>
  <c r="W310" i="5"/>
  <c r="W306" i="5"/>
  <c r="W302" i="5"/>
  <c r="W298" i="5"/>
  <c r="W294" i="5"/>
  <c r="W290" i="5"/>
  <c r="W274" i="5"/>
  <c r="W270" i="5"/>
  <c r="W254" i="5"/>
  <c r="W250" i="5"/>
  <c r="W246" i="5"/>
  <c r="W242" i="5"/>
  <c r="W238" i="5"/>
  <c r="W234" i="5"/>
  <c r="W230" i="5"/>
  <c r="W226" i="5"/>
  <c r="W218" i="5"/>
  <c r="W214" i="5"/>
  <c r="W210" i="5"/>
  <c r="W206" i="5"/>
  <c r="W198" i="5"/>
  <c r="W194" i="5"/>
  <c r="W190" i="5"/>
  <c r="W186" i="5"/>
  <c r="W182" i="5"/>
  <c r="W174" i="5"/>
  <c r="W166" i="5"/>
  <c r="W162" i="5"/>
  <c r="W158" i="5"/>
  <c r="W154" i="5"/>
  <c r="W142" i="5"/>
  <c r="W138" i="5"/>
  <c r="W133" i="5"/>
  <c r="W127" i="5"/>
  <c r="W122" i="5"/>
  <c r="W117" i="5"/>
  <c r="W111" i="5"/>
  <c r="W106" i="5"/>
  <c r="W95" i="5"/>
  <c r="W90" i="5"/>
  <c r="W85" i="5"/>
  <c r="W74" i="5"/>
  <c r="W69" i="5"/>
  <c r="W63" i="5"/>
  <c r="W58" i="5"/>
  <c r="W53" i="5"/>
  <c r="W45" i="5"/>
  <c r="W38" i="5"/>
  <c r="W31" i="5"/>
  <c r="W23" i="5"/>
  <c r="W10" i="5"/>
  <c r="W2" i="5"/>
  <c r="U495" i="5"/>
  <c r="U419" i="5"/>
  <c r="U411" i="5"/>
  <c r="U391" i="5"/>
  <c r="U371" i="5"/>
  <c r="U343" i="5"/>
  <c r="U268" i="5"/>
  <c r="U208" i="5"/>
  <c r="U113" i="5"/>
  <c r="U30" i="5"/>
  <c r="W30" i="5"/>
  <c r="U116" i="5"/>
  <c r="W116" i="5"/>
  <c r="U9" i="5"/>
  <c r="W9" i="5"/>
  <c r="U20" i="5"/>
  <c r="W20" i="5"/>
  <c r="U4" i="5"/>
  <c r="W4" i="5"/>
  <c r="U68" i="5"/>
  <c r="W68" i="5"/>
  <c r="W492" i="5"/>
  <c r="W488" i="5"/>
  <c r="W484" i="5"/>
  <c r="W480" i="5"/>
  <c r="W476" i="5"/>
  <c r="W472" i="5"/>
  <c r="W468" i="5"/>
  <c r="W464" i="5"/>
  <c r="W460" i="5"/>
  <c r="W452" i="5"/>
  <c r="W448" i="5"/>
  <c r="W444" i="5"/>
  <c r="W440" i="5"/>
  <c r="W436" i="5"/>
  <c r="W432" i="5"/>
  <c r="W428" i="5"/>
  <c r="W424" i="5"/>
  <c r="W420" i="5"/>
  <c r="W416" i="5"/>
  <c r="W412" i="5"/>
  <c r="W408" i="5"/>
  <c r="W400" i="5"/>
  <c r="W396" i="5"/>
  <c r="W392" i="5"/>
  <c r="W388" i="5"/>
  <c r="W384" i="5"/>
  <c r="W380" i="5"/>
  <c r="W376" i="5"/>
  <c r="W372" i="5"/>
  <c r="W368" i="5"/>
  <c r="W352" i="5"/>
  <c r="W340" i="5"/>
  <c r="W336" i="5"/>
  <c r="W320" i="5"/>
  <c r="W312" i="5"/>
  <c r="W308" i="5"/>
  <c r="W300" i="5"/>
  <c r="W296" i="5"/>
  <c r="W292" i="5"/>
  <c r="W288" i="5"/>
  <c r="W284" i="5"/>
  <c r="W280" i="5"/>
  <c r="W276" i="5"/>
  <c r="W272" i="5"/>
  <c r="W256" i="5"/>
  <c r="W248" i="5"/>
  <c r="W244" i="5"/>
  <c r="W236" i="5"/>
  <c r="W232" i="5"/>
  <c r="W228" i="5"/>
  <c r="W224" i="5"/>
  <c r="W212" i="5"/>
  <c r="W196" i="5"/>
  <c r="W192" i="5"/>
  <c r="W188" i="5"/>
  <c r="W184" i="5"/>
  <c r="W180" i="5"/>
  <c r="W176" i="5"/>
  <c r="W164" i="5"/>
  <c r="W160" i="5"/>
  <c r="W156" i="5"/>
  <c r="W148" i="5"/>
  <c r="W144" i="5"/>
  <c r="W140" i="5"/>
  <c r="W135" i="5"/>
  <c r="W130" i="5"/>
  <c r="W125" i="5"/>
  <c r="W114" i="5"/>
  <c r="W109" i="5"/>
  <c r="W103" i="5"/>
  <c r="W77" i="5"/>
  <c r="W66" i="5"/>
  <c r="W55" i="5"/>
  <c r="W42" i="5"/>
  <c r="W27" i="5"/>
  <c r="W13" i="5"/>
  <c r="W6" i="5"/>
  <c r="U491" i="5"/>
  <c r="U443" i="5"/>
  <c r="U104" i="5"/>
  <c r="U64" i="5"/>
  <c r="U48" i="5"/>
  <c r="U108" i="5"/>
  <c r="W108" i="5"/>
  <c r="U56" i="5"/>
  <c r="W56" i="5"/>
  <c r="U36" i="5"/>
  <c r="W36" i="5"/>
  <c r="U51" i="5"/>
  <c r="W51" i="5"/>
  <c r="U124" i="5"/>
  <c r="W124" i="5"/>
  <c r="W40" i="5"/>
  <c r="U40" i="5"/>
  <c r="U120" i="5"/>
  <c r="W120" i="5"/>
  <c r="U28" i="5"/>
  <c r="W28" i="5"/>
  <c r="U96" i="5"/>
  <c r="W96" i="5"/>
  <c r="U19" i="5"/>
  <c r="W19" i="5"/>
  <c r="U35" i="5"/>
  <c r="W35" i="5"/>
  <c r="U92" i="5"/>
  <c r="W92" i="5"/>
  <c r="W487" i="5"/>
  <c r="W483" i="5"/>
  <c r="W475" i="5"/>
  <c r="W471" i="5"/>
  <c r="W463" i="5"/>
  <c r="W459" i="5"/>
  <c r="W451" i="5"/>
  <c r="W447" i="5"/>
  <c r="W431" i="5"/>
  <c r="W423" i="5"/>
  <c r="W415" i="5"/>
  <c r="W403" i="5"/>
  <c r="W399" i="5"/>
  <c r="W395" i="5"/>
  <c r="W387" i="5"/>
  <c r="W383" i="5"/>
  <c r="W375" i="5"/>
  <c r="W367" i="5"/>
  <c r="W359" i="5"/>
  <c r="W355" i="5"/>
  <c r="W351" i="5"/>
  <c r="W339" i="5"/>
  <c r="W335" i="5"/>
  <c r="W331" i="5"/>
  <c r="W327" i="5"/>
  <c r="W323" i="5"/>
  <c r="W315" i="5"/>
  <c r="W311" i="5"/>
  <c r="W303" i="5"/>
  <c r="W295" i="5"/>
  <c r="W287" i="5"/>
  <c r="W283" i="5"/>
  <c r="W279" i="5"/>
  <c r="W275" i="5"/>
  <c r="W259" i="5"/>
  <c r="W255" i="5"/>
  <c r="W251" i="5"/>
  <c r="W247" i="5"/>
  <c r="W243" i="5"/>
  <c r="W239" i="5"/>
  <c r="W227" i="5"/>
  <c r="W223" i="5"/>
  <c r="W215" i="5"/>
  <c r="W211" i="5"/>
  <c r="W207" i="5"/>
  <c r="W203" i="5"/>
  <c r="W199" i="5"/>
  <c r="W195" i="5"/>
  <c r="W187" i="5"/>
  <c r="W179" i="5"/>
  <c r="W175" i="5"/>
  <c r="W171" i="5"/>
  <c r="W167" i="5"/>
  <c r="W163" i="5"/>
  <c r="W155" i="5"/>
  <c r="W147" i="5"/>
  <c r="W139" i="5"/>
  <c r="W134" i="5"/>
  <c r="W123" i="5"/>
  <c r="W118" i="5"/>
  <c r="W107" i="5"/>
  <c r="W102" i="5"/>
  <c r="W86" i="5"/>
  <c r="W75" i="5"/>
  <c r="W65" i="5"/>
  <c r="W59" i="5"/>
  <c r="W54" i="5"/>
  <c r="W47" i="5"/>
  <c r="W39" i="5"/>
  <c r="W33" i="5"/>
  <c r="W26" i="5"/>
  <c r="W18" i="5"/>
  <c r="W11" i="5"/>
  <c r="U136" i="5"/>
  <c r="J394" i="5"/>
  <c r="J468" i="5"/>
  <c r="J365" i="5"/>
  <c r="J54" i="5"/>
  <c r="J153" i="5"/>
  <c r="J295" i="5"/>
  <c r="J23" i="5"/>
  <c r="J73" i="5"/>
  <c r="J374" i="5"/>
  <c r="J162" i="5"/>
  <c r="J476" i="5"/>
  <c r="J465" i="5"/>
  <c r="J317" i="5"/>
  <c r="J363" i="5"/>
  <c r="J152" i="5"/>
  <c r="J22" i="5"/>
  <c r="J101" i="5"/>
  <c r="J193" i="5"/>
  <c r="J237" i="5"/>
  <c r="J52" i="5"/>
  <c r="J386" i="5"/>
  <c r="J235" i="5"/>
  <c r="J356" i="5"/>
  <c r="J91" i="5"/>
  <c r="J272" i="5"/>
  <c r="J123" i="5"/>
  <c r="J460" i="5"/>
  <c r="J361" i="5"/>
  <c r="J310" i="5"/>
  <c r="J415" i="5"/>
  <c r="J445" i="5"/>
  <c r="J315" i="5"/>
  <c r="J346" i="5"/>
  <c r="J171" i="5"/>
  <c r="J447" i="5"/>
  <c r="J308" i="5"/>
  <c r="J275" i="5"/>
  <c r="J15" i="5"/>
  <c r="J131" i="5"/>
  <c r="J491" i="5"/>
  <c r="J185" i="5"/>
  <c r="J323" i="5"/>
  <c r="J384" i="5"/>
  <c r="J149" i="5"/>
  <c r="J108" i="5"/>
  <c r="J89" i="5"/>
  <c r="J259" i="5"/>
  <c r="J278" i="5"/>
  <c r="J50" i="5"/>
  <c r="J477" i="5"/>
  <c r="J176" i="5"/>
  <c r="J56" i="5"/>
  <c r="J136" i="5"/>
  <c r="J389" i="5"/>
  <c r="J243" i="5"/>
  <c r="J135" i="5"/>
  <c r="J430" i="5"/>
  <c r="J443" i="5"/>
  <c r="J117" i="5"/>
  <c r="J138" i="5"/>
  <c r="J481" i="5"/>
  <c r="J181" i="5"/>
  <c r="J296" i="5"/>
  <c r="J40" i="5"/>
  <c r="J268" i="5"/>
  <c r="J250" i="5"/>
  <c r="J303" i="5"/>
  <c r="J198" i="5"/>
  <c r="J314" i="5"/>
  <c r="J418" i="5"/>
  <c r="J293" i="5"/>
  <c r="J470" i="5"/>
  <c r="J165" i="5"/>
  <c r="J279" i="5"/>
  <c r="J94" i="5"/>
  <c r="J83" i="5"/>
  <c r="J332" i="5"/>
  <c r="J151" i="5"/>
  <c r="J461" i="5"/>
  <c r="J321" i="5"/>
  <c r="J168" i="5"/>
  <c r="J347" i="5"/>
  <c r="J216" i="5"/>
  <c r="J132" i="5"/>
  <c r="J387" i="5"/>
  <c r="J254" i="5"/>
  <c r="J189" i="5"/>
  <c r="J482" i="5"/>
  <c r="J245" i="5"/>
  <c r="J330" i="5"/>
  <c r="J90" i="5"/>
  <c r="J266" i="5"/>
  <c r="J483" i="5"/>
  <c r="J370" i="5"/>
  <c r="J300" i="5"/>
  <c r="J144" i="5"/>
  <c r="J498" i="5"/>
  <c r="J248" i="5"/>
  <c r="J473" i="5"/>
  <c r="J145" i="5"/>
  <c r="J298" i="5"/>
  <c r="J190" i="5"/>
  <c r="J437" i="5"/>
  <c r="J493" i="5"/>
  <c r="J60" i="5"/>
  <c r="J46" i="5"/>
  <c r="J129" i="5"/>
  <c r="J260" i="5"/>
  <c r="J426" i="5"/>
  <c r="J200" i="5"/>
  <c r="J462" i="5"/>
  <c r="J203" i="5"/>
  <c r="J411" i="5"/>
  <c r="J64" i="5"/>
  <c r="J446" i="5"/>
  <c r="J353" i="5"/>
  <c r="J97" i="5"/>
  <c r="J14" i="5"/>
  <c r="J287" i="5"/>
  <c r="J375" i="5"/>
  <c r="J382" i="5"/>
  <c r="J318" i="5"/>
  <c r="J410" i="5"/>
  <c r="J420" i="5"/>
  <c r="J400" i="5"/>
  <c r="J201" i="5"/>
  <c r="J397" i="5"/>
  <c r="J495" i="5"/>
  <c r="J51" i="5"/>
  <c r="J391" i="5"/>
  <c r="J45" i="5"/>
  <c r="J253" i="5"/>
  <c r="J209" i="5"/>
  <c r="J422" i="5"/>
  <c r="J487" i="5"/>
  <c r="J130" i="5"/>
  <c r="J380" i="5"/>
  <c r="J29" i="5"/>
  <c r="J217" i="5"/>
  <c r="J102" i="5"/>
  <c r="J208" i="5"/>
  <c r="J355" i="5"/>
  <c r="J30" i="5"/>
  <c r="J285" i="5"/>
  <c r="J109" i="5"/>
  <c r="J350" i="5"/>
  <c r="J199" i="5"/>
  <c r="J114" i="5"/>
  <c r="J453" i="5"/>
  <c r="J221" i="5"/>
  <c r="J127" i="5"/>
  <c r="J204" i="5"/>
  <c r="J99" i="5"/>
  <c r="J98" i="5"/>
  <c r="J319" i="5"/>
  <c r="J304" i="5"/>
  <c r="J398" i="5"/>
  <c r="J463" i="5"/>
  <c r="J471" i="5"/>
  <c r="J440" i="5"/>
  <c r="J38" i="5"/>
  <c r="J270" i="5"/>
  <c r="J369" i="5"/>
  <c r="J121" i="5"/>
  <c r="J76" i="5"/>
  <c r="J167" i="5"/>
  <c r="J412" i="5"/>
  <c r="J147" i="5"/>
  <c r="J195" i="5"/>
  <c r="J408" i="5"/>
  <c r="J488" i="5"/>
  <c r="J196" i="5"/>
  <c r="J177" i="5"/>
  <c r="J490" i="5"/>
  <c r="J474" i="5"/>
  <c r="J413" i="5"/>
  <c r="J331" i="5"/>
  <c r="J276" i="5"/>
  <c r="J18" i="5"/>
  <c r="J7" i="5"/>
  <c r="J25" i="5"/>
  <c r="J227" i="5"/>
  <c r="J19" i="5"/>
  <c r="J156" i="5"/>
  <c r="J211" i="5"/>
  <c r="J263" i="5"/>
  <c r="J344" i="5"/>
  <c r="J21" i="5"/>
  <c r="J17" i="5"/>
  <c r="J88" i="5"/>
  <c r="J337" i="5"/>
  <c r="J499" i="5"/>
  <c r="J222" i="5"/>
  <c r="J359" i="5"/>
  <c r="J133" i="5"/>
  <c r="J367" i="5"/>
  <c r="J472" i="5"/>
  <c r="J134" i="5"/>
  <c r="J187" i="5"/>
  <c r="J480" i="5"/>
  <c r="J2" i="5"/>
  <c r="J175" i="5"/>
  <c r="J65" i="5"/>
  <c r="J402" i="5"/>
  <c r="J448" i="5"/>
  <c r="J78" i="5"/>
  <c r="J155" i="5"/>
  <c r="J148" i="5"/>
  <c r="J301" i="5"/>
  <c r="J419" i="5"/>
  <c r="J335" i="5"/>
  <c r="J312" i="5"/>
  <c r="J325" i="5"/>
  <c r="J157" i="5"/>
  <c r="J373" i="5"/>
  <c r="J309" i="5"/>
  <c r="J194" i="5"/>
  <c r="J92" i="5"/>
  <c r="J277" i="5"/>
  <c r="J341" i="5"/>
  <c r="J429" i="5"/>
  <c r="J207" i="5"/>
  <c r="J55" i="5"/>
  <c r="J192" i="5"/>
  <c r="J163" i="5"/>
  <c r="J305" i="5"/>
  <c r="J478" i="5"/>
  <c r="J238" i="5"/>
  <c r="J281" i="5"/>
  <c r="J16" i="5"/>
  <c r="J328" i="5"/>
  <c r="J137" i="5"/>
  <c r="J393" i="5"/>
  <c r="J262" i="5"/>
  <c r="J467" i="5"/>
  <c r="J34" i="5"/>
  <c r="J294" i="5"/>
  <c r="J215" i="5"/>
  <c r="J469" i="5"/>
  <c r="J256" i="5"/>
  <c r="J405" i="5"/>
  <c r="J396" i="5"/>
  <c r="J53" i="5"/>
  <c r="J417" i="5"/>
  <c r="J37" i="5"/>
  <c r="J188" i="5"/>
  <c r="J67" i="5"/>
  <c r="J61" i="5"/>
  <c r="J390" i="5"/>
  <c r="J324" i="5"/>
  <c r="J267" i="5"/>
  <c r="J457" i="5"/>
  <c r="J500" i="5"/>
  <c r="J252" i="5"/>
  <c r="J105" i="5"/>
  <c r="J354" i="5"/>
  <c r="J264" i="5"/>
  <c r="J313" i="5"/>
  <c r="J170" i="5"/>
  <c r="J143" i="5"/>
  <c r="J378" i="5"/>
  <c r="J146" i="5"/>
  <c r="J427" i="5"/>
  <c r="J159" i="5"/>
  <c r="J183" i="5"/>
  <c r="J282" i="5"/>
  <c r="J112" i="5"/>
  <c r="J5" i="5"/>
  <c r="J409" i="5"/>
  <c r="J377" i="5"/>
  <c r="J286" i="5"/>
  <c r="J231" i="5"/>
  <c r="J26" i="5"/>
  <c r="J292" i="5"/>
  <c r="J416" i="5"/>
  <c r="J273" i="5"/>
  <c r="J27" i="5"/>
  <c r="J306" i="5"/>
  <c r="J475" i="5"/>
  <c r="J459" i="5"/>
  <c r="J33" i="5"/>
  <c r="J197" i="5"/>
  <c r="J186" i="5"/>
  <c r="J334" i="5"/>
  <c r="J229" i="5"/>
  <c r="J71" i="5"/>
  <c r="J348" i="5"/>
  <c r="J450" i="5"/>
  <c r="J41" i="5"/>
  <c r="J358" i="5"/>
  <c r="J84" i="5"/>
  <c r="J24" i="5"/>
  <c r="J80" i="5"/>
  <c r="J72" i="5"/>
  <c r="J299" i="5"/>
  <c r="J79" i="5"/>
  <c r="J150" i="5"/>
  <c r="J291" i="5"/>
  <c r="J257" i="5"/>
  <c r="J191" i="5"/>
  <c r="J307" i="5"/>
  <c r="J70" i="5"/>
  <c r="J342" i="5"/>
  <c r="J454" i="5"/>
  <c r="J174" i="5"/>
  <c r="J139" i="5"/>
  <c r="J383" i="5"/>
  <c r="J182" i="5"/>
  <c r="J230" i="5"/>
  <c r="J169" i="5"/>
  <c r="J265" i="5"/>
  <c r="J479" i="5"/>
  <c r="J302" i="5"/>
  <c r="J202" i="5"/>
  <c r="J234" i="5"/>
  <c r="J439" i="5"/>
  <c r="J124" i="5"/>
  <c r="J113" i="5"/>
  <c r="J434" i="5"/>
  <c r="J154" i="5"/>
  <c r="J233" i="5"/>
  <c r="J371" i="5"/>
  <c r="J39" i="5"/>
  <c r="J31" i="5"/>
  <c r="J47" i="5"/>
  <c r="J464" i="5"/>
  <c r="J362" i="5"/>
  <c r="J406" i="5"/>
  <c r="J184" i="5"/>
  <c r="J322" i="5"/>
  <c r="J336" i="5"/>
  <c r="J288" i="5"/>
  <c r="J20" i="5"/>
  <c r="J340" i="5"/>
  <c r="J489" i="5"/>
  <c r="J351" i="5"/>
  <c r="J57" i="5"/>
  <c r="J280" i="5"/>
  <c r="J81" i="5"/>
  <c r="J12" i="5"/>
  <c r="J364" i="5"/>
  <c r="J82" i="5"/>
  <c r="J403" i="5"/>
  <c r="J339" i="5"/>
  <c r="J381" i="5"/>
  <c r="J164" i="5"/>
  <c r="J100" i="5"/>
  <c r="J258" i="5"/>
  <c r="J456" i="5"/>
  <c r="J244" i="5"/>
  <c r="J226" i="5"/>
  <c r="J320" i="5"/>
  <c r="J404" i="5"/>
  <c r="J414" i="5"/>
  <c r="J125" i="5"/>
  <c r="J376" i="5"/>
  <c r="J141" i="5"/>
  <c r="J236" i="5"/>
  <c r="J85" i="5"/>
  <c r="J111" i="5"/>
  <c r="J466" i="5"/>
  <c r="J116" i="5"/>
  <c r="J9" i="5"/>
  <c r="J62" i="5"/>
  <c r="J372" i="5"/>
  <c r="J424" i="5"/>
  <c r="J213" i="5"/>
  <c r="J128" i="5"/>
  <c r="J58" i="5"/>
  <c r="J77" i="5"/>
  <c r="J452" i="5"/>
  <c r="J326" i="5"/>
  <c r="J210" i="5"/>
  <c r="J458" i="5"/>
  <c r="J316" i="5"/>
  <c r="J103" i="5"/>
  <c r="J106" i="5"/>
  <c r="J74" i="5"/>
  <c r="J283" i="5"/>
  <c r="J4" i="5"/>
  <c r="J212" i="5"/>
  <c r="J224" i="5"/>
  <c r="J395" i="5"/>
  <c r="J119" i="5"/>
  <c r="J496" i="5"/>
  <c r="J220" i="5"/>
  <c r="J8" i="5"/>
  <c r="J368" i="5"/>
  <c r="J432" i="5"/>
  <c r="J421" i="5"/>
  <c r="J3" i="5"/>
  <c r="J261" i="5"/>
  <c r="J219" i="5"/>
  <c r="J271" i="5"/>
  <c r="J214" i="5"/>
  <c r="J451" i="5"/>
  <c r="J218" i="5"/>
  <c r="J42" i="5"/>
  <c r="J66" i="5"/>
  <c r="J501" i="5"/>
  <c r="J140" i="5"/>
  <c r="J290" i="5"/>
  <c r="J407" i="5"/>
  <c r="J329" i="5"/>
  <c r="J63" i="5"/>
  <c r="J173" i="5"/>
  <c r="J228" i="5"/>
  <c r="J6" i="5"/>
  <c r="J284" i="5"/>
  <c r="J43" i="5"/>
  <c r="J388" i="5"/>
  <c r="J223" i="5"/>
  <c r="J172" i="5"/>
  <c r="J161" i="5"/>
  <c r="J87" i="5"/>
  <c r="J239" i="5"/>
  <c r="J69" i="5"/>
  <c r="J240" i="5"/>
  <c r="J385" i="5"/>
  <c r="J206" i="5"/>
  <c r="J120" i="5"/>
  <c r="J110" i="5"/>
  <c r="J28" i="5"/>
  <c r="J274" i="5"/>
  <c r="J428" i="5"/>
  <c r="J486" i="5"/>
  <c r="J118" i="5"/>
  <c r="J246" i="5"/>
  <c r="J96" i="5"/>
  <c r="J247" i="5"/>
  <c r="J59" i="5"/>
  <c r="J115" i="5"/>
  <c r="J289" i="5"/>
  <c r="J44" i="5"/>
  <c r="J442" i="5"/>
  <c r="J399" i="5"/>
  <c r="J423" i="5"/>
  <c r="J433" i="5"/>
  <c r="J494" i="5"/>
  <c r="J357" i="5"/>
  <c r="J49" i="5"/>
  <c r="J438" i="5"/>
  <c r="J425" i="5"/>
  <c r="J435" i="5"/>
  <c r="J179" i="5"/>
  <c r="J48" i="5"/>
  <c r="J126" i="5"/>
  <c r="J142" i="5"/>
  <c r="J492" i="5"/>
  <c r="J13" i="5"/>
  <c r="J35" i="5"/>
  <c r="J485" i="5"/>
  <c r="J436" i="5"/>
  <c r="J75" i="5"/>
  <c r="J449" i="5"/>
  <c r="J178" i="5"/>
  <c r="J160" i="5"/>
  <c r="J349" i="5"/>
  <c r="J205" i="5"/>
  <c r="J11" i="5"/>
  <c r="J255" i="5"/>
  <c r="J333" i="5"/>
  <c r="J86" i="5"/>
  <c r="J32" i="5"/>
  <c r="J251" i="5"/>
  <c r="J484" i="5"/>
  <c r="J68" i="5"/>
  <c r="J95" i="5"/>
  <c r="J93" i="5"/>
  <c r="J107" i="5"/>
  <c r="J297" i="5"/>
  <c r="J10" i="5"/>
  <c r="J232" i="5"/>
  <c r="J360" i="5"/>
  <c r="J338" i="5"/>
  <c r="J166" i="5"/>
  <c r="J225" i="5"/>
  <c r="J241" i="5"/>
  <c r="J327" i="5"/>
  <c r="J249" i="5"/>
  <c r="J392" i="5"/>
  <c r="J497" i="5"/>
  <c r="J36" i="5"/>
  <c r="J311" i="5"/>
  <c r="J352" i="5"/>
  <c r="J455" i="5"/>
  <c r="J158" i="5"/>
  <c r="J444" i="5"/>
  <c r="J269" i="5"/>
  <c r="J441" i="5"/>
  <c r="J431" i="5"/>
  <c r="J180" i="5"/>
  <c r="J242" i="5"/>
  <c r="J401" i="5"/>
  <c r="J379" i="5"/>
  <c r="J122" i="5"/>
  <c r="J343" i="5"/>
  <c r="J36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00000000-0015-0000-FFFF-FFFF01000000}" keepAlive="1" name="Query - Table1 (2)" description="Connection to the 'Table1 (2)' query in the workbook." type="5" refreshedVersion="0" background="1">
    <dbPr connection="Provider=Microsoft.Mashup.OleDb.1;Data Source=$Workbook$;Location=&quot;Table1 (2)&quot;;Extended Properties=&quot;&quot;" command="SELECT * FROM [Table1 (2)]"/>
  </connection>
  <connection id="3" xr16:uid="{00000000-0015-0000-FFFF-FFFF02000000}" keepAlive="1" name="Query - Table1 (3)" description="Connection to the 'Table1 (3)' query in the workbook." type="5" refreshedVersion="0" background="1">
    <dbPr connection="Provider=Microsoft.Mashup.OleDb.1;Data Source=$Workbook$;Location=&quot;Table1 (3)&quot;;Extended Properties=&quot;&quot;" command="SELECT * FROM [Table1 (3)]"/>
  </connection>
</connections>
</file>

<file path=xl/sharedStrings.xml><?xml version="1.0" encoding="utf-8"?>
<sst xmlns="http://schemas.openxmlformats.org/spreadsheetml/2006/main" count="10641" uniqueCount="948">
  <si>
    <t>Station ID</t>
  </si>
  <si>
    <t>City</t>
  </si>
  <si>
    <t>Opertors</t>
  </si>
  <si>
    <t>Status</t>
  </si>
  <si>
    <t>Installation Date</t>
  </si>
  <si>
    <t>Connectors</t>
  </si>
  <si>
    <t>Energy Dispensed kWh</t>
  </si>
  <si>
    <t>Revenue</t>
  </si>
  <si>
    <t>Speed/Connector</t>
  </si>
  <si>
    <t>Year</t>
  </si>
  <si>
    <t xml:space="preserve">Utilization </t>
  </si>
  <si>
    <t>Connectors Region</t>
  </si>
  <si>
    <t>EV-0001</t>
  </si>
  <si>
    <t>Bengaluru</t>
  </si>
  <si>
    <t>Charge Point</t>
  </si>
  <si>
    <t>Decommissioned</t>
  </si>
  <si>
    <t>16/10/2025</t>
  </si>
  <si>
    <t>Type2 AC</t>
  </si>
  <si>
    <t>Private</t>
  </si>
  <si>
    <t>Slow</t>
  </si>
  <si>
    <t>Low</t>
  </si>
  <si>
    <t>Germany</t>
  </si>
  <si>
    <t>EV-0002</t>
  </si>
  <si>
    <t>Ahemdabad</t>
  </si>
  <si>
    <t>Active</t>
  </si>
  <si>
    <t>24/04/2024</t>
  </si>
  <si>
    <t>CHAdeMO</t>
  </si>
  <si>
    <t>Fast</t>
  </si>
  <si>
    <t>Japan</t>
  </si>
  <si>
    <t>EV-0003</t>
  </si>
  <si>
    <t>Hyderabad</t>
  </si>
  <si>
    <t>Maintenance</t>
  </si>
  <si>
    <t>26/01/2024</t>
  </si>
  <si>
    <t>Medium</t>
  </si>
  <si>
    <t>EV-0004</t>
  </si>
  <si>
    <t>Chennai</t>
  </si>
  <si>
    <t>Zeon Charging</t>
  </si>
  <si>
    <t>29/01/2026</t>
  </si>
  <si>
    <t>High</t>
  </si>
  <si>
    <t>EV-0005</t>
  </si>
  <si>
    <t>Mumbai</t>
  </si>
  <si>
    <t>Ather Grid</t>
  </si>
  <si>
    <t>EV-0006</t>
  </si>
  <si>
    <t>EV-0007</t>
  </si>
  <si>
    <t>16/08/2024</t>
  </si>
  <si>
    <t>EV-0008</t>
  </si>
  <si>
    <t>Kolkata</t>
  </si>
  <si>
    <t>22/05/2024</t>
  </si>
  <si>
    <t>Bharat DC-001</t>
  </si>
  <si>
    <t>India</t>
  </si>
  <si>
    <t>EV-0009</t>
  </si>
  <si>
    <t>24/01/2026</t>
  </si>
  <si>
    <t>EV-0010</t>
  </si>
  <si>
    <t>Bpcl</t>
  </si>
  <si>
    <t>Inactive</t>
  </si>
  <si>
    <t>14/04/2024</t>
  </si>
  <si>
    <t>CCS2</t>
  </si>
  <si>
    <t>Government</t>
  </si>
  <si>
    <t>Ultra Fast</t>
  </si>
  <si>
    <t>Europe</t>
  </si>
  <si>
    <t>EV-0011</t>
  </si>
  <si>
    <t>23/11/2025</t>
  </si>
  <si>
    <t>EV-0012</t>
  </si>
  <si>
    <t>Tata Power</t>
  </si>
  <si>
    <t>28/01/2026</t>
  </si>
  <si>
    <t>EV-0013</t>
  </si>
  <si>
    <t>Pune</t>
  </si>
  <si>
    <t>EV-0014</t>
  </si>
  <si>
    <t>30/03/2024</t>
  </si>
  <si>
    <t>EV-0015</t>
  </si>
  <si>
    <t>Delhi</t>
  </si>
  <si>
    <t>27/08/2025</t>
  </si>
  <si>
    <t>EV-0016</t>
  </si>
  <si>
    <t>EV-0017</t>
  </si>
  <si>
    <t>EV-0018</t>
  </si>
  <si>
    <t>31/01/2024</t>
  </si>
  <si>
    <t>EV-0019</t>
  </si>
  <si>
    <t>EV-0020</t>
  </si>
  <si>
    <t>EV-0021</t>
  </si>
  <si>
    <t>26/08/2024</t>
  </si>
  <si>
    <t>EV-0022</t>
  </si>
  <si>
    <t>EV-0023</t>
  </si>
  <si>
    <t>EV-0024</t>
  </si>
  <si>
    <t>28/01/2024</t>
  </si>
  <si>
    <t>EV-0025</t>
  </si>
  <si>
    <t>28/07/2025</t>
  </si>
  <si>
    <t>EV-0026</t>
  </si>
  <si>
    <t>22/07/2024</t>
  </si>
  <si>
    <t>EV-0027</t>
  </si>
  <si>
    <t>EV-0028</t>
  </si>
  <si>
    <t>27/10/2025</t>
  </si>
  <si>
    <t>EV-0029</t>
  </si>
  <si>
    <t>19/12/2025</t>
  </si>
  <si>
    <t>EV-0030</t>
  </si>
  <si>
    <t>EV-0031</t>
  </si>
  <si>
    <t>Bharat Petroleum</t>
  </si>
  <si>
    <t>EV-0032</t>
  </si>
  <si>
    <t>13/08/2024</t>
  </si>
  <si>
    <t>EV-0033</t>
  </si>
  <si>
    <t>EV-0034</t>
  </si>
  <si>
    <t>26/08/2025</t>
  </si>
  <si>
    <t>EV-0035</t>
  </si>
  <si>
    <t>EV-0036</t>
  </si>
  <si>
    <t>EV-0037</t>
  </si>
  <si>
    <t>EV-0038</t>
  </si>
  <si>
    <t>16/02/2026</t>
  </si>
  <si>
    <t>EV-0039</t>
  </si>
  <si>
    <t>EV-0040</t>
  </si>
  <si>
    <t>EV-0041</t>
  </si>
  <si>
    <t>15/12/2025</t>
  </si>
  <si>
    <t>EV-0042</t>
  </si>
  <si>
    <t>EV-0043</t>
  </si>
  <si>
    <t>14/12/2024</t>
  </si>
  <si>
    <t>EV-0044</t>
  </si>
  <si>
    <t>EV-0045</t>
  </si>
  <si>
    <t>EV-0046</t>
  </si>
  <si>
    <t>EV-0047</t>
  </si>
  <si>
    <t>20/02/2026</t>
  </si>
  <si>
    <t>EV-0048</t>
  </si>
  <si>
    <t>EV-0049</t>
  </si>
  <si>
    <t>EV-0050</t>
  </si>
  <si>
    <t>EV-0051</t>
  </si>
  <si>
    <t>24/01/2025</t>
  </si>
  <si>
    <t>EV-0052</t>
  </si>
  <si>
    <t>EV-0053</t>
  </si>
  <si>
    <t>EV-0054</t>
  </si>
  <si>
    <t>17/05/2026</t>
  </si>
  <si>
    <t>EV-0055</t>
  </si>
  <si>
    <t>18/12/2024</t>
  </si>
  <si>
    <t>EV-0056</t>
  </si>
  <si>
    <t>EV-0057</t>
  </si>
  <si>
    <t>27/09/2024</t>
  </si>
  <si>
    <t>EV-0058</t>
  </si>
  <si>
    <t>EV-0059</t>
  </si>
  <si>
    <t>14/02/2024</t>
  </si>
  <si>
    <t>EV-0060</t>
  </si>
  <si>
    <t>17/01/2026</t>
  </si>
  <si>
    <t>EV-0061</t>
  </si>
  <si>
    <t>15/04/2025</t>
  </si>
  <si>
    <t>EV-0062</t>
  </si>
  <si>
    <t>EV-0063</t>
  </si>
  <si>
    <t>EV-0064</t>
  </si>
  <si>
    <t>22/01/2025</t>
  </si>
  <si>
    <t>EV-0065</t>
  </si>
  <si>
    <t>21/03/2024</t>
  </si>
  <si>
    <t>EV-0066</t>
  </si>
  <si>
    <t>19/07/2025</t>
  </si>
  <si>
    <t>EV-0067</t>
  </si>
  <si>
    <t>27/10/2024</t>
  </si>
  <si>
    <t>EV-0068</t>
  </si>
  <si>
    <t>29/04/2026</t>
  </si>
  <si>
    <t>EV-0069</t>
  </si>
  <si>
    <t>EV-0070</t>
  </si>
  <si>
    <t>25/09/2025</t>
  </si>
  <si>
    <t>EV-0071</t>
  </si>
  <si>
    <t>EV-0072</t>
  </si>
  <si>
    <t>14/08/2025</t>
  </si>
  <si>
    <t>EV-0073</t>
  </si>
  <si>
    <t>15/07/2024</t>
  </si>
  <si>
    <t>EV-0074</t>
  </si>
  <si>
    <t>22/12/2025</t>
  </si>
  <si>
    <t>EV-0075</t>
  </si>
  <si>
    <t>EV-0076</t>
  </si>
  <si>
    <t>16/02/2024</t>
  </si>
  <si>
    <t>EV-0077</t>
  </si>
  <si>
    <t>EV-0078</t>
  </si>
  <si>
    <t>21/08/2024</t>
  </si>
  <si>
    <t>EV-0079</t>
  </si>
  <si>
    <t>EV-0080</t>
  </si>
  <si>
    <t>23/10/2024</t>
  </si>
  <si>
    <t>EV-0081</t>
  </si>
  <si>
    <t>22/03/2024</t>
  </si>
  <si>
    <t>EV-0082</t>
  </si>
  <si>
    <t>EV-0083</t>
  </si>
  <si>
    <t>13/04/2024</t>
  </si>
  <si>
    <t>EV-0084</t>
  </si>
  <si>
    <t>EV-0085</t>
  </si>
  <si>
    <t>EV-0086</t>
  </si>
  <si>
    <t>EV-0087</t>
  </si>
  <si>
    <t>EV-0088</t>
  </si>
  <si>
    <t>EV-0089</t>
  </si>
  <si>
    <t>EV-0090</t>
  </si>
  <si>
    <t>15/06/2024</t>
  </si>
  <si>
    <t>EV-0091</t>
  </si>
  <si>
    <t>14/01/2025</t>
  </si>
  <si>
    <t>EV-0092</t>
  </si>
  <si>
    <t>29/12/2024</t>
  </si>
  <si>
    <t>EV-0093</t>
  </si>
  <si>
    <t>EV-0094</t>
  </si>
  <si>
    <t>17/11/2025</t>
  </si>
  <si>
    <t>EV-0095</t>
  </si>
  <si>
    <t>30/09/2024</t>
  </si>
  <si>
    <t>EV-0096</t>
  </si>
  <si>
    <t>EV-0097</t>
  </si>
  <si>
    <t>30/11/2025</t>
  </si>
  <si>
    <t>EV-0098</t>
  </si>
  <si>
    <t>25/10/2025</t>
  </si>
  <si>
    <t>EV-0099</t>
  </si>
  <si>
    <t>14/03/2024</t>
  </si>
  <si>
    <t>EV-0100</t>
  </si>
  <si>
    <t>15/09/2025</t>
  </si>
  <si>
    <t>EV-0101</t>
  </si>
  <si>
    <t>EV-0102</t>
  </si>
  <si>
    <t>24/06/2024</t>
  </si>
  <si>
    <t>EV-0103</t>
  </si>
  <si>
    <t>30/06/2025</t>
  </si>
  <si>
    <t>EV-0104</t>
  </si>
  <si>
    <t>16/01/2026</t>
  </si>
  <si>
    <t>EV-0105</t>
  </si>
  <si>
    <t>EV-0106</t>
  </si>
  <si>
    <t>16/06/2024</t>
  </si>
  <si>
    <t>EV-0107</t>
  </si>
  <si>
    <t>18/04/2025</t>
  </si>
  <si>
    <t>EV-0108</t>
  </si>
  <si>
    <t>23/01/2025</t>
  </si>
  <si>
    <t>EV-0109</t>
  </si>
  <si>
    <t>EV-0110</t>
  </si>
  <si>
    <t>17/10/2025</t>
  </si>
  <si>
    <t>EV-0111</t>
  </si>
  <si>
    <t>EV-0112</t>
  </si>
  <si>
    <t>24/07/2025</t>
  </si>
  <si>
    <t>EV-0113</t>
  </si>
  <si>
    <t>EV-0114</t>
  </si>
  <si>
    <t>EV-0115</t>
  </si>
  <si>
    <t>28/11/2024</t>
  </si>
  <si>
    <t>EV-0116</t>
  </si>
  <si>
    <t>13/05/2026</t>
  </si>
  <si>
    <t>EV-0117</t>
  </si>
  <si>
    <t>25/02/2026</t>
  </si>
  <si>
    <t>EV-0118</t>
  </si>
  <si>
    <t>EV-0119</t>
  </si>
  <si>
    <t>27/02/2024</t>
  </si>
  <si>
    <t>EV-0120</t>
  </si>
  <si>
    <t>22/08/2024</t>
  </si>
  <si>
    <t>EV-0121</t>
  </si>
  <si>
    <t>21/04/2026</t>
  </si>
  <si>
    <t>EV-0122</t>
  </si>
  <si>
    <t>EV-0123</t>
  </si>
  <si>
    <t>EV-0124</t>
  </si>
  <si>
    <t>19/11/2024</t>
  </si>
  <si>
    <t>EV-0125</t>
  </si>
  <si>
    <t>EV-0126</t>
  </si>
  <si>
    <t>EV-0127</t>
  </si>
  <si>
    <t>EV-0128</t>
  </si>
  <si>
    <t>EV-0129</t>
  </si>
  <si>
    <t>EV-0130</t>
  </si>
  <si>
    <t>EV-0131</t>
  </si>
  <si>
    <t>18/11/2024</t>
  </si>
  <si>
    <t>EV-0132</t>
  </si>
  <si>
    <t>EV-0133</t>
  </si>
  <si>
    <t>EV-0134</t>
  </si>
  <si>
    <t>26/05/2025</t>
  </si>
  <si>
    <t>EV-0135</t>
  </si>
  <si>
    <t>EV-0136</t>
  </si>
  <si>
    <t>20/10/2025</t>
  </si>
  <si>
    <t>EV-0137</t>
  </si>
  <si>
    <t>14/04/2025</t>
  </si>
  <si>
    <t>EV-0138</t>
  </si>
  <si>
    <t>26/05/2024</t>
  </si>
  <si>
    <t>EV-0139</t>
  </si>
  <si>
    <t>28/09/2024</t>
  </si>
  <si>
    <t>EV-0140</t>
  </si>
  <si>
    <t>EV-0141</t>
  </si>
  <si>
    <t>EV-0142</t>
  </si>
  <si>
    <t>EV-0143</t>
  </si>
  <si>
    <t>EV-0144</t>
  </si>
  <si>
    <t>EV-0145</t>
  </si>
  <si>
    <t>26/09/2024</t>
  </si>
  <si>
    <t>EV-0146</t>
  </si>
  <si>
    <t>EV-0147</t>
  </si>
  <si>
    <t>EV-0148</t>
  </si>
  <si>
    <t>14/03/2025</t>
  </si>
  <si>
    <t>EV-0149</t>
  </si>
  <si>
    <t>20/08/2025</t>
  </si>
  <si>
    <t>EV-0150</t>
  </si>
  <si>
    <t>EV-0151</t>
  </si>
  <si>
    <t>EV-0152</t>
  </si>
  <si>
    <t>EV-0153</t>
  </si>
  <si>
    <t>21/05/2024</t>
  </si>
  <si>
    <t>EV-0154</t>
  </si>
  <si>
    <t>EV-0155</t>
  </si>
  <si>
    <t>20/05/2025</t>
  </si>
  <si>
    <t>EV-0156</t>
  </si>
  <si>
    <t>EV-0157</t>
  </si>
  <si>
    <t>EV-0158</t>
  </si>
  <si>
    <t>18/02/2024</t>
  </si>
  <si>
    <t>EV-0159</t>
  </si>
  <si>
    <t>22/04/2024</t>
  </si>
  <si>
    <t>EV-0160</t>
  </si>
  <si>
    <t>EV-0161</t>
  </si>
  <si>
    <t>EV-0162</t>
  </si>
  <si>
    <t>EV-0163</t>
  </si>
  <si>
    <t>22/03/2026</t>
  </si>
  <si>
    <t>EV-0164</t>
  </si>
  <si>
    <t>27/11/2025</t>
  </si>
  <si>
    <t>EV-0165</t>
  </si>
  <si>
    <t>EV-0166</t>
  </si>
  <si>
    <t>EV-0167</t>
  </si>
  <si>
    <t>EV-0168</t>
  </si>
  <si>
    <t>29/01/2025</t>
  </si>
  <si>
    <t>EV-0169</t>
  </si>
  <si>
    <t>25/01/2025</t>
  </si>
  <si>
    <t>EV-0170</t>
  </si>
  <si>
    <t>EV-0171</t>
  </si>
  <si>
    <t>24/04/2025</t>
  </si>
  <si>
    <t>EV-0172</t>
  </si>
  <si>
    <t>25/06/2025</t>
  </si>
  <si>
    <t>EV-0173</t>
  </si>
  <si>
    <t>14/09/2024</t>
  </si>
  <si>
    <t>EV-0174</t>
  </si>
  <si>
    <t>20/07/2025</t>
  </si>
  <si>
    <t>EV-0175</t>
  </si>
  <si>
    <t>EV-0176</t>
  </si>
  <si>
    <t>EV-0177</t>
  </si>
  <si>
    <t>EV-0178</t>
  </si>
  <si>
    <t>27/04/2024</t>
  </si>
  <si>
    <t>EV-0179</t>
  </si>
  <si>
    <t>29/11/2025</t>
  </si>
  <si>
    <t>EV-0180</t>
  </si>
  <si>
    <t>EV-0181</t>
  </si>
  <si>
    <t>EV-0182</t>
  </si>
  <si>
    <t>EV-0183</t>
  </si>
  <si>
    <t>26/02/2026</t>
  </si>
  <si>
    <t>EV-0184</t>
  </si>
  <si>
    <t>18/10/2025</t>
  </si>
  <si>
    <t>EV-0185</t>
  </si>
  <si>
    <t>EV-0186</t>
  </si>
  <si>
    <t>EV-0187</t>
  </si>
  <si>
    <t>EV-0188</t>
  </si>
  <si>
    <t>21/03/2025</t>
  </si>
  <si>
    <t>EV-0189</t>
  </si>
  <si>
    <t>EV-0190</t>
  </si>
  <si>
    <t>EV-0191</t>
  </si>
  <si>
    <t>EV-0192</t>
  </si>
  <si>
    <t>EV-0193</t>
  </si>
  <si>
    <t>EV-0194</t>
  </si>
  <si>
    <t>EV-0195</t>
  </si>
  <si>
    <t>27/05/2025</t>
  </si>
  <si>
    <t>EV-0196</t>
  </si>
  <si>
    <t>19/02/2026</t>
  </si>
  <si>
    <t>EV-0197</t>
  </si>
  <si>
    <t>EV-0198</t>
  </si>
  <si>
    <t>EV-0199</t>
  </si>
  <si>
    <t>18/04/2024</t>
  </si>
  <si>
    <t>EV-0200</t>
  </si>
  <si>
    <t>EV-0201</t>
  </si>
  <si>
    <t>EV-0202</t>
  </si>
  <si>
    <t>EV-0203</t>
  </si>
  <si>
    <t>EV-0204</t>
  </si>
  <si>
    <t>EV-0205</t>
  </si>
  <si>
    <t>EV-0206</t>
  </si>
  <si>
    <t>EV-0207</t>
  </si>
  <si>
    <t>EV-0208</t>
  </si>
  <si>
    <t>17/01/2025</t>
  </si>
  <si>
    <t>EV-0209</t>
  </si>
  <si>
    <t>EV-0210</t>
  </si>
  <si>
    <t>14/06/2024</t>
  </si>
  <si>
    <t>EV-0211</t>
  </si>
  <si>
    <t>EV-0212</t>
  </si>
  <si>
    <t>EV-0213</t>
  </si>
  <si>
    <t>27/06/2025</t>
  </si>
  <si>
    <t>EV-0214</t>
  </si>
  <si>
    <t>EV-0215</t>
  </si>
  <si>
    <t>EV-0216</t>
  </si>
  <si>
    <t>27/11/2024</t>
  </si>
  <si>
    <t>EV-0217</t>
  </si>
  <si>
    <t>15/05/2025</t>
  </si>
  <si>
    <t>EV-0218</t>
  </si>
  <si>
    <t>20/01/2024</t>
  </si>
  <si>
    <t>EV-0219</t>
  </si>
  <si>
    <t>EV-0220</t>
  </si>
  <si>
    <t>EV-0221</t>
  </si>
  <si>
    <t>EV-0222</t>
  </si>
  <si>
    <t>EV-0223</t>
  </si>
  <si>
    <t>EV-0224</t>
  </si>
  <si>
    <t>EV-0225</t>
  </si>
  <si>
    <t>29/02/2024</t>
  </si>
  <si>
    <t>EV-0226</t>
  </si>
  <si>
    <t>EV-0227</t>
  </si>
  <si>
    <t>EV-0228</t>
  </si>
  <si>
    <t>EV-0229</t>
  </si>
  <si>
    <t>28/03/2024</t>
  </si>
  <si>
    <t>EV-0230</t>
  </si>
  <si>
    <t>19/01/2026</t>
  </si>
  <si>
    <t>EV-0231</t>
  </si>
  <si>
    <t>EV-0232</t>
  </si>
  <si>
    <t>15/04/2026</t>
  </si>
  <si>
    <t>EV-0233</t>
  </si>
  <si>
    <t>EV-0234</t>
  </si>
  <si>
    <t>17/02/2026</t>
  </si>
  <si>
    <t>EV-0235</t>
  </si>
  <si>
    <t>EV-0236</t>
  </si>
  <si>
    <t>23/02/2026</t>
  </si>
  <si>
    <t>EV-0237</t>
  </si>
  <si>
    <t>EV-0238</t>
  </si>
  <si>
    <t>EV-0239</t>
  </si>
  <si>
    <t>EV-0240</t>
  </si>
  <si>
    <t>EV-0241</t>
  </si>
  <si>
    <t>16/07/2025</t>
  </si>
  <si>
    <t>EV-0242</t>
  </si>
  <si>
    <t>18/06/2024</t>
  </si>
  <si>
    <t>EV-0243</t>
  </si>
  <si>
    <t>EV-0244</t>
  </si>
  <si>
    <t>24/06/2025</t>
  </si>
  <si>
    <t>EV-0245</t>
  </si>
  <si>
    <t>13/09/2025</t>
  </si>
  <si>
    <t>EV-0246</t>
  </si>
  <si>
    <t>EV-0247</t>
  </si>
  <si>
    <t>EV-0248</t>
  </si>
  <si>
    <t>EV-0249</t>
  </si>
  <si>
    <t>EV-0250</t>
  </si>
  <si>
    <t>EV-0251</t>
  </si>
  <si>
    <t>EV-0252</t>
  </si>
  <si>
    <t>24/07/2024</t>
  </si>
  <si>
    <t>EV-0253</t>
  </si>
  <si>
    <t>31/12/2025</t>
  </si>
  <si>
    <t>EV-0254</t>
  </si>
  <si>
    <t>15/11/2024</t>
  </si>
  <si>
    <t>EV-0255</t>
  </si>
  <si>
    <t>EV-0256</t>
  </si>
  <si>
    <t>18/11/2025</t>
  </si>
  <si>
    <t>EV-0257</t>
  </si>
  <si>
    <t>EV-0258</t>
  </si>
  <si>
    <t>EV-0259</t>
  </si>
  <si>
    <t>24/03/2025</t>
  </si>
  <si>
    <t>EV-0260</t>
  </si>
  <si>
    <t>13/06/2025</t>
  </si>
  <si>
    <t>EV-0261</t>
  </si>
  <si>
    <t>EV-0262</t>
  </si>
  <si>
    <t>EV-0263</t>
  </si>
  <si>
    <t>EV-0264</t>
  </si>
  <si>
    <t>18/08/2024</t>
  </si>
  <si>
    <t>EV-0265</t>
  </si>
  <si>
    <t>EV-0266</t>
  </si>
  <si>
    <t>EV-0267</t>
  </si>
  <si>
    <t>22/01/2024</t>
  </si>
  <si>
    <t>EV-0268</t>
  </si>
  <si>
    <t>25/08/2025</t>
  </si>
  <si>
    <t>EV-0269</t>
  </si>
  <si>
    <t>21/07/2025</t>
  </si>
  <si>
    <t>EV-0270</t>
  </si>
  <si>
    <t>23/08/2024</t>
  </si>
  <si>
    <t>EV-0271</t>
  </si>
  <si>
    <t>EV-0272</t>
  </si>
  <si>
    <t>EV-0273</t>
  </si>
  <si>
    <t>EV-0274</t>
  </si>
  <si>
    <t>13/03/2024</t>
  </si>
  <si>
    <t>EV-0275</t>
  </si>
  <si>
    <t>25/12/2025</t>
  </si>
  <si>
    <t>EV-0276</t>
  </si>
  <si>
    <t>EV-0277</t>
  </si>
  <si>
    <t>EV-0278</t>
  </si>
  <si>
    <t>EV-0279</t>
  </si>
  <si>
    <t>EV-0280</t>
  </si>
  <si>
    <t>EV-0281</t>
  </si>
  <si>
    <t>EV-0282</t>
  </si>
  <si>
    <t>EV-0283</t>
  </si>
  <si>
    <t>EV-0284</t>
  </si>
  <si>
    <t>31/08/2024</t>
  </si>
  <si>
    <t>EV-0285</t>
  </si>
  <si>
    <t>EV-0286</t>
  </si>
  <si>
    <t>16/11/2025</t>
  </si>
  <si>
    <t>EV-0287</t>
  </si>
  <si>
    <t>EV-0288</t>
  </si>
  <si>
    <t>EV-0289</t>
  </si>
  <si>
    <t>EV-0290</t>
  </si>
  <si>
    <t>15/05/2024</t>
  </si>
  <si>
    <t>EV-0291</t>
  </si>
  <si>
    <t>EV-0292</t>
  </si>
  <si>
    <t>EV-0293</t>
  </si>
  <si>
    <t>13/08/2025</t>
  </si>
  <si>
    <t>EV-0294</t>
  </si>
  <si>
    <t>29/04/2025</t>
  </si>
  <si>
    <t>EV-0295</t>
  </si>
  <si>
    <t>EV-0296</t>
  </si>
  <si>
    <t>14/03/2026</t>
  </si>
  <si>
    <t>EV-0297</t>
  </si>
  <si>
    <t>EV-0298</t>
  </si>
  <si>
    <t>EV-0299</t>
  </si>
  <si>
    <t>20/02/2025</t>
  </si>
  <si>
    <t>EV-0300</t>
  </si>
  <si>
    <t>13/07/2024</t>
  </si>
  <si>
    <t>EV-0301</t>
  </si>
  <si>
    <t>EV-0302</t>
  </si>
  <si>
    <t>EV-0303</t>
  </si>
  <si>
    <t>EV-0304</t>
  </si>
  <si>
    <t>17/03/2025</t>
  </si>
  <si>
    <t>EV-0305</t>
  </si>
  <si>
    <t>28/12/2024</t>
  </si>
  <si>
    <t>EV-0306</t>
  </si>
  <si>
    <t>EV-0307</t>
  </si>
  <si>
    <t>24/02/2025</t>
  </si>
  <si>
    <t>EV-0308</t>
  </si>
  <si>
    <t>23/04/2025</t>
  </si>
  <si>
    <t>EV-0309</t>
  </si>
  <si>
    <t>EV-0310</t>
  </si>
  <si>
    <t>25/02/2024</t>
  </si>
  <si>
    <t>EV-0311</t>
  </si>
  <si>
    <t>20/11/2025</t>
  </si>
  <si>
    <t>EV-0312</t>
  </si>
  <si>
    <t>31/10/2025</t>
  </si>
  <si>
    <t>EV-0313</t>
  </si>
  <si>
    <t>23/10/2025</t>
  </si>
  <si>
    <t>EV-0314</t>
  </si>
  <si>
    <t>EV-0315</t>
  </si>
  <si>
    <t>EV-0316</t>
  </si>
  <si>
    <t>16/02/2025</t>
  </si>
  <si>
    <t>EV-0317</t>
  </si>
  <si>
    <t>15/01/2026</t>
  </si>
  <si>
    <t>EV-0318</t>
  </si>
  <si>
    <t>13/12/2024</t>
  </si>
  <si>
    <t>EV-0319</t>
  </si>
  <si>
    <t>30/03/2026</t>
  </si>
  <si>
    <t>EV-0320</t>
  </si>
  <si>
    <t>21/04/2024</t>
  </si>
  <si>
    <t>EV-0321</t>
  </si>
  <si>
    <t>EV-0322</t>
  </si>
  <si>
    <t>EV-0323</t>
  </si>
  <si>
    <t>EV-0324</t>
  </si>
  <si>
    <t>EV-0325</t>
  </si>
  <si>
    <t>EV-0326</t>
  </si>
  <si>
    <t>23/05/2024</t>
  </si>
  <si>
    <t>EV-0327</t>
  </si>
  <si>
    <t>EV-0328</t>
  </si>
  <si>
    <t>EV-0329</t>
  </si>
  <si>
    <t>EV-0330</t>
  </si>
  <si>
    <t>EV-0331</t>
  </si>
  <si>
    <t>EV-0332</t>
  </si>
  <si>
    <t>18/03/2024</t>
  </si>
  <si>
    <t>EV-0333</t>
  </si>
  <si>
    <t>29/03/2025</t>
  </si>
  <si>
    <t>EV-0334</t>
  </si>
  <si>
    <t>EV-0335</t>
  </si>
  <si>
    <t>17/07/2025</t>
  </si>
  <si>
    <t>EV-0336</t>
  </si>
  <si>
    <t>EV-0337</t>
  </si>
  <si>
    <t>21/02/2024</t>
  </si>
  <si>
    <t>EV-0338</t>
  </si>
  <si>
    <t>29/10/2025</t>
  </si>
  <si>
    <t>EV-0339</t>
  </si>
  <si>
    <t>EV-0340</t>
  </si>
  <si>
    <t>EV-0341</t>
  </si>
  <si>
    <t>16/01/2024</t>
  </si>
  <si>
    <t>EV-0342</t>
  </si>
  <si>
    <t>EV-0343</t>
  </si>
  <si>
    <t>EV-0344</t>
  </si>
  <si>
    <t>19/05/2026</t>
  </si>
  <si>
    <t>EV-0345</t>
  </si>
  <si>
    <t>30/08/2024</t>
  </si>
  <si>
    <t>EV-0346</t>
  </si>
  <si>
    <t>19/06/2024</t>
  </si>
  <si>
    <t>EV-0347</t>
  </si>
  <si>
    <t>EV-0348</t>
  </si>
  <si>
    <t>EV-0349</t>
  </si>
  <si>
    <t>EV-0350</t>
  </si>
  <si>
    <t>EV-0351</t>
  </si>
  <si>
    <t>14/02/2025</t>
  </si>
  <si>
    <t>EV-0352</t>
  </si>
  <si>
    <t>EV-0353</t>
  </si>
  <si>
    <t>17/06/2024</t>
  </si>
  <si>
    <t>EV-0354</t>
  </si>
  <si>
    <t>EV-0355</t>
  </si>
  <si>
    <t>EV-0356</t>
  </si>
  <si>
    <t>EV-0357</t>
  </si>
  <si>
    <t>EV-0358</t>
  </si>
  <si>
    <t>13/03/2026</t>
  </si>
  <si>
    <t>EV-0359</t>
  </si>
  <si>
    <t>EV-0360</t>
  </si>
  <si>
    <t>EV-0361</t>
  </si>
  <si>
    <t>19/10/2024</t>
  </si>
  <si>
    <t>EV-0362</t>
  </si>
  <si>
    <t>EV-0363</t>
  </si>
  <si>
    <t>14/12/2025</t>
  </si>
  <si>
    <t>EV-0364</t>
  </si>
  <si>
    <t>18/01/2026</t>
  </si>
  <si>
    <t>EV-0365</t>
  </si>
  <si>
    <t>EV-0366</t>
  </si>
  <si>
    <t>23/07/2025</t>
  </si>
  <si>
    <t>EV-0367</t>
  </si>
  <si>
    <t>EV-0368</t>
  </si>
  <si>
    <t>EV-0369</t>
  </si>
  <si>
    <t>13/05/2025</t>
  </si>
  <si>
    <t>EV-0370</t>
  </si>
  <si>
    <t>EV-0371</t>
  </si>
  <si>
    <t>EV-0372</t>
  </si>
  <si>
    <t>30/10/2024</t>
  </si>
  <si>
    <t>EV-0373</t>
  </si>
  <si>
    <t>EV-0374</t>
  </si>
  <si>
    <t>EV-0375</t>
  </si>
  <si>
    <t>16/08/2025</t>
  </si>
  <si>
    <t>EV-0376</t>
  </si>
  <si>
    <t>23/01/2026</t>
  </si>
  <si>
    <t>EV-0377</t>
  </si>
  <si>
    <t>EV-0378</t>
  </si>
  <si>
    <t>EV-0379</t>
  </si>
  <si>
    <t>EV-0380</t>
  </si>
  <si>
    <t>17/11/2024</t>
  </si>
  <si>
    <t>EV-0381</t>
  </si>
  <si>
    <t>28/02/2024</t>
  </si>
  <si>
    <t>EV-0382</t>
  </si>
  <si>
    <t>EV-0383</t>
  </si>
  <si>
    <t>21/08/2025</t>
  </si>
  <si>
    <t>EV-0384</t>
  </si>
  <si>
    <t>EV-0385</t>
  </si>
  <si>
    <t>29/05/2025</t>
  </si>
  <si>
    <t>EV-0386</t>
  </si>
  <si>
    <t>EV-0387</t>
  </si>
  <si>
    <t>EV-0388</t>
  </si>
  <si>
    <t>EV-0389</t>
  </si>
  <si>
    <t>EV-0390</t>
  </si>
  <si>
    <t>23/03/2024</t>
  </si>
  <si>
    <t>EV-0391</t>
  </si>
  <si>
    <t>EV-0392</t>
  </si>
  <si>
    <t>EV-0393</t>
  </si>
  <si>
    <t>EV-0394</t>
  </si>
  <si>
    <t>EV-0395</t>
  </si>
  <si>
    <t>22/11/2025</t>
  </si>
  <si>
    <t>EV-0396</t>
  </si>
  <si>
    <t>28/08/2024</t>
  </si>
  <si>
    <t>EV-0397</t>
  </si>
  <si>
    <t>17/02/2025</t>
  </si>
  <si>
    <t>EV-0398</t>
  </si>
  <si>
    <t>EV-0399</t>
  </si>
  <si>
    <t>EV-0400</t>
  </si>
  <si>
    <t>EV-0401</t>
  </si>
  <si>
    <t>15/08/2025</t>
  </si>
  <si>
    <t>EV-0402</t>
  </si>
  <si>
    <t>31/08/2025</t>
  </si>
  <si>
    <t>EV-0403</t>
  </si>
  <si>
    <t>EV-0404</t>
  </si>
  <si>
    <t>26/09/2025</t>
  </si>
  <si>
    <t>EV-0405</t>
  </si>
  <si>
    <t>24/03/2024</t>
  </si>
  <si>
    <t>EV-0406</t>
  </si>
  <si>
    <t>EV-0407</t>
  </si>
  <si>
    <t>EV-0408</t>
  </si>
  <si>
    <t>EV-0409</t>
  </si>
  <si>
    <t>EV-0410</t>
  </si>
  <si>
    <t>19/06/2025</t>
  </si>
  <si>
    <t>EV-0411</t>
  </si>
  <si>
    <t>EV-0412</t>
  </si>
  <si>
    <t>24/09/2024</t>
  </si>
  <si>
    <t>EV-0413</t>
  </si>
  <si>
    <t>28/07/2024</t>
  </si>
  <si>
    <t>EV-0414</t>
  </si>
  <si>
    <t>EV-0415</t>
  </si>
  <si>
    <t>EV-0416</t>
  </si>
  <si>
    <t>EV-0417</t>
  </si>
  <si>
    <t>EV-0418</t>
  </si>
  <si>
    <t>EV-0419</t>
  </si>
  <si>
    <t>EV-0420</t>
  </si>
  <si>
    <t>14/05/2024</t>
  </si>
  <si>
    <t>EV-0421</t>
  </si>
  <si>
    <t>EV-0422</t>
  </si>
  <si>
    <t>22/10/2025</t>
  </si>
  <si>
    <t>EV-0423</t>
  </si>
  <si>
    <t>EV-0424</t>
  </si>
  <si>
    <t>13/04/2025</t>
  </si>
  <si>
    <t>EV-0425</t>
  </si>
  <si>
    <t>EV-0426</t>
  </si>
  <si>
    <t>EV-0427</t>
  </si>
  <si>
    <t>15/03/2024</t>
  </si>
  <si>
    <t>EV-0428</t>
  </si>
  <si>
    <t>EV-0429</t>
  </si>
  <si>
    <t>EV-0430</t>
  </si>
  <si>
    <t>28/09/2025</t>
  </si>
  <si>
    <t>EV-0431</t>
  </si>
  <si>
    <t>30/07/2025</t>
  </si>
  <si>
    <t>EV-0432</t>
  </si>
  <si>
    <t>EV-0433</t>
  </si>
  <si>
    <t>16/03/2024</t>
  </si>
  <si>
    <t>EV-0434</t>
  </si>
  <si>
    <t>EV-0435</t>
  </si>
  <si>
    <t>EV-0436</t>
  </si>
  <si>
    <t>EV-0437</t>
  </si>
  <si>
    <t>EV-0438</t>
  </si>
  <si>
    <t>EV-0439</t>
  </si>
  <si>
    <t>23/12/2024</t>
  </si>
  <si>
    <t>EV-0440</t>
  </si>
  <si>
    <t>EV-0441</t>
  </si>
  <si>
    <t>EV-0442</t>
  </si>
  <si>
    <t>13/01/2025</t>
  </si>
  <si>
    <t>EV-0443</t>
  </si>
  <si>
    <t>18/10/2024</t>
  </si>
  <si>
    <t>EV-0444</t>
  </si>
  <si>
    <t>EV-0445</t>
  </si>
  <si>
    <t>EV-0446</t>
  </si>
  <si>
    <t>EV-0447</t>
  </si>
  <si>
    <t>EV-0448</t>
  </si>
  <si>
    <t>21/12/2025</t>
  </si>
  <si>
    <t>EV-0449</t>
  </si>
  <si>
    <t>EV-0450</t>
  </si>
  <si>
    <t>18/09/2025</t>
  </si>
  <si>
    <t>EV-0451</t>
  </si>
  <si>
    <t>EV-0452</t>
  </si>
  <si>
    <t>EV-0453</t>
  </si>
  <si>
    <t>EV-0454</t>
  </si>
  <si>
    <t>EV-0455</t>
  </si>
  <si>
    <t>14/11/2025</t>
  </si>
  <si>
    <t>EV-0456</t>
  </si>
  <si>
    <t>16/04/2026</t>
  </si>
  <si>
    <t>EV-0457</t>
  </si>
  <si>
    <t>EV-0458</t>
  </si>
  <si>
    <t>EV-0459</t>
  </si>
  <si>
    <t>EV-0460</t>
  </si>
  <si>
    <t>16/04/2024</t>
  </si>
  <si>
    <t>EV-0461</t>
  </si>
  <si>
    <t>17/05/2024</t>
  </si>
  <si>
    <t>EV-0462</t>
  </si>
  <si>
    <t>EV-0463</t>
  </si>
  <si>
    <t>28/04/2024</t>
  </si>
  <si>
    <t>EV-0464</t>
  </si>
  <si>
    <t>19/04/2024</t>
  </si>
  <si>
    <t>EV-0465</t>
  </si>
  <si>
    <t>EV-0466</t>
  </si>
  <si>
    <t>EV-0467</t>
  </si>
  <si>
    <t>EV-0468</t>
  </si>
  <si>
    <t>EV-0469</t>
  </si>
  <si>
    <t>15/10/2024</t>
  </si>
  <si>
    <t>EV-0470</t>
  </si>
  <si>
    <t>EV-0471</t>
  </si>
  <si>
    <t>EV-0472</t>
  </si>
  <si>
    <t>EV-0473</t>
  </si>
  <si>
    <t>17/12/2024</t>
  </si>
  <si>
    <t>EV-0474</t>
  </si>
  <si>
    <t>27/07/2024</t>
  </si>
  <si>
    <t>EV-0475</t>
  </si>
  <si>
    <t>EV-0476</t>
  </si>
  <si>
    <t>EV-0477</t>
  </si>
  <si>
    <t>EV-0478</t>
  </si>
  <si>
    <t>EV-0479</t>
  </si>
  <si>
    <t>EV-0480</t>
  </si>
  <si>
    <t>EV-0481</t>
  </si>
  <si>
    <t>16/05/2026</t>
  </si>
  <si>
    <t>EV-0482</t>
  </si>
  <si>
    <t>22/02/2024</t>
  </si>
  <si>
    <t>EV-0483</t>
  </si>
  <si>
    <t>EV-0484</t>
  </si>
  <si>
    <t>EV-0485</t>
  </si>
  <si>
    <t>EV-0486</t>
  </si>
  <si>
    <t>EV-0487</t>
  </si>
  <si>
    <t>EV-0488</t>
  </si>
  <si>
    <t>15/02/2024</t>
  </si>
  <si>
    <t>EV-0489</t>
  </si>
  <si>
    <t>EV-0490</t>
  </si>
  <si>
    <t>EV-0491</t>
  </si>
  <si>
    <t>28/02/2026</t>
  </si>
  <si>
    <t>EV-0492</t>
  </si>
  <si>
    <t>13/05/2024</t>
  </si>
  <si>
    <t>EV-0493</t>
  </si>
  <si>
    <t>14/10/2025</t>
  </si>
  <si>
    <t>EV-0494</t>
  </si>
  <si>
    <t>25/09/2024</t>
  </si>
  <si>
    <t>EV-0495</t>
  </si>
  <si>
    <t>EV-0496</t>
  </si>
  <si>
    <t>EV-0497</t>
  </si>
  <si>
    <t>28/03/2025</t>
  </si>
  <si>
    <t>EV-0498</t>
  </si>
  <si>
    <t>18/07/2025</t>
  </si>
  <si>
    <t>EV-0499</t>
  </si>
  <si>
    <t>23/12/2025</t>
  </si>
  <si>
    <t>EV-0500</t>
  </si>
  <si>
    <t>13/03/2025</t>
  </si>
  <si>
    <t>active</t>
  </si>
  <si>
    <t>BPCL</t>
  </si>
  <si>
    <t>zeon charging</t>
  </si>
  <si>
    <t>CHENNAI</t>
  </si>
  <si>
    <t>KOLKATA</t>
  </si>
  <si>
    <t xml:space="preserve">Mumbai </t>
  </si>
  <si>
    <t>ACTIVE</t>
  </si>
  <si>
    <t>ATHER GRID</t>
  </si>
  <si>
    <t>pune</t>
  </si>
  <si>
    <t xml:space="preserve">Pune </t>
  </si>
  <si>
    <t>ather grid</t>
  </si>
  <si>
    <t>ZEON CHARGING</t>
  </si>
  <si>
    <t xml:space="preserve"> Mumbai</t>
  </si>
  <si>
    <t>MUMBAI</t>
  </si>
  <si>
    <t>TATA POWER</t>
  </si>
  <si>
    <t xml:space="preserve">Chennai </t>
  </si>
  <si>
    <t>HYDERABAD</t>
  </si>
  <si>
    <t>kolkata</t>
  </si>
  <si>
    <t>PUNE</t>
  </si>
  <si>
    <t>hyderabad</t>
  </si>
  <si>
    <t>tata power</t>
  </si>
  <si>
    <t>DELHI</t>
  </si>
  <si>
    <t>delhi</t>
  </si>
  <si>
    <t>DECOMMISSIONED</t>
  </si>
  <si>
    <t xml:space="preserve">delhi </t>
  </si>
  <si>
    <t>Column3</t>
  </si>
  <si>
    <t>Revenue (INR)</t>
  </si>
  <si>
    <t>Energy Dispensed(kWh)</t>
  </si>
  <si>
    <t>Connector Type</t>
  </si>
  <si>
    <t>Operator</t>
  </si>
  <si>
    <t xml:space="preserve">City </t>
  </si>
  <si>
    <t>Fixed</t>
  </si>
  <si>
    <t>Change to null</t>
  </si>
  <si>
    <t>Energy/Revenue</t>
  </si>
  <si>
    <t>Minus value</t>
  </si>
  <si>
    <t>Short date-Custom-dd/mm/yyyy</t>
  </si>
  <si>
    <t>Date</t>
  </si>
  <si>
    <t>Non-Standard Date Value</t>
  </si>
  <si>
    <t>Date imputation With City Index Match</t>
  </si>
  <si>
    <t>Missing Date Values</t>
  </si>
  <si>
    <t>Group by Connector with Median Value</t>
  </si>
  <si>
    <t>Missing Revenue Values</t>
  </si>
  <si>
    <t>Energy</t>
  </si>
  <si>
    <t>Missing Energy Values</t>
  </si>
  <si>
    <t>Mode By using Pivot</t>
  </si>
  <si>
    <t>MiSsing Status Values</t>
  </si>
  <si>
    <t>Missing Operator Values</t>
  </si>
  <si>
    <t>Missing City Values</t>
  </si>
  <si>
    <t>Proper+Trim+Find and Replace</t>
  </si>
  <si>
    <t>~50 rows</t>
  </si>
  <si>
    <t xml:space="preserve">Inconsistent Status Names </t>
  </si>
  <si>
    <t>~60 rows</t>
  </si>
  <si>
    <t xml:space="preserve">Inconsistent Operator Names </t>
  </si>
  <si>
    <t>~80 rows</t>
  </si>
  <si>
    <t>Inconsistent City Names</t>
  </si>
  <si>
    <t>Remove Duplicate in Data Bar</t>
  </si>
  <si>
    <t>All Columns</t>
  </si>
  <si>
    <t>Duplicate Rows</t>
  </si>
  <si>
    <t>Fixed Method</t>
  </si>
  <si>
    <t>Fixed Count</t>
  </si>
  <si>
    <t>Raw Count</t>
  </si>
  <si>
    <t>Cloumn(s) Affected</t>
  </si>
  <si>
    <t>Column1</t>
  </si>
  <si>
    <t xml:space="preserve"> Section 1 Data Qulity issue Found in raw DataSet</t>
  </si>
  <si>
    <t>chargepoint</t>
  </si>
  <si>
    <t>Under Maintenance</t>
  </si>
  <si>
    <t>ChargePoint</t>
  </si>
  <si>
    <t>BANGALORE</t>
  </si>
  <si>
    <t>B.P.C.L</t>
  </si>
  <si>
    <t>New Delhi</t>
  </si>
  <si>
    <t>Yes</t>
  </si>
  <si>
    <t>Bangalore</t>
  </si>
  <si>
    <t>ZeonCharging</t>
  </si>
  <si>
    <t>6184.52 kWh</t>
  </si>
  <si>
    <t>Ahmedabad</t>
  </si>
  <si>
    <t>9692.11 kWh</t>
  </si>
  <si>
    <t>AHMEDABAD</t>
  </si>
  <si>
    <t>AtherGrid</t>
  </si>
  <si>
    <t>2349.49 kWh</t>
  </si>
  <si>
    <t>9444.61 kWh</t>
  </si>
  <si>
    <t>Actve</t>
  </si>
  <si>
    <t>6884.53 kWh</t>
  </si>
  <si>
    <t>10929.68 kWh</t>
  </si>
  <si>
    <t>2099.18 kWh</t>
  </si>
  <si>
    <t>CHARGEPOINT</t>
  </si>
  <si>
    <t>In Active</t>
  </si>
  <si>
    <t>Dehli</t>
  </si>
  <si>
    <t>1830.06 kWh</t>
  </si>
  <si>
    <t>Hydrabad</t>
  </si>
  <si>
    <t>Tatapower</t>
  </si>
  <si>
    <t>Calcutta</t>
  </si>
  <si>
    <t>Maintanance</t>
  </si>
  <si>
    <t>inactive</t>
  </si>
  <si>
    <t>ahmedabad</t>
  </si>
  <si>
    <t>110.69 kWh</t>
  </si>
  <si>
    <t>1598.22 kWh</t>
  </si>
  <si>
    <t>446.01 kWh</t>
  </si>
  <si>
    <t>Banglore</t>
  </si>
  <si>
    <t>8184.17 kWh</t>
  </si>
  <si>
    <t>5580.54 kWh</t>
  </si>
  <si>
    <t>No</t>
  </si>
  <si>
    <t>8.62 kWh</t>
  </si>
  <si>
    <t>bpcl</t>
  </si>
  <si>
    <t>85.77 kWh</t>
  </si>
  <si>
    <t>6114.64 kWh</t>
  </si>
  <si>
    <t>2194.57 kWh</t>
  </si>
  <si>
    <t>9145.43 kWh</t>
  </si>
  <si>
    <t>11810.83 kWh</t>
  </si>
  <si>
    <t>Channai</t>
  </si>
  <si>
    <t>De-commissioned</t>
  </si>
  <si>
    <t>4076.95 kWh</t>
  </si>
  <si>
    <t>115.4 kWh</t>
  </si>
  <si>
    <t>55.79 kWh</t>
  </si>
  <si>
    <t>Mumabi</t>
  </si>
  <si>
    <t>1723.66 kWh</t>
  </si>
  <si>
    <t>bangalore</t>
  </si>
  <si>
    <t>962.97 kWh</t>
  </si>
  <si>
    <t>Column2</t>
  </si>
  <si>
    <t>Column4</t>
  </si>
  <si>
    <t>Column5</t>
  </si>
  <si>
    <t>Column6</t>
  </si>
  <si>
    <t>Column7</t>
  </si>
  <si>
    <t>Column8</t>
  </si>
  <si>
    <t>Column9</t>
  </si>
  <si>
    <t>Column10</t>
  </si>
  <si>
    <t>Column11</t>
  </si>
  <si>
    <t>Column12</t>
  </si>
  <si>
    <t>Operator Sector</t>
  </si>
  <si>
    <t>Column13</t>
  </si>
  <si>
    <t>Column14</t>
  </si>
  <si>
    <t>Column15</t>
  </si>
  <si>
    <t>Median of energy</t>
  </si>
  <si>
    <t>Median of Revenue</t>
  </si>
  <si>
    <t>Row Labels</t>
  </si>
  <si>
    <t>Grand Total</t>
  </si>
  <si>
    <t>Athergrid</t>
  </si>
  <si>
    <t>Chargepoint</t>
  </si>
  <si>
    <t>Zeoncharging</t>
  </si>
  <si>
    <t>Bharat Dc-001</t>
  </si>
  <si>
    <t>Ccs2</t>
  </si>
  <si>
    <t>Chademo</t>
  </si>
  <si>
    <t>Type2 Ac</t>
  </si>
  <si>
    <t>fast</t>
  </si>
  <si>
    <t>Connectors(Country)</t>
  </si>
  <si>
    <t>Count of Country</t>
  </si>
  <si>
    <t>Connectors(Speed)</t>
  </si>
  <si>
    <t>Count of the Connectors</t>
  </si>
  <si>
    <t>Count of City</t>
  </si>
  <si>
    <t>Count of Status</t>
  </si>
  <si>
    <t>Count of Connectors</t>
  </si>
  <si>
    <t>Sectors</t>
  </si>
  <si>
    <t>Count of Sectors</t>
  </si>
  <si>
    <t>Mode="Mumbai"</t>
  </si>
  <si>
    <t>Mode="Active"</t>
  </si>
  <si>
    <t xml:space="preserve">Energy Dispensed </t>
  </si>
  <si>
    <t>Energy Cleaned</t>
  </si>
  <si>
    <t>Issues</t>
  </si>
  <si>
    <t>Metrics</t>
  </si>
  <si>
    <t>Total Rows</t>
  </si>
  <si>
    <t>Total Column</t>
  </si>
  <si>
    <t>Missing Value</t>
  </si>
  <si>
    <t>Duplicate</t>
  </si>
  <si>
    <t>Outliers</t>
  </si>
  <si>
    <t>Raw Dataset</t>
  </si>
  <si>
    <t>69 Cells</t>
  </si>
  <si>
    <t>12 Variants</t>
  </si>
  <si>
    <t>8 Variants</t>
  </si>
  <si>
    <t>10 Variants</t>
  </si>
  <si>
    <t>5+ formats</t>
  </si>
  <si>
    <t>dd/mm/yyyy</t>
  </si>
  <si>
    <t>4 Standard</t>
  </si>
  <si>
    <t>5 Standard</t>
  </si>
  <si>
    <t>8 Standard</t>
  </si>
  <si>
    <t>Cleaned Dataset</t>
  </si>
  <si>
    <t>Section-2 Before VS After</t>
  </si>
  <si>
    <t>Time Line</t>
  </si>
  <si>
    <t>2024-2026</t>
  </si>
  <si>
    <t>Revenue Cleaned</t>
  </si>
  <si>
    <t>Revenue Per kWh</t>
  </si>
  <si>
    <t>Findings-India has Less own Connectors Brand</t>
  </si>
  <si>
    <t>Findings-Government Operators are less</t>
  </si>
  <si>
    <t>Sum of Revenue</t>
  </si>
  <si>
    <t>Sum of Energy Dispensed kWh</t>
  </si>
  <si>
    <t>Count of Installation Date</t>
  </si>
  <si>
    <t>EV Charging Station DashBoard India(2024-2026)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</si>
</sst>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49]\ #,##0.00"/>
    <numFmt numFmtId="165" formatCode="[$₹-449]\ #,##0"/>
    <numFmt numFmtId="166" formatCode="dd/mm/yyyy"/>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4"/>
      <color theme="1"/>
      <name val="Calibri"/>
      <family val="2"/>
      <scheme val="minor"/>
    </font>
    <font>
      <b/>
      <sz val="12"/>
      <color theme="1"/>
      <name val="Calibri"/>
      <family val="2"/>
      <scheme val="minor"/>
    </font>
    <font>
      <sz val="12"/>
      <color rgb="FFFF0000"/>
      <name val="Calibri"/>
      <family val="2"/>
      <scheme val="minor"/>
    </font>
    <font>
      <b/>
      <sz val="12"/>
      <color rgb="FFFF0000"/>
      <name val="Calibri"/>
      <family val="2"/>
      <scheme val="minor"/>
    </font>
    <font>
      <sz val="22"/>
      <color theme="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rgb="FFFF0000"/>
        <bgColor indexed="64"/>
      </patternFill>
    </fill>
    <fill>
      <patternFill patternType="solid">
        <fgColor theme="9"/>
        <bgColor indexed="64"/>
      </patternFill>
    </fill>
    <fill>
      <patternFill patternType="solid">
        <fgColor theme="2" tint="-9.9978637043366805E-2"/>
        <bgColor indexed="64"/>
      </patternFill>
    </fill>
    <fill>
      <patternFill patternType="solid">
        <fgColor theme="4"/>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0">
    <xf numFmtId="0" fontId="0" fillId="0" borderId="0" xfId="0"/>
    <xf numFmtId="14" fontId="0" fillId="0" borderId="0" xfId="0" applyNumberFormat="1"/>
    <xf numFmtId="164" fontId="0" fillId="0" borderId="0" xfId="0" applyNumberFormat="1"/>
    <xf numFmtId="15" fontId="0" fillId="0" borderId="0" xfId="0" applyNumberFormat="1"/>
    <xf numFmtId="0" fontId="0" fillId="0" borderId="0" xfId="0" applyNumberFormat="1"/>
    <xf numFmtId="166" fontId="0" fillId="0" borderId="0" xfId="0" applyNumberFormat="1"/>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left"/>
    </xf>
    <xf numFmtId="0" fontId="0" fillId="0" borderId="0" xfId="0" applyAlignment="1">
      <alignment horizontal="left" indent="3"/>
    </xf>
    <xf numFmtId="0" fontId="0" fillId="0" borderId="0" xfId="0" applyAlignment="1">
      <alignment horizontal="left" indent="4"/>
    </xf>
    <xf numFmtId="164" fontId="0" fillId="0" borderId="0" xfId="0" applyNumberFormat="1" applyAlignment="1">
      <alignment horizontal="left" indent="1"/>
    </xf>
    <xf numFmtId="164" fontId="0" fillId="0" borderId="0" xfId="0" applyNumberFormat="1" applyAlignment="1">
      <alignment horizontal="left" indent="2"/>
    </xf>
    <xf numFmtId="165" fontId="0" fillId="0" borderId="0" xfId="0" applyNumberFormat="1" applyAlignment="1">
      <alignment horizontal="left"/>
    </xf>
    <xf numFmtId="0" fontId="0" fillId="0" borderId="0" xfId="0" pivotButton="1"/>
    <xf numFmtId="0" fontId="16" fillId="33" borderId="0" xfId="0" applyFont="1" applyFill="1"/>
    <xf numFmtId="0" fontId="0" fillId="0" borderId="10" xfId="0" applyBorder="1"/>
    <xf numFmtId="0" fontId="0" fillId="34" borderId="0" xfId="0" applyFill="1"/>
    <xf numFmtId="0" fontId="19" fillId="34" borderId="0" xfId="0" applyFont="1" applyFill="1"/>
    <xf numFmtId="0" fontId="0" fillId="0" borderId="10" xfId="0" applyBorder="1" applyAlignment="1">
      <alignment horizontal="center"/>
    </xf>
    <xf numFmtId="0" fontId="0" fillId="35" borderId="0" xfId="0" applyFill="1"/>
    <xf numFmtId="0" fontId="20" fillId="35" borderId="0" xfId="0" applyFont="1" applyFill="1"/>
    <xf numFmtId="0" fontId="21" fillId="0" borderId="0" xfId="0" applyFont="1" applyAlignment="1">
      <alignment horizontal="left"/>
    </xf>
    <xf numFmtId="0" fontId="22" fillId="0" borderId="0" xfId="0" applyFont="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36" borderId="0" xfId="0" applyFill="1"/>
    <xf numFmtId="0" fontId="0" fillId="36" borderId="0" xfId="0" applyFill="1" applyAlignment="1">
      <alignment horizontal="left"/>
    </xf>
    <xf numFmtId="0" fontId="0" fillId="36" borderId="0" xfId="0" applyNumberFormat="1" applyFill="1"/>
    <xf numFmtId="0" fontId="0" fillId="37" borderId="0" xfId="0" applyFill="1"/>
    <xf numFmtId="0" fontId="0" fillId="37" borderId="0" xfId="0" applyFill="1" applyAlignment="1">
      <alignment horizontal="center" vertical="top"/>
    </xf>
    <xf numFmtId="0" fontId="0" fillId="37" borderId="0" xfId="0" applyFill="1" applyAlignment="1">
      <alignment horizontal="left" vertical="center"/>
    </xf>
    <xf numFmtId="0" fontId="23" fillId="37" borderId="0" xfId="0"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8">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49]\ #,##0.00"/>
      <alignment horizontal="left" vertical="bottom" textRotation="0" wrapText="0" relativeIndent="1" justifyLastLine="0" shrinkToFit="0" readingOrder="0"/>
    </dxf>
    <dxf>
      <alignment horizontal="center" vertical="bottom" textRotation="0" wrapText="0" indent="0" justifyLastLine="0" shrinkToFit="0" readingOrder="0"/>
    </dxf>
    <dxf>
      <alignment horizontal="left" vertical="bottom" textRotation="0" wrapText="0" relativeIndent="1" justifyLastLine="0" shrinkToFit="0" readingOrder="0"/>
    </dxf>
    <dxf>
      <numFmt numFmtId="165" formatCode="[$₹-449]\ #,##0"/>
      <alignment horizontal="left" vertical="bottom" textRotation="0" wrapText="0" indent="0" justifyLastLine="0" shrinkToFit="0" readingOrder="0"/>
    </dxf>
    <dxf>
      <alignment horizontal="left" vertical="bottom" textRotation="0" wrapText="0" relativeIndent="1" justifyLastLine="0" shrinkToFit="0" readingOrder="0"/>
    </dxf>
    <dxf>
      <alignment horizontal="center" vertical="bottom" textRotation="0" wrapText="0" indent="0" justifyLastLine="0" shrinkToFit="0" readingOrder="0"/>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Charge Station MiniProject.xlsx]Pivots Used for Inights!PivotTable11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Operators By Revenue</a:t>
            </a:r>
          </a:p>
          <a:p>
            <a:pPr>
              <a:defRPr/>
            </a:pPr>
            <a:endParaRPr lang="en-US"/>
          </a:p>
        </c:rich>
      </c:tx>
      <c:layout>
        <c:manualLayout>
          <c:xMode val="edge"/>
          <c:yMode val="edge"/>
          <c:x val="0.32627450980392159"/>
          <c:y val="2.762020338855493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47928250084494"/>
          <c:y val="0.22327925626254913"/>
          <c:w val="0.70343903831437071"/>
          <c:h val="0.40652394681211956"/>
        </c:manualLayout>
      </c:layout>
      <c:barChart>
        <c:barDir val="col"/>
        <c:grouping val="clustered"/>
        <c:varyColors val="0"/>
        <c:ser>
          <c:idx val="0"/>
          <c:order val="0"/>
          <c:tx>
            <c:strRef>
              <c:f>'Pivots Used for Inights'!$B$3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'Pivots Used for Inights'!$A$4:$A$10</c:f>
              <c:strCache>
                <c:ptCount val="6"/>
                <c:pt idx="0">
                  <c:v>Ather Grid</c:v>
                </c:pt>
                <c:pt idx="1">
                  <c:v>Bharat Petroleum</c:v>
                </c:pt>
                <c:pt idx="2">
                  <c:v>Bpcl</c:v>
                </c:pt>
                <c:pt idx="3">
                  <c:v>Charge Point</c:v>
                </c:pt>
                <c:pt idx="4">
                  <c:v>Tata Power</c:v>
                </c:pt>
                <c:pt idx="5">
                  <c:v>Zeon Charging</c:v>
                </c:pt>
              </c:strCache>
            </c:strRef>
          </c:cat>
          <c:val>
            <c:numRef>
              <c:f>'Pivots Used for Inights'!$B$4:$B$10</c:f>
              <c:numCache>
                <c:formatCode>General</c:formatCode>
                <c:ptCount val="6"/>
                <c:pt idx="0">
                  <c:v>4195397</c:v>
                </c:pt>
                <c:pt idx="1">
                  <c:v>221587</c:v>
                </c:pt>
                <c:pt idx="2">
                  <c:v>5552805</c:v>
                </c:pt>
                <c:pt idx="3">
                  <c:v>5665916</c:v>
                </c:pt>
                <c:pt idx="4">
                  <c:v>4905665</c:v>
                </c:pt>
                <c:pt idx="5">
                  <c:v>5882492</c:v>
                </c:pt>
              </c:numCache>
            </c:numRef>
          </c:val>
          <c:extLst>
            <c:ext xmlns:c16="http://schemas.microsoft.com/office/drawing/2014/chart" uri="{C3380CC4-5D6E-409C-BE32-E72D297353CC}">
              <c16:uniqueId val="{00000000-A4F7-494E-BCB1-43E3A3448599}"/>
            </c:ext>
          </c:extLst>
        </c:ser>
        <c:dLbls>
          <c:dLblPos val="inEnd"/>
          <c:showLegendKey val="0"/>
          <c:showVal val="0"/>
          <c:showCatName val="0"/>
          <c:showSerName val="0"/>
          <c:showPercent val="0"/>
          <c:showBubbleSize val="0"/>
        </c:dLbls>
        <c:gapWidth val="65"/>
        <c:axId val="1577064864"/>
        <c:axId val="1577065696"/>
      </c:barChart>
      <c:catAx>
        <c:axId val="1577064864"/>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77065696"/>
        <c:crosses val="autoZero"/>
        <c:auto val="1"/>
        <c:lblAlgn val="ctr"/>
        <c:lblOffset val="100"/>
        <c:noMultiLvlLbl val="0"/>
      </c:catAx>
      <c:valAx>
        <c:axId val="157706569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770648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Charge Station MiniProject.xlsx]Pivots Used for Inights!PivotTable12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Station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3"/>
          </a:solidFill>
          <a:ln>
            <a:noFill/>
          </a:ln>
          <a:effectLst>
            <a:outerShdw blurRad="254000" sx="102000" sy="102000" algn="ctr" rotWithShape="0">
              <a:prstClr val="black">
                <a:alpha val="20000"/>
              </a:prstClr>
            </a:outerShdw>
          </a:effectLst>
        </c:spPr>
      </c:pivotFmt>
      <c:pivotFmt>
        <c:idx val="10"/>
        <c:spPr>
          <a:solidFill>
            <a:schemeClr val="accent4"/>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4011840802498379"/>
          <c:y val="0.25262314692913207"/>
          <c:w val="0.48030012864580646"/>
          <c:h val="0.64727802766733089"/>
        </c:manualLayout>
      </c:layout>
      <c:doughnutChart>
        <c:varyColors val="1"/>
        <c:ser>
          <c:idx val="0"/>
          <c:order val="0"/>
          <c:tx>
            <c:strRef>
              <c:f>'Pivots Used for Inights'!$B$13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7CE-45D6-A344-CDF2217D02E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7CE-45D6-A344-CDF2217D02E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7CE-45D6-A344-CDF2217D02E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7CE-45D6-A344-CDF2217D02E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 Used for Inights'!$A$14:$A$18</c:f>
              <c:strCache>
                <c:ptCount val="4"/>
                <c:pt idx="0">
                  <c:v>Active</c:v>
                </c:pt>
                <c:pt idx="1">
                  <c:v>Decommissioned</c:v>
                </c:pt>
                <c:pt idx="2">
                  <c:v>Inactive</c:v>
                </c:pt>
                <c:pt idx="3">
                  <c:v>Maintenance</c:v>
                </c:pt>
              </c:strCache>
            </c:strRef>
          </c:cat>
          <c:val>
            <c:numRef>
              <c:f>'Pivots Used for Inights'!$B$14:$B$18</c:f>
              <c:numCache>
                <c:formatCode>General</c:formatCode>
                <c:ptCount val="4"/>
                <c:pt idx="0">
                  <c:v>341</c:v>
                </c:pt>
                <c:pt idx="1">
                  <c:v>34</c:v>
                </c:pt>
                <c:pt idx="2">
                  <c:v>72</c:v>
                </c:pt>
                <c:pt idx="3">
                  <c:v>54</c:v>
                </c:pt>
              </c:numCache>
            </c:numRef>
          </c:val>
          <c:extLst>
            <c:ext xmlns:c16="http://schemas.microsoft.com/office/drawing/2014/chart" uri="{C3380CC4-5D6E-409C-BE32-E72D297353CC}">
              <c16:uniqueId val="{00000008-D7CE-45D6-A344-CDF2217D02E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Charge Station MiniProject.xlsx]Pivots Used for Inights!PivotTable13</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Installation Over The Year</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a:noFill/>
          </a:ln>
          <a:effectLst>
            <a:innerShdw dist="12700" dir="16200000">
              <a:schemeClr val="lt1"/>
            </a:innerShdw>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 Used for Inights'!$E$3</c:f>
              <c:strCache>
                <c:ptCount val="1"/>
                <c:pt idx="0">
                  <c:v>Total</c:v>
                </c:pt>
              </c:strCache>
            </c:strRef>
          </c:tx>
          <c:spPr>
            <a:solidFill>
              <a:schemeClr val="accent1">
                <a:alpha val="85000"/>
              </a:schemeClr>
            </a:solidFill>
            <a:ln>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 Used for Inights'!$D$4:$D$7</c:f>
              <c:strCache>
                <c:ptCount val="3"/>
                <c:pt idx="0">
                  <c:v>2024</c:v>
                </c:pt>
                <c:pt idx="1">
                  <c:v>2025</c:v>
                </c:pt>
                <c:pt idx="2">
                  <c:v>2026</c:v>
                </c:pt>
              </c:strCache>
            </c:strRef>
          </c:cat>
          <c:val>
            <c:numRef>
              <c:f>'Pivots Used for Inights'!$E$4:$E$7</c:f>
              <c:numCache>
                <c:formatCode>General</c:formatCode>
                <c:ptCount val="3"/>
                <c:pt idx="0">
                  <c:v>226</c:v>
                </c:pt>
                <c:pt idx="1">
                  <c:v>202</c:v>
                </c:pt>
                <c:pt idx="2">
                  <c:v>73</c:v>
                </c:pt>
              </c:numCache>
            </c:numRef>
          </c:val>
          <c:extLst>
            <c:ext xmlns:c16="http://schemas.microsoft.com/office/drawing/2014/chart" uri="{C3380CC4-5D6E-409C-BE32-E72D297353CC}">
              <c16:uniqueId val="{00000000-7872-428E-A97D-58D07B97B191}"/>
            </c:ext>
          </c:extLst>
        </c:ser>
        <c:dLbls>
          <c:showLegendKey val="0"/>
          <c:showVal val="1"/>
          <c:showCatName val="0"/>
          <c:showSerName val="0"/>
          <c:showPercent val="0"/>
          <c:showBubbleSize val="0"/>
        </c:dLbls>
        <c:axId val="1555335248"/>
        <c:axId val="1555329840"/>
      </c:areaChart>
      <c:catAx>
        <c:axId val="15553352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55329840"/>
        <c:crosses val="autoZero"/>
        <c:auto val="1"/>
        <c:lblAlgn val="ctr"/>
        <c:lblOffset val="100"/>
        <c:noMultiLvlLbl val="0"/>
      </c:catAx>
      <c:valAx>
        <c:axId val="15553298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553352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Charge Station MiniProject.xlsx]Pivots Used for Inights!PivotTable14</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Energy Dispensed By Connectors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Used for Inights'!$D$10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 Used for Inights'!$C$11:$C$15</c:f>
              <c:strCache>
                <c:ptCount val="4"/>
                <c:pt idx="0">
                  <c:v>Bharat DC-001</c:v>
                </c:pt>
                <c:pt idx="1">
                  <c:v>CCS2</c:v>
                </c:pt>
                <c:pt idx="2">
                  <c:v>CHAdeMO</c:v>
                </c:pt>
                <c:pt idx="3">
                  <c:v>Type2 AC</c:v>
                </c:pt>
              </c:strCache>
            </c:strRef>
          </c:cat>
          <c:val>
            <c:numRef>
              <c:f>'Pivots Used for Inights'!$D$11:$D$15</c:f>
              <c:numCache>
                <c:formatCode>General</c:formatCode>
                <c:ptCount val="4"/>
                <c:pt idx="0">
                  <c:v>466968.74000000005</c:v>
                </c:pt>
                <c:pt idx="1">
                  <c:v>655001.23000000021</c:v>
                </c:pt>
                <c:pt idx="2">
                  <c:v>598906.59000000008</c:v>
                </c:pt>
                <c:pt idx="3">
                  <c:v>525005.22999999986</c:v>
                </c:pt>
              </c:numCache>
            </c:numRef>
          </c:val>
          <c:extLst>
            <c:ext xmlns:c16="http://schemas.microsoft.com/office/drawing/2014/chart" uri="{C3380CC4-5D6E-409C-BE32-E72D297353CC}">
              <c16:uniqueId val="{00000000-0C1E-4516-B6BA-30F63B991867}"/>
            </c:ext>
          </c:extLst>
        </c:ser>
        <c:dLbls>
          <c:dLblPos val="inEnd"/>
          <c:showLegendKey val="0"/>
          <c:showVal val="1"/>
          <c:showCatName val="0"/>
          <c:showSerName val="0"/>
          <c:showPercent val="0"/>
          <c:showBubbleSize val="0"/>
        </c:dLbls>
        <c:gapWidth val="65"/>
        <c:axId val="1626493792"/>
        <c:axId val="1626510432"/>
      </c:barChart>
      <c:catAx>
        <c:axId val="16264937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26510432"/>
        <c:crosses val="autoZero"/>
        <c:auto val="1"/>
        <c:lblAlgn val="ctr"/>
        <c:lblOffset val="100"/>
        <c:noMultiLvlLbl val="0"/>
      </c:catAx>
      <c:valAx>
        <c:axId val="162651043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264937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Charge Station MiniProject.xlsx]Dashboads!PivotTable15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Dashboads!$B$32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Pt>
            <c:idx val="3"/>
            <c:bubble3D val="0"/>
            <c:spPr>
              <a:solidFill>
                <a:schemeClr val="accent4"/>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Dashboads!$A$33:$A$37</c:f>
              <c:strCache>
                <c:ptCount val="4"/>
                <c:pt idx="0">
                  <c:v>Europe</c:v>
                </c:pt>
                <c:pt idx="1">
                  <c:v>Germany</c:v>
                </c:pt>
                <c:pt idx="2">
                  <c:v>India</c:v>
                </c:pt>
                <c:pt idx="3">
                  <c:v>Japan</c:v>
                </c:pt>
              </c:strCache>
            </c:strRef>
          </c:cat>
          <c:val>
            <c:numRef>
              <c:f>Dashboads!$B$33:$B$37</c:f>
              <c:numCache>
                <c:formatCode>General</c:formatCode>
                <c:ptCount val="4"/>
                <c:pt idx="0">
                  <c:v>7911135</c:v>
                </c:pt>
                <c:pt idx="1">
                  <c:v>6184895</c:v>
                </c:pt>
                <c:pt idx="2">
                  <c:v>5614616</c:v>
                </c:pt>
                <c:pt idx="3">
                  <c:v>6713216</c:v>
                </c:pt>
              </c:numCache>
            </c:numRef>
          </c:val>
          <c:extLst>
            <c:ext xmlns:c16="http://schemas.microsoft.com/office/drawing/2014/chart" uri="{C3380CC4-5D6E-409C-BE32-E72D297353CC}">
              <c16:uniqueId val="{00000000-485A-4487-BE28-3F3D6397C8BB}"/>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Utilization by Revenue</a:t>
            </a:r>
          </a:p>
        </c:rich>
      </c:tx>
      <c:layout>
        <c:manualLayout>
          <c:xMode val="edge"/>
          <c:yMode val="edge"/>
          <c:x val="0.30139701048270251"/>
          <c:y val="2.000563938496048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8.4779645274393495E-2"/>
          <c:y val="0.2131773961265713"/>
          <c:w val="0.90091266299565265"/>
          <c:h val="0.66258608745621816"/>
        </c:manualLayout>
      </c:layout>
      <c:lineChart>
        <c:grouping val="standard"/>
        <c:varyColors val="0"/>
        <c:ser>
          <c:idx val="0"/>
          <c:order val="0"/>
          <c:spPr>
            <a:ln w="31750" cap="rnd">
              <a:solidFill>
                <a:schemeClr val="accent1"/>
              </a:solidFill>
              <a:round/>
            </a:ln>
            <a:effectLst/>
          </c:spPr>
          <c:marker>
            <c:symbol val="circle"/>
            <c:size val="17"/>
            <c:spPr>
              <a:solidFill>
                <a:schemeClr val="accent1"/>
              </a:solidFill>
              <a:ln>
                <a:noFill/>
              </a:ln>
              <a:effectLst/>
            </c:spPr>
          </c:marker>
          <c:errBars>
            <c:errDir val="y"/>
            <c:errBarType val="both"/>
            <c:errValType val="stdErr"/>
            <c:noEndCap val="0"/>
            <c:spPr>
              <a:noFill/>
              <a:ln w="9525">
                <a:solidFill>
                  <a:schemeClr val="dk1">
                    <a:lumMod val="65000"/>
                    <a:lumOff val="35000"/>
                  </a:schemeClr>
                </a:solidFill>
                <a:round/>
              </a:ln>
              <a:effectLst/>
            </c:spPr>
          </c:errBars>
          <c:cat>
            <c:strRef>
              <c:f>'Pivots Used for Inights'!$D$38:$D$40</c:f>
              <c:strCache>
                <c:ptCount val="3"/>
                <c:pt idx="0">
                  <c:v>Fast</c:v>
                </c:pt>
                <c:pt idx="1">
                  <c:v>Slow</c:v>
                </c:pt>
                <c:pt idx="2">
                  <c:v>Ultra Fast</c:v>
                </c:pt>
              </c:strCache>
            </c:strRef>
          </c:cat>
          <c:val>
            <c:numRef>
              <c:f>'Pivots Used for Inights'!$E$38:$E$40</c:f>
              <c:numCache>
                <c:formatCode>General</c:formatCode>
                <c:ptCount val="3"/>
                <c:pt idx="0">
                  <c:v>12327832</c:v>
                </c:pt>
                <c:pt idx="1">
                  <c:v>6184895</c:v>
                </c:pt>
                <c:pt idx="2">
                  <c:v>7911135</c:v>
                </c:pt>
              </c:numCache>
            </c:numRef>
          </c:val>
          <c:smooth val="0"/>
          <c:extLst>
            <c:ext xmlns:c16="http://schemas.microsoft.com/office/drawing/2014/chart" uri="{C3380CC4-5D6E-409C-BE32-E72D297353CC}">
              <c16:uniqueId val="{00000000-12DE-4F08-8659-FAC7D277A437}"/>
            </c:ext>
          </c:extLst>
        </c:ser>
        <c:dLbls>
          <c:dLblPos val="ctr"/>
          <c:showLegendKey val="0"/>
          <c:showVal val="0"/>
          <c:showCatName val="0"/>
          <c:showSerName val="0"/>
          <c:showPercent val="0"/>
          <c:showBubbleSize val="0"/>
        </c:dLbls>
        <c:upDownBars>
          <c:gapWidth val="150"/>
          <c:upBars>
            <c:spPr>
              <a:solidFill>
                <a:schemeClr val="lt1"/>
              </a:solidFill>
              <a:ln w="9525">
                <a:solidFill>
                  <a:schemeClr val="dk1">
                    <a:lumMod val="65000"/>
                    <a:lumOff val="35000"/>
                  </a:schemeClr>
                </a:solidFill>
              </a:ln>
              <a:effectLst/>
            </c:spPr>
          </c:upBars>
          <c:downBars>
            <c:spPr>
              <a:solidFill>
                <a:schemeClr val="dk1">
                  <a:lumMod val="50000"/>
                  <a:lumOff val="50000"/>
                </a:schemeClr>
              </a:solidFill>
              <a:ln w="9525">
                <a:solidFill>
                  <a:schemeClr val="dk1">
                    <a:lumMod val="65000"/>
                    <a:lumOff val="35000"/>
                  </a:schemeClr>
                </a:solidFill>
              </a:ln>
              <a:effectLst/>
            </c:spPr>
          </c:downBars>
        </c:upDownBars>
        <c:marker val="1"/>
        <c:smooth val="0"/>
        <c:axId val="1511378480"/>
        <c:axId val="1511366416"/>
      </c:lineChart>
      <c:catAx>
        <c:axId val="1511378480"/>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11366416"/>
        <c:crosses val="autoZero"/>
        <c:auto val="1"/>
        <c:lblAlgn val="ctr"/>
        <c:lblOffset val="100"/>
        <c:noMultiLvlLbl val="0"/>
      </c:catAx>
      <c:valAx>
        <c:axId val="151136641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11378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Charge Station MiniProject.xlsx]Pivots Used for Inights!PivotTable26</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Over the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879973963256159E-2"/>
          <c:y val="0.2059122778740379"/>
          <c:w val="0.82504397658182993"/>
          <c:h val="0.55294563900056104"/>
        </c:manualLayout>
      </c:layout>
      <c:lineChart>
        <c:grouping val="standard"/>
        <c:varyColors val="0"/>
        <c:ser>
          <c:idx val="0"/>
          <c:order val="0"/>
          <c:tx>
            <c:strRef>
              <c:f>'Pivots Used for Inights'!$B$75</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errBars>
            <c:errDir val="y"/>
            <c:errBarType val="both"/>
            <c:errValType val="stdErr"/>
            <c:noEndCap val="0"/>
            <c:spPr>
              <a:noFill/>
              <a:ln w="9525">
                <a:solidFill>
                  <a:schemeClr val="dk1">
                    <a:lumMod val="65000"/>
                    <a:lumOff val="35000"/>
                  </a:schemeClr>
                </a:solidFill>
                <a:round/>
              </a:ln>
              <a:effectLst/>
            </c:spPr>
          </c:errBars>
          <c:cat>
            <c:strRef>
              <c:f>'Pivots Used for Inights'!$A$76:$A$79</c:f>
              <c:strCache>
                <c:ptCount val="3"/>
                <c:pt idx="0">
                  <c:v>2024</c:v>
                </c:pt>
                <c:pt idx="1">
                  <c:v>2025</c:v>
                </c:pt>
                <c:pt idx="2">
                  <c:v>2026</c:v>
                </c:pt>
              </c:strCache>
            </c:strRef>
          </c:cat>
          <c:val>
            <c:numRef>
              <c:f>'Pivots Used for Inights'!$B$76:$B$79</c:f>
              <c:numCache>
                <c:formatCode>General</c:formatCode>
                <c:ptCount val="3"/>
                <c:pt idx="0">
                  <c:v>12230746</c:v>
                </c:pt>
                <c:pt idx="1">
                  <c:v>10342678</c:v>
                </c:pt>
                <c:pt idx="2">
                  <c:v>3850438</c:v>
                </c:pt>
              </c:numCache>
            </c:numRef>
          </c:val>
          <c:smooth val="0"/>
          <c:extLst>
            <c:ext xmlns:c16="http://schemas.microsoft.com/office/drawing/2014/chart" uri="{C3380CC4-5D6E-409C-BE32-E72D297353CC}">
              <c16:uniqueId val="{00000000-6A7E-4D01-B98F-9682268517F1}"/>
            </c:ext>
          </c:extLst>
        </c:ser>
        <c:dLbls>
          <c:dLblPos val="ctr"/>
          <c:showLegendKey val="0"/>
          <c:showVal val="0"/>
          <c:showCatName val="0"/>
          <c:showSerName val="0"/>
          <c:showPercent val="0"/>
          <c:showBubbleSize val="0"/>
        </c:dLbls>
        <c:upDownBars>
          <c:gapWidth val="150"/>
          <c:upBars>
            <c:spPr>
              <a:solidFill>
                <a:schemeClr val="lt1"/>
              </a:solidFill>
              <a:ln w="9525">
                <a:solidFill>
                  <a:schemeClr val="dk1">
                    <a:lumMod val="65000"/>
                    <a:lumOff val="35000"/>
                  </a:schemeClr>
                </a:solidFill>
              </a:ln>
              <a:effectLst/>
            </c:spPr>
          </c:upBars>
          <c:downBars>
            <c:spPr>
              <a:solidFill>
                <a:schemeClr val="dk1">
                  <a:lumMod val="50000"/>
                  <a:lumOff val="50000"/>
                </a:schemeClr>
              </a:solidFill>
              <a:ln w="9525">
                <a:solidFill>
                  <a:schemeClr val="dk1">
                    <a:lumMod val="65000"/>
                    <a:lumOff val="35000"/>
                  </a:schemeClr>
                </a:solidFill>
              </a:ln>
              <a:effectLst/>
            </c:spPr>
          </c:downBars>
        </c:upDownBars>
        <c:marker val="1"/>
        <c:smooth val="0"/>
        <c:axId val="1511362256"/>
        <c:axId val="1511372240"/>
      </c:lineChart>
      <c:catAx>
        <c:axId val="151136225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11372240"/>
        <c:crosses val="autoZero"/>
        <c:auto val="1"/>
        <c:lblAlgn val="ctr"/>
        <c:lblOffset val="100"/>
        <c:noMultiLvlLbl val="0"/>
      </c:catAx>
      <c:valAx>
        <c:axId val="15113722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11362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Charge Station MiniProject.xlsx]Pivots Used for Inights!PivotTable11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Used for Inights'!$B$3</c:f>
              <c:strCache>
                <c:ptCount val="1"/>
                <c:pt idx="0">
                  <c:v>Total</c:v>
                </c:pt>
              </c:strCache>
            </c:strRef>
          </c:tx>
          <c:spPr>
            <a:solidFill>
              <a:schemeClr val="accent1"/>
            </a:solidFill>
            <a:ln>
              <a:noFill/>
            </a:ln>
            <a:effectLst/>
          </c:spPr>
          <c:invertIfNegative val="0"/>
          <c:cat>
            <c:strRef>
              <c:f>'Pivots Used for Inights'!$A$4:$A$10</c:f>
              <c:strCache>
                <c:ptCount val="6"/>
                <c:pt idx="0">
                  <c:v>Ather Grid</c:v>
                </c:pt>
                <c:pt idx="1">
                  <c:v>Bharat Petroleum</c:v>
                </c:pt>
                <c:pt idx="2">
                  <c:v>Bpcl</c:v>
                </c:pt>
                <c:pt idx="3">
                  <c:v>Charge Point</c:v>
                </c:pt>
                <c:pt idx="4">
                  <c:v>Tata Power</c:v>
                </c:pt>
                <c:pt idx="5">
                  <c:v>Zeon Charging</c:v>
                </c:pt>
              </c:strCache>
            </c:strRef>
          </c:cat>
          <c:val>
            <c:numRef>
              <c:f>'Pivots Used for Inights'!$B$4:$B$10</c:f>
              <c:numCache>
                <c:formatCode>General</c:formatCode>
                <c:ptCount val="6"/>
                <c:pt idx="0">
                  <c:v>4195397</c:v>
                </c:pt>
                <c:pt idx="1">
                  <c:v>221587</c:v>
                </c:pt>
                <c:pt idx="2">
                  <c:v>5552805</c:v>
                </c:pt>
                <c:pt idx="3">
                  <c:v>5665916</c:v>
                </c:pt>
                <c:pt idx="4">
                  <c:v>4905665</c:v>
                </c:pt>
                <c:pt idx="5">
                  <c:v>5882492</c:v>
                </c:pt>
              </c:numCache>
            </c:numRef>
          </c:val>
          <c:extLst>
            <c:ext xmlns:c16="http://schemas.microsoft.com/office/drawing/2014/chart" uri="{C3380CC4-5D6E-409C-BE32-E72D297353CC}">
              <c16:uniqueId val="{00000000-4F39-4FCB-BEA1-0C378DBA0DAC}"/>
            </c:ext>
          </c:extLst>
        </c:ser>
        <c:dLbls>
          <c:showLegendKey val="0"/>
          <c:showVal val="0"/>
          <c:showCatName val="0"/>
          <c:showSerName val="0"/>
          <c:showPercent val="0"/>
          <c:showBubbleSize val="0"/>
        </c:dLbls>
        <c:gapWidth val="219"/>
        <c:overlap val="-27"/>
        <c:axId val="1577064864"/>
        <c:axId val="1577065696"/>
      </c:barChart>
      <c:catAx>
        <c:axId val="157706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065696"/>
        <c:crosses val="autoZero"/>
        <c:auto val="1"/>
        <c:lblAlgn val="ctr"/>
        <c:lblOffset val="100"/>
        <c:noMultiLvlLbl val="0"/>
      </c:catAx>
      <c:valAx>
        <c:axId val="157706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06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Charge Station MiniProject.xlsx]Pivots Used for Inights!PivotTable12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 Used for Inights'!$B$13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'Pivots Used for Inights'!$A$14:$A$18</c:f>
              <c:strCache>
                <c:ptCount val="4"/>
                <c:pt idx="0">
                  <c:v>Active</c:v>
                </c:pt>
                <c:pt idx="1">
                  <c:v>Decommissioned</c:v>
                </c:pt>
                <c:pt idx="2">
                  <c:v>Inactive</c:v>
                </c:pt>
                <c:pt idx="3">
                  <c:v>Maintenance</c:v>
                </c:pt>
              </c:strCache>
            </c:strRef>
          </c:cat>
          <c:val>
            <c:numRef>
              <c:f>'Pivots Used for Inights'!$B$14:$B$18</c:f>
              <c:numCache>
                <c:formatCode>General</c:formatCode>
                <c:ptCount val="4"/>
                <c:pt idx="0">
                  <c:v>341</c:v>
                </c:pt>
                <c:pt idx="1">
                  <c:v>34</c:v>
                </c:pt>
                <c:pt idx="2">
                  <c:v>72</c:v>
                </c:pt>
                <c:pt idx="3">
                  <c:v>54</c:v>
                </c:pt>
              </c:numCache>
            </c:numRef>
          </c:val>
          <c:extLst>
            <c:ext xmlns:c16="http://schemas.microsoft.com/office/drawing/2014/chart" uri="{C3380CC4-5D6E-409C-BE32-E72D297353CC}">
              <c16:uniqueId val="{00000000-1597-493C-B87D-90D4830C66C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Charge Station MiniProject.xlsx]Pivots Used for Inights!PivotTable13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343337348906769E-2"/>
          <c:y val="2.9003398247779789E-2"/>
          <c:w val="0.73671595928557709"/>
          <c:h val="0.57719984881892905"/>
        </c:manualLayout>
      </c:layout>
      <c:areaChart>
        <c:grouping val="standard"/>
        <c:varyColors val="0"/>
        <c:ser>
          <c:idx val="0"/>
          <c:order val="0"/>
          <c:tx>
            <c:strRef>
              <c:f>'Pivots Used for Inights'!$E$3</c:f>
              <c:strCache>
                <c:ptCount val="1"/>
                <c:pt idx="0">
                  <c:v>Total</c:v>
                </c:pt>
              </c:strCache>
            </c:strRef>
          </c:tx>
          <c:spPr>
            <a:solidFill>
              <a:schemeClr val="accent1"/>
            </a:solidFill>
            <a:ln>
              <a:noFill/>
            </a:ln>
            <a:effectLst/>
          </c:spPr>
          <c:cat>
            <c:strRef>
              <c:f>'Pivots Used for Inights'!$D$4:$D$7</c:f>
              <c:strCache>
                <c:ptCount val="3"/>
                <c:pt idx="0">
                  <c:v>2024</c:v>
                </c:pt>
                <c:pt idx="1">
                  <c:v>2025</c:v>
                </c:pt>
                <c:pt idx="2">
                  <c:v>2026</c:v>
                </c:pt>
              </c:strCache>
            </c:strRef>
          </c:cat>
          <c:val>
            <c:numRef>
              <c:f>'Pivots Used for Inights'!$E$4:$E$7</c:f>
              <c:numCache>
                <c:formatCode>General</c:formatCode>
                <c:ptCount val="3"/>
                <c:pt idx="0">
                  <c:v>226</c:v>
                </c:pt>
                <c:pt idx="1">
                  <c:v>202</c:v>
                </c:pt>
                <c:pt idx="2">
                  <c:v>73</c:v>
                </c:pt>
              </c:numCache>
            </c:numRef>
          </c:val>
          <c:extLst>
            <c:ext xmlns:c16="http://schemas.microsoft.com/office/drawing/2014/chart" uri="{C3380CC4-5D6E-409C-BE32-E72D297353CC}">
              <c16:uniqueId val="{00000000-8495-4602-8F0D-9D6190F27CAB}"/>
            </c:ext>
          </c:extLst>
        </c:ser>
        <c:dLbls>
          <c:showLegendKey val="0"/>
          <c:showVal val="0"/>
          <c:showCatName val="0"/>
          <c:showSerName val="0"/>
          <c:showPercent val="0"/>
          <c:showBubbleSize val="0"/>
        </c:dLbls>
        <c:axId val="1555335248"/>
        <c:axId val="1555329840"/>
      </c:areaChart>
      <c:catAx>
        <c:axId val="1555335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329840"/>
        <c:crosses val="autoZero"/>
        <c:auto val="1"/>
        <c:lblAlgn val="ctr"/>
        <c:lblOffset val="100"/>
        <c:noMultiLvlLbl val="0"/>
      </c:catAx>
      <c:valAx>
        <c:axId val="155532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33524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Charge Station MiniProject.xlsx]Pivots Used for Inights!PivotTable14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36231408573928"/>
          <c:y val="4.1062627588218124E-2"/>
          <c:w val="0.45308048993875766"/>
          <c:h val="0.6293157626130067"/>
        </c:manualLayout>
      </c:layout>
      <c:barChart>
        <c:barDir val="bar"/>
        <c:grouping val="clustered"/>
        <c:varyColors val="0"/>
        <c:ser>
          <c:idx val="0"/>
          <c:order val="0"/>
          <c:tx>
            <c:strRef>
              <c:f>'Pivots Used for Inights'!$D$10</c:f>
              <c:strCache>
                <c:ptCount val="1"/>
                <c:pt idx="0">
                  <c:v>Total</c:v>
                </c:pt>
              </c:strCache>
            </c:strRef>
          </c:tx>
          <c:spPr>
            <a:solidFill>
              <a:schemeClr val="accent1"/>
            </a:solidFill>
            <a:ln>
              <a:noFill/>
            </a:ln>
            <a:effectLst/>
          </c:spPr>
          <c:invertIfNegative val="0"/>
          <c:cat>
            <c:strRef>
              <c:f>'Pivots Used for Inights'!$C$11:$C$15</c:f>
              <c:strCache>
                <c:ptCount val="4"/>
                <c:pt idx="0">
                  <c:v>Bharat DC-001</c:v>
                </c:pt>
                <c:pt idx="1">
                  <c:v>CCS2</c:v>
                </c:pt>
                <c:pt idx="2">
                  <c:v>CHAdeMO</c:v>
                </c:pt>
                <c:pt idx="3">
                  <c:v>Type2 AC</c:v>
                </c:pt>
              </c:strCache>
            </c:strRef>
          </c:cat>
          <c:val>
            <c:numRef>
              <c:f>'Pivots Used for Inights'!$D$11:$D$15</c:f>
              <c:numCache>
                <c:formatCode>General</c:formatCode>
                <c:ptCount val="4"/>
                <c:pt idx="0">
                  <c:v>466968.74000000005</c:v>
                </c:pt>
                <c:pt idx="1">
                  <c:v>655001.23000000021</c:v>
                </c:pt>
                <c:pt idx="2">
                  <c:v>598906.59000000008</c:v>
                </c:pt>
                <c:pt idx="3">
                  <c:v>525005.22999999986</c:v>
                </c:pt>
              </c:numCache>
            </c:numRef>
          </c:val>
          <c:extLst>
            <c:ext xmlns:c16="http://schemas.microsoft.com/office/drawing/2014/chart" uri="{C3380CC4-5D6E-409C-BE32-E72D297353CC}">
              <c16:uniqueId val="{00000000-0AE9-42E3-905F-AE38A73DEF8C}"/>
            </c:ext>
          </c:extLst>
        </c:ser>
        <c:dLbls>
          <c:showLegendKey val="0"/>
          <c:showVal val="0"/>
          <c:showCatName val="0"/>
          <c:showSerName val="0"/>
          <c:showPercent val="0"/>
          <c:showBubbleSize val="0"/>
        </c:dLbls>
        <c:gapWidth val="182"/>
        <c:axId val="1626493792"/>
        <c:axId val="1626510432"/>
      </c:barChart>
      <c:catAx>
        <c:axId val="162649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510432"/>
        <c:crosses val="autoZero"/>
        <c:auto val="1"/>
        <c:lblAlgn val="ctr"/>
        <c:lblOffset val="100"/>
        <c:noMultiLvlLbl val="0"/>
      </c:catAx>
      <c:valAx>
        <c:axId val="1626510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49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 Used for Inights'!$D$38:$D$40</c:f>
              <c:strCache>
                <c:ptCount val="3"/>
                <c:pt idx="0">
                  <c:v>Fast</c:v>
                </c:pt>
                <c:pt idx="1">
                  <c:v>Slow</c:v>
                </c:pt>
                <c:pt idx="2">
                  <c:v>Ultra Fast</c:v>
                </c:pt>
              </c:strCache>
            </c:strRef>
          </c:cat>
          <c:val>
            <c:numRef>
              <c:f>'Pivots Used for Inights'!$E$38:$E$40</c:f>
              <c:numCache>
                <c:formatCode>General</c:formatCode>
                <c:ptCount val="3"/>
                <c:pt idx="0">
                  <c:v>12327832</c:v>
                </c:pt>
                <c:pt idx="1">
                  <c:v>6184895</c:v>
                </c:pt>
                <c:pt idx="2">
                  <c:v>7911135</c:v>
                </c:pt>
              </c:numCache>
            </c:numRef>
          </c:val>
          <c:smooth val="0"/>
          <c:extLst>
            <c:ext xmlns:c16="http://schemas.microsoft.com/office/drawing/2014/chart" uri="{C3380CC4-5D6E-409C-BE32-E72D297353CC}">
              <c16:uniqueId val="{00000000-B494-4DFE-9E1B-8807CF96D797}"/>
            </c:ext>
          </c:extLst>
        </c:ser>
        <c:dLbls>
          <c:showLegendKey val="0"/>
          <c:showVal val="0"/>
          <c:showCatName val="0"/>
          <c:showSerName val="0"/>
          <c:showPercent val="0"/>
          <c:showBubbleSize val="0"/>
        </c:dLbls>
        <c:marker val="1"/>
        <c:smooth val="0"/>
        <c:axId val="1511378480"/>
        <c:axId val="1511366416"/>
      </c:lineChart>
      <c:catAx>
        <c:axId val="151137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366416"/>
        <c:crosses val="autoZero"/>
        <c:auto val="1"/>
        <c:lblAlgn val="ctr"/>
        <c:lblOffset val="100"/>
        <c:noMultiLvlLbl val="0"/>
      </c:catAx>
      <c:valAx>
        <c:axId val="151136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378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'Pivots Used for Inights'!$D$67</c:f>
              <c:strCache>
                <c:ptCount val="1"/>
                <c:pt idx="0">
                  <c:v>High</c:v>
                </c:pt>
              </c:strCache>
            </c:strRef>
          </c:tx>
          <c:spPr>
            <a:solidFill>
              <a:schemeClr val="accent1"/>
            </a:solidFill>
            <a:ln>
              <a:noFill/>
            </a:ln>
            <a:effectLst/>
          </c:spPr>
          <c:invertIfNegative val="0"/>
          <c:val>
            <c:numRef>
              <c:f>'Pivots Used for Inights'!$E$67</c:f>
              <c:numCache>
                <c:formatCode>General</c:formatCode>
                <c:ptCount val="1"/>
                <c:pt idx="0">
                  <c:v>1356960.1399999997</c:v>
                </c:pt>
              </c:numCache>
            </c:numRef>
          </c:val>
          <c:extLst>
            <c:ext xmlns:c16="http://schemas.microsoft.com/office/drawing/2014/chart" uri="{C3380CC4-5D6E-409C-BE32-E72D297353CC}">
              <c16:uniqueId val="{00000000-482C-4AC6-BC41-81A8D7613BED}"/>
            </c:ext>
          </c:extLst>
        </c:ser>
        <c:ser>
          <c:idx val="1"/>
          <c:order val="1"/>
          <c:tx>
            <c:strRef>
              <c:f>'Pivots Used for Inights'!$D$68</c:f>
              <c:strCache>
                <c:ptCount val="1"/>
                <c:pt idx="0">
                  <c:v>Low</c:v>
                </c:pt>
              </c:strCache>
            </c:strRef>
          </c:tx>
          <c:spPr>
            <a:solidFill>
              <a:schemeClr val="accent2"/>
            </a:solidFill>
            <a:ln>
              <a:noFill/>
            </a:ln>
            <a:effectLst/>
          </c:spPr>
          <c:invertIfNegative val="0"/>
          <c:val>
            <c:numRef>
              <c:f>'Pivots Used for Inights'!$E$68</c:f>
              <c:numCache>
                <c:formatCode>General</c:formatCode>
                <c:ptCount val="1"/>
                <c:pt idx="0">
                  <c:v>93822.349999999991</c:v>
                </c:pt>
              </c:numCache>
            </c:numRef>
          </c:val>
          <c:extLst>
            <c:ext xmlns:c16="http://schemas.microsoft.com/office/drawing/2014/chart" uri="{C3380CC4-5D6E-409C-BE32-E72D297353CC}">
              <c16:uniqueId val="{00000001-482C-4AC6-BC41-81A8D7613BED}"/>
            </c:ext>
          </c:extLst>
        </c:ser>
        <c:ser>
          <c:idx val="2"/>
          <c:order val="2"/>
          <c:tx>
            <c:strRef>
              <c:f>'Pivots Used for Inights'!$D$69</c:f>
              <c:strCache>
                <c:ptCount val="1"/>
                <c:pt idx="0">
                  <c:v>Medium</c:v>
                </c:pt>
              </c:strCache>
            </c:strRef>
          </c:tx>
          <c:spPr>
            <a:solidFill>
              <a:schemeClr val="accent3"/>
            </a:solidFill>
            <a:ln>
              <a:noFill/>
            </a:ln>
            <a:effectLst/>
          </c:spPr>
          <c:invertIfNegative val="0"/>
          <c:val>
            <c:numRef>
              <c:f>'Pivots Used for Inights'!$E$69</c:f>
              <c:numCache>
                <c:formatCode>General</c:formatCode>
                <c:ptCount val="1"/>
                <c:pt idx="0">
                  <c:v>795099.3</c:v>
                </c:pt>
              </c:numCache>
            </c:numRef>
          </c:val>
          <c:extLst>
            <c:ext xmlns:c16="http://schemas.microsoft.com/office/drawing/2014/chart" uri="{C3380CC4-5D6E-409C-BE32-E72D297353CC}">
              <c16:uniqueId val="{00000002-482C-4AC6-BC41-81A8D7613BED}"/>
            </c:ext>
          </c:extLst>
        </c:ser>
        <c:dLbls>
          <c:showLegendKey val="0"/>
          <c:showVal val="0"/>
          <c:showCatName val="0"/>
          <c:showSerName val="0"/>
          <c:showPercent val="0"/>
          <c:showBubbleSize val="0"/>
        </c:dLbls>
        <c:gapWidth val="182"/>
        <c:axId val="1511389712"/>
        <c:axId val="1511388880"/>
      </c:barChart>
      <c:catAx>
        <c:axId val="1511389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388880"/>
        <c:crosses val="autoZero"/>
        <c:auto val="1"/>
        <c:lblAlgn val="ctr"/>
        <c:lblOffset val="100"/>
        <c:noMultiLvlLbl val="0"/>
      </c:catAx>
      <c:valAx>
        <c:axId val="1511388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389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Charge Station MiniProject.xlsx]Pivots Used for Inights!PivotTable26</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Used for Inights'!$B$75</c:f>
              <c:strCache>
                <c:ptCount val="1"/>
                <c:pt idx="0">
                  <c:v>Total</c:v>
                </c:pt>
              </c:strCache>
            </c:strRef>
          </c:tx>
          <c:spPr>
            <a:ln w="28575" cap="rnd">
              <a:solidFill>
                <a:schemeClr val="accent1"/>
              </a:solidFill>
              <a:round/>
            </a:ln>
            <a:effectLst/>
          </c:spPr>
          <c:marker>
            <c:symbol val="none"/>
          </c:marker>
          <c:cat>
            <c:strRef>
              <c:f>'Pivots Used for Inights'!$A$76:$A$79</c:f>
              <c:strCache>
                <c:ptCount val="3"/>
                <c:pt idx="0">
                  <c:v>2024</c:v>
                </c:pt>
                <c:pt idx="1">
                  <c:v>2025</c:v>
                </c:pt>
                <c:pt idx="2">
                  <c:v>2026</c:v>
                </c:pt>
              </c:strCache>
            </c:strRef>
          </c:cat>
          <c:val>
            <c:numRef>
              <c:f>'Pivots Used for Inights'!$B$76:$B$79</c:f>
              <c:numCache>
                <c:formatCode>General</c:formatCode>
                <c:ptCount val="3"/>
                <c:pt idx="0">
                  <c:v>12230746</c:v>
                </c:pt>
                <c:pt idx="1">
                  <c:v>10342678</c:v>
                </c:pt>
                <c:pt idx="2">
                  <c:v>3850438</c:v>
                </c:pt>
              </c:numCache>
            </c:numRef>
          </c:val>
          <c:smooth val="0"/>
          <c:extLst>
            <c:ext xmlns:c16="http://schemas.microsoft.com/office/drawing/2014/chart" uri="{C3380CC4-5D6E-409C-BE32-E72D297353CC}">
              <c16:uniqueId val="{00000000-87FB-417C-BC75-C18B450401ED}"/>
            </c:ext>
          </c:extLst>
        </c:ser>
        <c:dLbls>
          <c:showLegendKey val="0"/>
          <c:showVal val="0"/>
          <c:showCatName val="0"/>
          <c:showSerName val="0"/>
          <c:showPercent val="0"/>
          <c:showBubbleSize val="0"/>
        </c:dLbls>
        <c:smooth val="0"/>
        <c:axId val="1511362256"/>
        <c:axId val="1511372240"/>
      </c:lineChart>
      <c:catAx>
        <c:axId val="151136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372240"/>
        <c:crosses val="autoZero"/>
        <c:auto val="1"/>
        <c:lblAlgn val="ctr"/>
        <c:lblOffset val="100"/>
        <c:noMultiLvlLbl val="0"/>
      </c:catAx>
      <c:valAx>
        <c:axId val="1511372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36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Revenue By City</cx:v>
        </cx:txData>
      </cx:tx>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Revenue By City</a:t>
          </a:r>
        </a:p>
      </cx:txPr>
    </cx:title>
    <cx:plotArea>
      <cx:plotAreaRegion>
        <cx:series layoutId="funnel" uniqueId="{A9AC9008-83F2-4EE6-9417-990F0B81E223}">
          <cx:dataLabels>
            <cx:visibility seriesName="0" categoryName="0" value="1"/>
          </cx:dataLabels>
          <cx:dataId val="0"/>
        </cx:series>
      </cx:plotAreaRegion>
      <cx:axis id="0">
        <cx:catScaling gapWidth="0.150000006"/>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_xlchart.v2.7</cx:f>
      </cx:numDim>
    </cx:data>
  </cx:chartData>
  <cx:chart>
    <cx:title pos="t" align="ctr" overlay="0"/>
    <cx:plotArea>
      <cx:plotAreaRegion>
        <cx:series layoutId="funnel" uniqueId="{B2916B42-6C0E-42C5-A281-C609FEE2D5A2}">
          <cx:dataLabels>
            <cx:visibility seriesName="0" categoryName="0" value="1"/>
          </cx:dataLabels>
          <cx:dataId val="0"/>
        </cx:series>
      </cx:plotAreaRegion>
      <cx:axis id="1">
        <cx:catScaling/>
        <cx:title/>
        <cx:tickLabels/>
      </cx:axis>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plotArea>
      <cx:plotAreaRegion>
        <cx:series layoutId="funnel" uniqueId="{A9AC9008-83F2-4EE6-9417-990F0B81E223}">
          <cx:dataLabels>
            <cx:visibility seriesName="0" categoryName="0" value="1"/>
          </cx:dataLabels>
          <cx:dataId val="0"/>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0.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5" Type="http://schemas.microsoft.com/office/2014/relationships/chartEx" Target="../charts/chartEx2.xml"/><Relationship Id="rId4" Type="http://schemas.openxmlformats.org/officeDocument/2006/relationships/chart" Target="../charts/chart11.xml"/><Relationship Id="rId9"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2</xdr:col>
      <xdr:colOff>30725</xdr:colOff>
      <xdr:row>2</xdr:row>
      <xdr:rowOff>20484</xdr:rowOff>
    </xdr:from>
    <xdr:to>
      <xdr:col>9</xdr:col>
      <xdr:colOff>264549</xdr:colOff>
      <xdr:row>16</xdr:row>
      <xdr:rowOff>68110</xdr:rowOff>
    </xdr:to>
    <xdr:graphicFrame macro="">
      <xdr:nvGraphicFramePr>
        <xdr:cNvPr id="2" name="Chart 1">
          <a:extLst>
            <a:ext uri="{FF2B5EF4-FFF2-40B4-BE49-F238E27FC236}">
              <a16:creationId xmlns:a16="http://schemas.microsoft.com/office/drawing/2014/main" id="{EF272E07-30A7-4E48-9418-11D582BCC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171449</xdr:colOff>
      <xdr:row>2</xdr:row>
      <xdr:rowOff>20483</xdr:rowOff>
    </xdr:from>
    <xdr:to>
      <xdr:col>15</xdr:col>
      <xdr:colOff>92178</xdr:colOff>
      <xdr:row>15</xdr:row>
      <xdr:rowOff>180974</xdr:rowOff>
    </xdr:to>
    <xdr:graphicFrame macro="">
      <xdr:nvGraphicFramePr>
        <xdr:cNvPr id="3" name="Chart 2">
          <a:extLst>
            <a:ext uri="{FF2B5EF4-FFF2-40B4-BE49-F238E27FC236}">
              <a16:creationId xmlns:a16="http://schemas.microsoft.com/office/drawing/2014/main" id="{77C357DA-4D2F-439C-BBDE-F9268A5AB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71694</xdr:colOff>
      <xdr:row>2</xdr:row>
      <xdr:rowOff>92177</xdr:rowOff>
    </xdr:from>
    <xdr:to>
      <xdr:col>2</xdr:col>
      <xdr:colOff>0</xdr:colOff>
      <xdr:row>8</xdr:row>
      <xdr:rowOff>184355</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2705F83C-2C43-4E6D-B685-4310FD26C5E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1694" y="645242"/>
              <a:ext cx="1905000" cy="12597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1024194</xdr:colOff>
      <xdr:row>16</xdr:row>
      <xdr:rowOff>81935</xdr:rowOff>
    </xdr:from>
    <xdr:to>
      <xdr:col>9</xdr:col>
      <xdr:colOff>228600</xdr:colOff>
      <xdr:row>29</xdr:row>
      <xdr:rowOff>52388</xdr:rowOff>
    </xdr:to>
    <xdr:graphicFrame macro="">
      <xdr:nvGraphicFramePr>
        <xdr:cNvPr id="5" name="Chart 4">
          <a:extLst>
            <a:ext uri="{FF2B5EF4-FFF2-40B4-BE49-F238E27FC236}">
              <a16:creationId xmlns:a16="http://schemas.microsoft.com/office/drawing/2014/main" id="{87134A55-5449-4706-859A-0394AE744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29</xdr:row>
      <xdr:rowOff>20484</xdr:rowOff>
    </xdr:from>
    <xdr:to>
      <xdr:col>9</xdr:col>
      <xdr:colOff>307257</xdr:colOff>
      <xdr:row>42</xdr:row>
      <xdr:rowOff>76199</xdr:rowOff>
    </xdr:to>
    <xdr:graphicFrame macro="">
      <xdr:nvGraphicFramePr>
        <xdr:cNvPr id="6" name="Chart 5">
          <a:extLst>
            <a:ext uri="{FF2B5EF4-FFF2-40B4-BE49-F238E27FC236}">
              <a16:creationId xmlns:a16="http://schemas.microsoft.com/office/drawing/2014/main" id="{21513723-C3B6-44A0-BFB8-43CC9F53D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235564</xdr:colOff>
      <xdr:row>16</xdr:row>
      <xdr:rowOff>18539</xdr:rowOff>
    </xdr:from>
    <xdr:to>
      <xdr:col>15</xdr:col>
      <xdr:colOff>419919</xdr:colOff>
      <xdr:row>29</xdr:row>
      <xdr:rowOff>81936</xdr:rowOff>
    </xdr:to>
    <xdr:graphicFrame macro="">
      <xdr:nvGraphicFramePr>
        <xdr:cNvPr id="7" name="Chart 6">
          <a:extLst>
            <a:ext uri="{FF2B5EF4-FFF2-40B4-BE49-F238E27FC236}">
              <a16:creationId xmlns:a16="http://schemas.microsoft.com/office/drawing/2014/main" id="{3FF54076-72B5-415D-86FF-1D9DD7D830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327741</xdr:colOff>
      <xdr:row>29</xdr:row>
      <xdr:rowOff>92178</xdr:rowOff>
    </xdr:from>
    <xdr:to>
      <xdr:col>22</xdr:col>
      <xdr:colOff>501854</xdr:colOff>
      <xdr:row>42</xdr:row>
      <xdr:rowOff>40966</xdr:rowOff>
    </xdr:to>
    <xdr:graphicFrame macro="">
      <xdr:nvGraphicFramePr>
        <xdr:cNvPr id="9" name="Chart 8">
          <a:extLst>
            <a:ext uri="{FF2B5EF4-FFF2-40B4-BE49-F238E27FC236}">
              <a16:creationId xmlns:a16="http://schemas.microsoft.com/office/drawing/2014/main" id="{98034842-A0D1-41E4-8CA7-D155FEFF4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450645</xdr:colOff>
      <xdr:row>16</xdr:row>
      <xdr:rowOff>20484</xdr:rowOff>
    </xdr:from>
    <xdr:to>
      <xdr:col>22</xdr:col>
      <xdr:colOff>471129</xdr:colOff>
      <xdr:row>29</xdr:row>
      <xdr:rowOff>71694</xdr:rowOff>
    </xdr:to>
    <xdr:graphicFrame macro="">
      <xdr:nvGraphicFramePr>
        <xdr:cNvPr id="11" name="Chart 10">
          <a:extLst>
            <a:ext uri="{FF2B5EF4-FFF2-40B4-BE49-F238E27FC236}">
              <a16:creationId xmlns:a16="http://schemas.microsoft.com/office/drawing/2014/main" id="{CFFEAF87-C827-410C-9F51-2AC9FA760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143387</xdr:colOff>
      <xdr:row>2</xdr:row>
      <xdr:rowOff>10241</xdr:rowOff>
    </xdr:from>
    <xdr:to>
      <xdr:col>22</xdr:col>
      <xdr:colOff>342080</xdr:colOff>
      <xdr:row>15</xdr:row>
      <xdr:rowOff>174113</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EDF300AE-919F-468C-957F-BE0CB0E0A5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108790" y="399435"/>
              <a:ext cx="4500306" cy="26936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106106</xdr:colOff>
      <xdr:row>9</xdr:row>
      <xdr:rowOff>7681</xdr:rowOff>
    </xdr:from>
    <xdr:to>
      <xdr:col>1</xdr:col>
      <xdr:colOff>1024193</xdr:colOff>
      <xdr:row>16</xdr:row>
      <xdr:rowOff>133145</xdr:rowOff>
    </xdr:to>
    <mc:AlternateContent xmlns:mc="http://schemas.openxmlformats.org/markup-compatibility/2006">
      <mc:Choice xmlns:a14="http://schemas.microsoft.com/office/drawing/2010/main" Requires="a14">
        <xdr:graphicFrame macro="">
          <xdr:nvGraphicFramePr>
            <xdr:cNvPr id="13" name="Status">
              <a:extLst>
                <a:ext uri="{FF2B5EF4-FFF2-40B4-BE49-F238E27FC236}">
                  <a16:creationId xmlns:a16="http://schemas.microsoft.com/office/drawing/2014/main" id="{D1FFA425-7FC2-472C-9BF7-9C8AB5ECF937}"/>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06106" y="1922923"/>
              <a:ext cx="1829619" cy="14876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106106</xdr:colOff>
      <xdr:row>16</xdr:row>
      <xdr:rowOff>171553</xdr:rowOff>
    </xdr:from>
    <xdr:to>
      <xdr:col>1</xdr:col>
      <xdr:colOff>1003710</xdr:colOff>
      <xdr:row>23</xdr:row>
      <xdr:rowOff>10242</xdr:rowOff>
    </xdr:to>
    <mc:AlternateContent xmlns:mc="http://schemas.openxmlformats.org/markup-compatibility/2006">
      <mc:Choice xmlns:a14="http://schemas.microsoft.com/office/drawing/2010/main" Requires="a14">
        <xdr:graphicFrame macro="">
          <xdr:nvGraphicFramePr>
            <xdr:cNvPr id="14" name="Utilization ">
              <a:extLst>
                <a:ext uri="{FF2B5EF4-FFF2-40B4-BE49-F238E27FC236}">
                  <a16:creationId xmlns:a16="http://schemas.microsoft.com/office/drawing/2014/main" id="{5836E95C-0A3E-4C96-BBFE-5589F3F16710}"/>
                </a:ext>
              </a:extLst>
            </xdr:cNvPr>
            <xdr:cNvGraphicFramePr/>
          </xdr:nvGraphicFramePr>
          <xdr:xfrm>
            <a:off x="0" y="0"/>
            <a:ext cx="0" cy="0"/>
          </xdr:xfrm>
          <a:graphic>
            <a:graphicData uri="http://schemas.microsoft.com/office/drawing/2010/slicer">
              <sle:slicer xmlns:sle="http://schemas.microsoft.com/office/drawing/2010/slicer" name="Utilization "/>
            </a:graphicData>
          </a:graphic>
        </xdr:graphicFrame>
      </mc:Choice>
      <mc:Fallback>
        <xdr:sp macro="" textlink="">
          <xdr:nvSpPr>
            <xdr:cNvPr id="0" name=""/>
            <xdr:cNvSpPr>
              <a:spLocks noTextEdit="1"/>
            </xdr:cNvSpPr>
          </xdr:nvSpPr>
          <xdr:spPr>
            <a:xfrm>
              <a:off x="106106" y="3448972"/>
              <a:ext cx="1809136" cy="1200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20484</xdr:colOff>
      <xdr:row>23</xdr:row>
      <xdr:rowOff>30214</xdr:rowOff>
    </xdr:from>
    <xdr:to>
      <xdr:col>1</xdr:col>
      <xdr:colOff>972984</xdr:colOff>
      <xdr:row>28</xdr:row>
      <xdr:rowOff>184355</xdr:rowOff>
    </xdr:to>
    <mc:AlternateContent xmlns:mc="http://schemas.openxmlformats.org/markup-compatibility/2006">
      <mc:Choice xmlns:a14="http://schemas.microsoft.com/office/drawing/2010/main" Requires="a14">
        <xdr:graphicFrame macro="">
          <xdr:nvGraphicFramePr>
            <xdr:cNvPr id="15" name="Connectors">
              <a:extLst>
                <a:ext uri="{FF2B5EF4-FFF2-40B4-BE49-F238E27FC236}">
                  <a16:creationId xmlns:a16="http://schemas.microsoft.com/office/drawing/2014/main" id="{1103C760-2CBF-4046-ADE6-033B6DF3A401}"/>
                </a:ext>
              </a:extLst>
            </xdr:cNvPr>
            <xdr:cNvGraphicFramePr/>
          </xdr:nvGraphicFramePr>
          <xdr:xfrm>
            <a:off x="0" y="0"/>
            <a:ext cx="0" cy="0"/>
          </xdr:xfrm>
          <a:graphic>
            <a:graphicData uri="http://schemas.microsoft.com/office/drawing/2010/slicer">
              <sle:slicer xmlns:sle="http://schemas.microsoft.com/office/drawing/2010/slicer" name="Connectors"/>
            </a:graphicData>
          </a:graphic>
        </xdr:graphicFrame>
      </mc:Choice>
      <mc:Fallback>
        <xdr:sp macro="" textlink="">
          <xdr:nvSpPr>
            <xdr:cNvPr id="0" name=""/>
            <xdr:cNvSpPr>
              <a:spLocks noTextEdit="1"/>
            </xdr:cNvSpPr>
          </xdr:nvSpPr>
          <xdr:spPr>
            <a:xfrm>
              <a:off x="20484" y="4669811"/>
              <a:ext cx="1864032" cy="1127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723900</xdr:colOff>
      <xdr:row>15</xdr:row>
      <xdr:rowOff>157162</xdr:rowOff>
    </xdr:from>
    <xdr:to>
      <xdr:col>8</xdr:col>
      <xdr:colOff>600075</xdr:colOff>
      <xdr:row>30</xdr:row>
      <xdr:rowOff>42862</xdr:rowOff>
    </xdr:to>
    <xdr:graphicFrame macro="">
      <xdr:nvGraphicFramePr>
        <xdr:cNvPr id="3" name="Chart 2">
          <a:extLst>
            <a:ext uri="{FF2B5EF4-FFF2-40B4-BE49-F238E27FC236}">
              <a16:creationId xmlns:a16="http://schemas.microsoft.com/office/drawing/2014/main" id="{086B6518-2EF8-47FA-8B57-B60E5976F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9524</xdr:colOff>
      <xdr:row>4</xdr:row>
      <xdr:rowOff>47625</xdr:rowOff>
    </xdr:from>
    <xdr:to>
      <xdr:col>12</xdr:col>
      <xdr:colOff>476249</xdr:colOff>
      <xdr:row>17</xdr:row>
      <xdr:rowOff>71437</xdr:rowOff>
    </xdr:to>
    <xdr:graphicFrame macro="">
      <xdr:nvGraphicFramePr>
        <xdr:cNvPr id="4" name="Chart 3">
          <a:extLst>
            <a:ext uri="{FF2B5EF4-FFF2-40B4-BE49-F238E27FC236}">
              <a16:creationId xmlns:a16="http://schemas.microsoft.com/office/drawing/2014/main" id="{4C4D84AB-719F-42EC-B418-BD48A917A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123825</xdr:colOff>
      <xdr:row>17</xdr:row>
      <xdr:rowOff>109537</xdr:rowOff>
    </xdr:from>
    <xdr:to>
      <xdr:col>15</xdr:col>
      <xdr:colOff>152400</xdr:colOff>
      <xdr:row>30</xdr:row>
      <xdr:rowOff>38100</xdr:rowOff>
    </xdr:to>
    <xdr:graphicFrame macro="">
      <xdr:nvGraphicFramePr>
        <xdr:cNvPr id="5" name="Chart 4">
          <a:extLst>
            <a:ext uri="{FF2B5EF4-FFF2-40B4-BE49-F238E27FC236}">
              <a16:creationId xmlns:a16="http://schemas.microsoft.com/office/drawing/2014/main" id="{F5CB4F55-6B17-4E75-8F2B-3E57FB7567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171450</xdr:colOff>
      <xdr:row>4</xdr:row>
      <xdr:rowOff>14287</xdr:rowOff>
    </xdr:from>
    <xdr:to>
      <xdr:col>5</xdr:col>
      <xdr:colOff>352425</xdr:colOff>
      <xdr:row>18</xdr:row>
      <xdr:rowOff>90487</xdr:rowOff>
    </xdr:to>
    <xdr:graphicFrame macro="">
      <xdr:nvGraphicFramePr>
        <xdr:cNvPr id="6" name="Chart 5">
          <a:extLst>
            <a:ext uri="{FF2B5EF4-FFF2-40B4-BE49-F238E27FC236}">
              <a16:creationId xmlns:a16="http://schemas.microsoft.com/office/drawing/2014/main" id="{9838E553-4139-49E6-A792-05C0AD278A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261937</xdr:colOff>
      <xdr:row>59</xdr:row>
      <xdr:rowOff>128587</xdr:rowOff>
    </xdr:from>
    <xdr:to>
      <xdr:col>13</xdr:col>
      <xdr:colOff>238125</xdr:colOff>
      <xdr:row>73</xdr:row>
      <xdr:rowOff>133350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7F8860E2-2906-4B6B-9B0C-44E6094532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929562" y="11368087"/>
              <a:ext cx="4329113" cy="26717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1404937</xdr:colOff>
      <xdr:row>31</xdr:row>
      <xdr:rowOff>14287</xdr:rowOff>
    </xdr:from>
    <xdr:to>
      <xdr:col>8</xdr:col>
      <xdr:colOff>385762</xdr:colOff>
      <xdr:row>45</xdr:row>
      <xdr:rowOff>90487</xdr:rowOff>
    </xdr:to>
    <xdr:graphicFrame macro="">
      <xdr:nvGraphicFramePr>
        <xdr:cNvPr id="9" name="Chart 8">
          <a:extLst>
            <a:ext uri="{FF2B5EF4-FFF2-40B4-BE49-F238E27FC236}">
              <a16:creationId xmlns:a16="http://schemas.microsoft.com/office/drawing/2014/main" id="{0B51C5EC-AE72-49AE-A940-465F6A4DD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1566862</xdr:colOff>
      <xdr:row>59</xdr:row>
      <xdr:rowOff>14287</xdr:rowOff>
    </xdr:from>
    <xdr:to>
      <xdr:col>4</xdr:col>
      <xdr:colOff>1309687</xdr:colOff>
      <xdr:row>73</xdr:row>
      <xdr:rowOff>90487</xdr:rowOff>
    </xdr:to>
    <xdr:graphicFrame macro="">
      <xdr:nvGraphicFramePr>
        <xdr:cNvPr id="11" name="Chart 10">
          <a:extLst>
            <a:ext uri="{FF2B5EF4-FFF2-40B4-BE49-F238E27FC236}">
              <a16:creationId xmlns:a16="http://schemas.microsoft.com/office/drawing/2014/main" id="{EB92D206-B16E-4660-8EC4-A8A19FCD68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409575</xdr:colOff>
      <xdr:row>76</xdr:row>
      <xdr:rowOff>14287</xdr:rowOff>
    </xdr:from>
    <xdr:to>
      <xdr:col>5</xdr:col>
      <xdr:colOff>447675</xdr:colOff>
      <xdr:row>90</xdr:row>
      <xdr:rowOff>90487</xdr:rowOff>
    </xdr:to>
    <xdr:graphicFrame macro="">
      <xdr:nvGraphicFramePr>
        <xdr:cNvPr id="12" name="Chart 11">
          <a:extLst>
            <a:ext uri="{FF2B5EF4-FFF2-40B4-BE49-F238E27FC236}">
              <a16:creationId xmlns:a16="http://schemas.microsoft.com/office/drawing/2014/main" id="{F724AB18-BCD2-43A0-BDED-837857D489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842962</xdr:colOff>
      <xdr:row>46</xdr:row>
      <xdr:rowOff>14287</xdr:rowOff>
    </xdr:from>
    <xdr:to>
      <xdr:col>7</xdr:col>
      <xdr:colOff>700087</xdr:colOff>
      <xdr:row>60</xdr:row>
      <xdr:rowOff>90487</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5CC6BA8A-AFA1-4CD0-8E2C-FCC7681B41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3795712" y="877728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65.652965856483" createdVersion="7" refreshedVersion="7" minRefreshableVersion="3" recordCount="500" xr:uid="{00000000-000A-0000-FFFF-FFFF17000000}">
  <cacheSource type="worksheet">
    <worksheetSource name="Table1"/>
  </cacheSource>
  <cacheFields count="23">
    <cacheField name="Station ID" numFmtId="0">
      <sharedItems/>
    </cacheField>
    <cacheField name="City " numFmtId="0">
      <sharedItems containsBlank="1" count="14">
        <s v="Bengaluru"/>
        <s v="Ahemdabad"/>
        <s v="Hyderabad"/>
        <s v="Chennai"/>
        <s v="Mumbai"/>
        <s v=" Mumbai"/>
        <s v="Kolkata"/>
        <s v="Pune"/>
        <m/>
        <s v="Delhi"/>
        <s v="delhi "/>
        <s v="Pune "/>
        <s v="Chennai "/>
        <s v="Mumbai "/>
      </sharedItems>
    </cacheField>
    <cacheField name="Operator" numFmtId="0">
      <sharedItems containsBlank="1"/>
    </cacheField>
    <cacheField name="Connector Type" numFmtId="0">
      <sharedItems/>
    </cacheField>
    <cacheField name="Status" numFmtId="0">
      <sharedItems containsBlank="1"/>
    </cacheField>
    <cacheField name="Installation Date" numFmtId="14">
      <sharedItems containsDate="1" containsBlank="1" containsMixedTypes="1" minDate="2024-01-01T00:00:00" maxDate="2026-09-02T00:00:00"/>
    </cacheField>
    <cacheField name="Energy Dispensed(kWh)" numFmtId="0">
      <sharedItems containsString="0" containsBlank="1" containsNumber="1" minValue="7.74" maxValue="11964.87"/>
    </cacheField>
    <cacheField name="Revenue (INR)" numFmtId="0">
      <sharedItems containsString="0" containsBlank="1" containsNumber="1" minValue="69.73" maxValue="177041.93"/>
    </cacheField>
    <cacheField name="Column1" numFmtId="0">
      <sharedItems count="14">
        <s v="Bengaluru"/>
        <s v="Ahemdabad"/>
        <s v="Hyderabad"/>
        <s v="Chennai"/>
        <s v="Mumbai"/>
        <s v=" Mumbai"/>
        <s v="Kolkata"/>
        <s v="Pune"/>
        <s v=""/>
        <s v="Delhi"/>
        <s v="Delhi "/>
        <s v="Pune "/>
        <s v="Chennai "/>
        <s v="Mumbai "/>
      </sharedItems>
    </cacheField>
    <cacheField name="Column2" numFmtId="0">
      <sharedItems count="9">
        <s v="Bengaluru"/>
        <s v="Ahemdabad"/>
        <s v="Hyderabad"/>
        <s v="Chennai"/>
        <s v="Mumbai"/>
        <s v="Kolkata"/>
        <s v="Pune"/>
        <s v=""/>
        <s v="Delhi"/>
      </sharedItems>
    </cacheField>
    <cacheField name="Column3" numFmtId="0">
      <sharedItems count="12">
        <s v="Chargepoint"/>
        <s v="Charge Point"/>
        <s v="Zeon Charging"/>
        <s v="Ather Grid"/>
        <s v="Bpcl"/>
        <s v="Tata Power"/>
        <s v="Bharat Petroleum"/>
        <s v=""/>
        <s v="B.P.C.L"/>
        <s v="Zeoncharging"/>
        <s v="Tatapower"/>
        <s v="Athergrid"/>
      </sharedItems>
    </cacheField>
    <cacheField name="Column4" numFmtId="0">
      <sharedItems count="12">
        <s v="Chargepoint"/>
        <s v="Charge Point"/>
        <s v="Zeon Charging"/>
        <s v="Ather Grid"/>
        <s v="Bpcl"/>
        <s v="Tata Power"/>
        <s v="Bharat Petroleum"/>
        <s v=""/>
        <s v="B.P.C.L"/>
        <s v="Zeoncharging"/>
        <s v="Tatapower"/>
        <s v="Athergrid"/>
      </sharedItems>
    </cacheField>
    <cacheField name="Column5" numFmtId="0">
      <sharedItems/>
    </cacheField>
    <cacheField name="Column6" numFmtId="0">
      <sharedItems count="4">
        <s v="Type2 Ac"/>
        <s v="Chademo"/>
        <s v="Bharat Dc-001"/>
        <s v="Ccs2"/>
      </sharedItems>
    </cacheField>
    <cacheField name="Column7" numFmtId="0">
      <sharedItems count="5">
        <s v="Decommissioned"/>
        <s v="Active"/>
        <s v="Maintenance"/>
        <s v="Inactive"/>
        <s v=""/>
      </sharedItems>
    </cacheField>
    <cacheField name="Column8" numFmtId="0">
      <sharedItems count="5">
        <s v="Decommissioned"/>
        <s v="Active"/>
        <s v="Maintenance"/>
        <s v="Inactive"/>
        <s v=""/>
      </sharedItems>
    </cacheField>
    <cacheField name="Column9" numFmtId="0">
      <sharedItems count="15">
        <s v="Bengaluru"/>
        <s v="Ahemdabad"/>
        <s v="Hyderabad"/>
        <s v="Chennai"/>
        <s v="Mumbai"/>
        <s v=" Mumbai"/>
        <s v="Kolkata"/>
        <s v="Pune"/>
        <s v=""/>
        <e v="#NAME?"/>
        <s v="Delhi "/>
        <s v="Delhi"/>
        <s v="Pune "/>
        <s v="Chennai "/>
        <s v="Mumbai "/>
      </sharedItems>
    </cacheField>
    <cacheField name="Column10" numFmtId="0">
      <sharedItems count="2">
        <b v="1"/>
        <b v="0"/>
      </sharedItems>
    </cacheField>
    <cacheField name="Column11" numFmtId="0">
      <sharedItems count="376">
        <s v="45946"/>
        <s v="45406"/>
        <s v="45317"/>
        <s v="46051"/>
        <s v=""/>
        <s v="45542"/>
        <s v="45520"/>
        <s v="45434"/>
        <s v="46046"/>
        <s v="45396"/>
        <s v="45984"/>
        <s v="46050"/>
        <s v="45850"/>
        <s v="45381"/>
        <s v="45896"/>
        <s v="45724"/>
        <s v="45324"/>
        <s v="45322"/>
        <s v="45387"/>
        <s v="45515"/>
        <s v="45530"/>
        <s v="45809"/>
        <s v="45908"/>
        <s v="45319"/>
        <s v="45866"/>
        <s v="45495"/>
        <s v="46025"/>
        <s v="45957"/>
        <s v="46010"/>
        <s v="45517"/>
        <s v="45751"/>
        <s v="45895"/>
        <s v="45576"/>
        <s v="46120"/>
        <s v="45298"/>
        <s v="46069"/>
        <s v="46117"/>
        <s v="45455"/>
        <s v="46006"/>
        <s v="45872"/>
        <s v="45640"/>
        <s v="45451"/>
        <s v="45512"/>
        <s v="46073"/>
        <s v="45636"/>
        <s v="45386"/>
        <s v="45681"/>
        <s v="45391"/>
        <s v="45659"/>
        <s v="46159"/>
        <s v="45644"/>
        <s v="45910"/>
        <s v="45562"/>
        <s v="46118"/>
        <s v="45336"/>
        <s v="46039"/>
        <s v="45762"/>
        <s v="45841"/>
        <s v="45419"/>
        <s v="45679"/>
        <s v="45372"/>
        <s v="45857"/>
        <s v="45592"/>
        <s v="46141"/>
        <s v="45935"/>
        <s v="45925"/>
        <s v="45662"/>
        <s v="45883"/>
        <s v="45488"/>
        <s v="46013"/>
        <s v="45363"/>
        <s v="45338"/>
        <s v="45969"/>
        <s v="45525"/>
        <s v="46083"/>
        <s v="45588"/>
        <s v="45373"/>
        <s v="45395"/>
        <s v="45756"/>
        <s v="45942"/>
        <s v="46146"/>
        <s v="45665"/>
        <s v="45458"/>
        <s v="45671"/>
        <s v="45655"/>
        <s v="45506"/>
        <s v="45978"/>
        <s v="45565"/>
        <s v="45991"/>
        <s v="45955"/>
        <s v="45365"/>
        <s v="45915"/>
        <s v="45467"/>
        <s v="45838"/>
        <s v="46038"/>
        <s v="45459"/>
        <s v="45765"/>
        <s v="45680"/>
        <s v="45568"/>
        <s v="45947"/>
        <s v="45996"/>
        <s v="45862"/>
        <s v="45516"/>
        <s v="45993"/>
        <s v="45624"/>
        <s v="46155"/>
        <s v="46078"/>
        <s v="46086"/>
        <s v="45349"/>
        <s v="45526"/>
        <s v="46133"/>
        <s v="46116"/>
        <s v="45615"/>
        <s v="45566"/>
        <s v="45359"/>
        <s v="45508"/>
        <s v="46027"/>
        <s v="18/11/2024"/>
        <s v="45509"/>
        <s v="45963"/>
        <s v="45803"/>
        <s v="45697"/>
        <s v="45950"/>
        <s v="45761"/>
        <s v="45438"/>
        <s v="45563"/>
        <s v="45544"/>
        <s v="46054"/>
        <s v="45843"/>
        <s v="45561"/>
        <s v="46056"/>
        <s v="45730"/>
        <s v="45889"/>
        <s v="45700"/>
        <s v="45433"/>
        <s v="45813"/>
        <s v="45797"/>
        <s v="45385"/>
        <s v="46065"/>
        <s v="45340"/>
        <s v="45404"/>
        <s v="45448"/>
        <s v="45934"/>
        <s v="46103"/>
        <s v="45988"/>
        <s v="45902"/>
        <s v="45357"/>
        <s v="45686"/>
        <s v="45682"/>
        <s v="45771"/>
        <s v="45833"/>
        <s v="45549"/>
        <s v="45858"/>
        <s v="45303"/>
        <s v="46030"/>
        <s v="45409"/>
        <s v="45990"/>
        <s v="45723"/>
        <s v="46060"/>
        <s v="46079"/>
        <s v="45948"/>
        <s v="45737"/>
        <s v="45453"/>
        <s v="45295"/>
        <s v="46266"/>
        <s v="46028"/>
        <s v="45804"/>
        <s v="46072"/>
        <s v="45474"/>
        <s v="45811"/>
        <s v="45400"/>
        <s v="45932"/>
        <s v="45597"/>
        <s v="46153"/>
        <s v="45674"/>
        <s v="45457"/>
        <s v="45844"/>
        <s v="46089"/>
        <s v="45835"/>
        <s v="45292"/>
        <s v="45905"/>
        <s v="45623"/>
        <s v="45792"/>
        <s v="45311"/>
        <s v="45663"/>
        <s v="46143"/>
        <s v="45606"/>
        <s v="45537"/>
        <s v="45351"/>
        <s v="45538"/>
        <s v="28/03/2024"/>
        <s v="46041"/>
        <s v="45789"/>
        <s v="46127"/>
        <s v="45362"/>
        <s v="46070"/>
        <s v="45837"/>
        <s v="46076"/>
        <s v="45420"/>
        <s v="45423"/>
        <s v="45967"/>
        <s v="45778"/>
        <s v="45854"/>
        <s v="45461"/>
        <s v="45832"/>
        <s v="45913"/>
        <s v="45725"/>
        <s v="45998"/>
        <s v="45497"/>
        <s v="46022"/>
        <s v="45611"/>
        <s v="45979"/>
        <s v="45740"/>
        <s v="45821"/>
        <s v="45754"/>
        <s v="45415"/>
        <s v="45545"/>
        <s v="45522"/>
        <s v="45638"/>
        <s v="45313"/>
        <s v="45894"/>
        <s v="45859"/>
        <s v="23/08/2024"/>
        <s v="45299"/>
        <s v="45364"/>
        <s v="46016"/>
        <s v="45938"/>
        <s v="45352"/>
        <s v="45361"/>
        <s v="45630"/>
        <s v="45818"/>
        <s v="45535"/>
        <s v="45577"/>
        <s v="45977"/>
        <s v="45511"/>
        <s v="45427"/>
        <s v="46032"/>
        <s v="45882"/>
        <s v="45776"/>
        <s v="45540"/>
        <s v="14/03/2026"/>
        <s v="45708"/>
        <s v="45486"/>
        <s v="45388"/>
        <s v="45966"/>
        <s v="45733"/>
        <s v="45654"/>
        <s v="45712"/>
        <s v="45770"/>
        <s v="45347"/>
        <s v="45981"/>
        <s v="45961"/>
        <s v="45953"/>
        <s v="45392"/>
        <s v="45354"/>
        <s v="45704"/>
        <s v="46037"/>
        <s v="45639"/>
        <s v="46111"/>
        <s v="45403"/>
        <s v="45546"/>
        <s v="45435"/>
        <s v="45479"/>
        <s v="45547"/>
        <s v="45369"/>
        <s v="45745"/>
        <s v="46119"/>
        <s v="45855"/>
        <s v="45343"/>
        <s v="45959"/>
        <s v="45845"/>
        <s v="46148"/>
        <s v="45307"/>
        <s v="46063"/>
        <s v="46161"/>
        <s v="45534"/>
        <s v="45462"/>
        <s v="45784"/>
        <s v="45510"/>
        <s v="45702"/>
        <s v="45460"/>
        <s v="45294"/>
        <s v="45691"/>
        <s v="46094"/>
        <s v="46095"/>
        <s v="45757"/>
        <s v="45584"/>
        <s v="46005"/>
        <s v="46040"/>
        <s v="45861"/>
        <s v="45790"/>
        <s v="45450"/>
        <s v="45595"/>
        <s v="45514"/>
        <s v="45885"/>
        <s v="46045"/>
        <s v="45847"/>
        <s v="46057"/>
        <s v="45613"/>
        <s v="45350"/>
        <s v="45890"/>
        <s v="45780"/>
        <s v="45806"/>
        <s v="45812"/>
        <s v="45374"/>
        <s v="45482"/>
        <s v="45901"/>
        <s v="45983"/>
        <s v="45532"/>
        <s v="45705"/>
        <s v="45414"/>
        <s v="45875"/>
        <s v="45884"/>
        <s v="45900"/>
        <s v="45332"/>
        <s v="45926"/>
        <s v="45375"/>
        <s v="45721"/>
        <s v="45965"/>
        <s v="45870"/>
        <s v="45827"/>
        <s v="45559"/>
        <s v="45501"/>
        <s v="45536"/>
        <s v="45426"/>
        <s v="45952"/>
        <s v="45599"/>
        <s v="45760"/>
        <s v="46061"/>
        <s v="45366"/>
        <s v="45301"/>
        <s v="45928"/>
        <s v="45868"/>
        <s v="45394"/>
        <s v="45367"/>
        <s v="45842"/>
        <s v="45810"/>
        <s v="45649"/>
        <s v="45670"/>
        <s v="45583"/>
        <s v="46145"/>
        <s v="45848"/>
        <s v="46012"/>
        <s v="45601"/>
        <s v="45918"/>
        <s v="45300"/>
        <s v="45975"/>
        <s v="46128"/>
        <s v="45598"/>
        <s v="45971"/>
        <s v="45398"/>
        <s v="45429"/>
        <s v="45410"/>
        <s v="45401"/>
        <s v="45570"/>
        <s v="45580"/>
        <s v="45911"/>
        <s v="45507"/>
        <s v="46026"/>
        <s v="45643"/>
        <s v="45500"/>
        <s v="45995"/>
        <s v="45941"/>
        <s v="46158"/>
        <s v="45344"/>
        <s v="45575"/>
        <s v="45337"/>
        <s v="45633"/>
        <s v="46081"/>
        <s v="45425"/>
        <s v="45944"/>
        <s v="45560"/>
        <s v="45744"/>
        <s v="45856"/>
        <s v="46014"/>
        <s v="45729"/>
      </sharedItems>
    </cacheField>
    <cacheField name="Column12" numFmtId="0">
      <sharedItems count="2">
        <s v="Private"/>
        <s v="Government"/>
      </sharedItems>
    </cacheField>
    <cacheField name="Column13" numFmtId="0">
      <sharedItems count="3">
        <s v="Slow"/>
        <s v="fast"/>
        <s v="Ultra Fast"/>
      </sharedItems>
    </cacheField>
    <cacheField name="Column14" numFmtId="0">
      <sharedItems containsMixedTypes="1" containsNumber="1" containsInteger="1" minValue="1900" maxValue="2026" count="5">
        <n v="2025"/>
        <n v="2024"/>
        <n v="2026"/>
        <n v="1900"/>
        <e v="#VALUE!"/>
      </sharedItems>
    </cacheField>
    <cacheField name="Column15" numFmtId="0">
      <sharedItems count="4">
        <s v="Germany"/>
        <s v="Japan"/>
        <s v="India"/>
        <s v="Europ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8.425377893516" createdVersion="7" refreshedVersion="7" minRefreshableVersion="3" recordCount="501" xr:uid="{F3DC0B41-1AB3-431B-BAF1-310B0218BD6B}">
  <cacheSource type="worksheet">
    <worksheetSource name="Table2"/>
  </cacheSource>
  <cacheFields count="14">
    <cacheField name="Station ID" numFmtId="0">
      <sharedItems/>
    </cacheField>
    <cacheField name="City" numFmtId="0">
      <sharedItems count="8">
        <s v="Kolkata"/>
        <s v="Mumbai"/>
        <s v="Chennai"/>
        <s v="Pune"/>
        <s v="Bengaluru"/>
        <s v="Delhi"/>
        <s v="Hyderabad"/>
        <s v="Ahemdabad"/>
      </sharedItems>
    </cacheField>
    <cacheField name="Opertors" numFmtId="0">
      <sharedItems count="6">
        <s v="Tata Power"/>
        <s v="Bpcl"/>
        <s v="Charge Point"/>
        <s v="Zeon Charging"/>
        <s v="Ather Grid"/>
        <s v="Bharat Petroleum"/>
      </sharedItems>
    </cacheField>
    <cacheField name="Status" numFmtId="0">
      <sharedItems count="4">
        <s v="Active"/>
        <s v="Inactive"/>
        <s v="Maintenance"/>
        <s v="Decommissioned"/>
      </sharedItems>
    </cacheField>
    <cacheField name="Installation Date" numFmtId="0">
      <sharedItems containsDate="1" containsMixedTypes="1" minDate="2024-01-01T00:00:00" maxDate="2026-12-03T00:00:00" count="373">
        <s v="31/12/2025"/>
        <s v="31/10/2025"/>
        <s v="31/08/2025"/>
        <s v="31/08/2024"/>
        <s v="31/01/2024"/>
        <s v="30/11/2025"/>
        <s v="30/10/2024"/>
        <s v="30/09/2024"/>
        <s v="30/08/2024"/>
        <s v="30/07/2025"/>
        <s v="30/06/2025"/>
        <s v="30/03/2026"/>
        <s v="30/03/2024"/>
        <s v="29/12/2024"/>
        <s v="29/11/2025"/>
        <s v="29/10/2025"/>
        <s v="29/04/2025"/>
        <s v="29/05/2025"/>
        <s v="29/04/2026"/>
        <s v="29/03/2025"/>
        <s v="29/02/2024"/>
        <s v="29/01/2026"/>
        <s v="29/01/2025"/>
        <s v="28/12/2024"/>
        <s v="28/11/2024"/>
        <s v="28/09/2025"/>
        <s v="28/09/2024"/>
        <s v="28/08/2024"/>
        <s v="28/07/2025"/>
        <s v="28/07/2024"/>
        <s v="28/04/2024"/>
        <s v="28/03/2025"/>
        <s v="28/03/2024"/>
        <s v="28/02/2026"/>
        <s v="28/02/2024"/>
        <s v="28/01/2026"/>
        <s v="28/01/2024"/>
        <s v="27/11/2025"/>
        <s v="27/11/2024"/>
        <s v="27/10/2025"/>
        <s v="27/10/2024"/>
        <s v="27/09/2024"/>
        <s v="27/08/2025"/>
        <s v="27/07/2024"/>
        <s v="27/06/2025"/>
        <s v="27/05/2025"/>
        <s v="27/04/2024"/>
        <s v="27/02/2024"/>
        <s v="26/09/2025"/>
        <s v="26/09/2024"/>
        <s v="26/08/2025"/>
        <s v="26/08/2024"/>
        <s v="26/05/2025"/>
        <s v="26/05/2024"/>
        <s v="26/02/2026"/>
        <s v="26/01/2024"/>
        <s v="25/12/2025"/>
        <s v="25/10/2025"/>
        <s v="25/09/2025"/>
        <s v="25/09/2024"/>
        <s v="25/08/2025"/>
        <s v="25/06/2025"/>
        <s v="25/02/2026"/>
        <s v="25/02/2024"/>
        <s v="25/01/2025"/>
        <s v="24/09/2024"/>
        <s v="24/07/2025"/>
        <s v="24/07/2024"/>
        <s v="24/06/2025"/>
        <s v="24/06/2024"/>
        <s v="24/04/2025"/>
        <s v="24/04/2024"/>
        <s v="24/03/2025"/>
        <s v="24/03/2024"/>
        <s v="24/02/2025"/>
        <s v="24/01/2026"/>
        <s v="24/01/2025"/>
        <s v="23/12/2025"/>
        <s v="23/12/2024"/>
        <s v="23/11/2025"/>
        <s v="23/10/2025"/>
        <s v="23/10/2024"/>
        <s v="23/08/2024"/>
        <s v="23/07/2025"/>
        <s v="23/05/2024"/>
        <s v="23/04/2025"/>
        <s v="23/03/2024"/>
        <s v="23/02/2026"/>
        <s v="23/01/2026"/>
        <s v="23/01/2025"/>
        <s v="22/12/2025"/>
        <s v="22/11/2025"/>
        <s v="22/10/2025"/>
        <s v="22/08/2024"/>
        <s v="22/07/2024"/>
        <s v="22/05/2024"/>
        <s v="22/04/2024"/>
        <s v="22/03/2026"/>
        <s v="22/03/2024"/>
        <s v="22/02/2024"/>
        <s v="22/01/2025"/>
        <s v="22/01/2024"/>
        <s v="21/12/2025"/>
        <s v="21/08/2025"/>
        <s v="21/08/2024"/>
        <s v="21/07/2025"/>
        <s v="21/05/2024"/>
        <s v="21/04/2026"/>
        <s v="21/04/2024"/>
        <s v="21/03/2025"/>
        <s v="21/03/2024"/>
        <s v="21/02/2024"/>
        <s v="20/11/2025"/>
        <s v="20/10/2025"/>
        <s v="20/08/2025"/>
        <s v="20/07/2025"/>
        <s v="20/05/2025"/>
        <s v="20/02/2026"/>
        <s v="20/02/2025"/>
        <s v="20/01/2024"/>
        <s v="19/12/2025"/>
        <s v="19/11/2024"/>
        <s v="19/10/2024"/>
        <s v="19/07/2025"/>
        <s v="19/06/2025"/>
        <s v="19/06/2024"/>
        <s v="19/05/2026"/>
        <s v="19/04/2024"/>
        <s v="19/02/2026"/>
        <s v="19/01/2026"/>
        <s v="18/12/2024"/>
        <s v="18/11/2025"/>
        <s v="18/11/2024"/>
        <s v="18/10/2025"/>
        <s v="18/10/2024"/>
        <s v="18/09/2025"/>
        <s v="18/08/2024"/>
        <s v="18/07/2025"/>
        <s v="18/06/2024"/>
        <s v="18/04/2025"/>
        <s v="18/04/2024"/>
        <s v="18/03/2024"/>
        <s v="18/02/2024"/>
        <s v="18/01/2026"/>
        <s v="17/12/2024"/>
        <s v="17/11/2025"/>
        <s v="17/11/2024"/>
        <s v="17/10/2025"/>
        <s v="17/07/2025"/>
        <s v="17/06/2024"/>
        <s v="17/05/2026"/>
        <s v="17/05/2024"/>
        <s v="17/03/2025"/>
        <s v="17/02/2026"/>
        <s v="17/02/2025"/>
        <s v="17/01/2026"/>
        <s v="17/01/2025"/>
        <s v="16/11/2025"/>
        <s v="16/10/2025"/>
        <s v="16/08/2025"/>
        <s v="16/08/2024"/>
        <s v="16/07/2025"/>
        <s v="16/06/2024"/>
        <s v="16/05/2026"/>
        <s v="16/04/2026"/>
        <s v="16/04/2024"/>
        <s v="16/03/2024"/>
        <s v="16/02/2026"/>
        <s v="16/02/2025"/>
        <s v="16/02/2024"/>
        <s v="16/01/2026"/>
        <s v="16/01/2024"/>
        <s v="15/12/2025"/>
        <s v="15/11/2024"/>
        <s v="15/10/2024"/>
        <s v="15/09/2025"/>
        <s v="15/08/2025"/>
        <s v="15/07/2024"/>
        <s v="15/06/2024"/>
        <s v="15/05/2025"/>
        <s v="15/05/2024"/>
        <s v="15/04/2026"/>
        <s v="15/04/2025"/>
        <s v="15/03/2024"/>
        <s v="15/02/2024"/>
        <s v="15/01/2026"/>
        <s v="14/12/2025"/>
        <s v="14/12/2024"/>
        <s v="14/11/2025"/>
        <s v="14/10/2025"/>
        <s v="14/09/2024"/>
        <s v="14/08/2025"/>
        <s v="14/06/2024"/>
        <s v="14/05/2024"/>
        <s v="14/04/2025"/>
        <s v="14/04/2024"/>
        <s v="14/03/2026"/>
        <s v="14/03/2025"/>
        <s v="14/03/2024"/>
        <s v="14/02/2025"/>
        <s v="14/02/2024"/>
        <s v="14/01/2025"/>
        <s v="13/12/2024"/>
        <s v="13/09/2025"/>
        <s v="13/08/2025"/>
        <s v="13/08/2024"/>
        <s v="13/07/2024"/>
        <s v="13/06/2025"/>
        <s v="13/05/2026"/>
        <s v="13/05/2025"/>
        <s v="13/05/2024"/>
        <s v="13/04/2025"/>
        <s v="13/04/2024"/>
        <s v="13/03/2026"/>
        <s v="13/03/2025"/>
        <s v="13/03/2024"/>
        <s v="13/01/2025"/>
        <d v="2026-09-01T00:00:00"/>
        <d v="2026-11-05T00:00:00"/>
        <d v="2026-06-05T00:00:00"/>
        <d v="2026-05-04T00:00:00"/>
        <d v="2026-05-03T00:00:00"/>
        <d v="2026-05-01T00:00:00"/>
        <d v="2026-08-04T00:00:00"/>
        <d v="2026-07-04T00:00:00"/>
        <d v="2026-06-04T00:00:00"/>
        <d v="2026-04-05T00:00:00"/>
        <d v="2026-04-04T00:00:00"/>
        <d v="2026-08-03T00:00:00"/>
        <d v="2026-03-05T00:00:00"/>
        <d v="2026-03-02T00:00:00"/>
        <d v="2026-12-02T00:00:00"/>
        <d v="2026-10-02T00:00:00"/>
        <d v="2026-08-02T00:00:00"/>
        <d v="2026-07-02T00:00:00"/>
        <d v="2026-02-04T00:00:00"/>
        <d v="2026-02-03T00:00:00"/>
        <d v="2026-02-01T00:00:00"/>
        <d v="2026-10-01T00:00:00"/>
        <d v="2026-08-01T00:00:00"/>
        <d v="2026-06-01T00:00:00"/>
        <d v="2026-01-05T00:00:00"/>
        <d v="2026-01-04T00:00:00"/>
        <d v="2026-01-03T00:00:00"/>
        <d v="2025-12-07T00:00:00"/>
        <d v="2025-12-05T00:00:00"/>
        <d v="2025-12-04T00:00:00"/>
        <d v="2025-12-02T00:00:00"/>
        <d v="2025-11-10T00:00:00"/>
        <d v="2025-11-08T00:00:00"/>
        <d v="2025-11-06T00:00:00"/>
        <d v="2025-11-05T00:00:00"/>
        <d v="2025-11-04T00:00:00"/>
        <d v="2025-11-02T00:00:00"/>
        <d v="2025-10-12T00:00:00"/>
        <d v="2025-10-11T00:00:00"/>
        <d v="2025-10-08T00:00:00"/>
        <d v="2025-10-05T00:00:00"/>
        <d v="2025-10-04T00:00:00"/>
        <d v="2025-10-02T00:00:00"/>
        <d v="2025-09-11T00:00:00"/>
        <d v="2025-09-10T00:00:00"/>
        <d v="2025-09-08T00:00:00"/>
        <d v="2025-09-05T00:00:00"/>
        <d v="2025-09-02T00:00:00"/>
        <d v="2025-09-01T00:00:00"/>
        <d v="2025-08-06T00:00:00"/>
        <d v="2025-08-03T00:00:00"/>
        <d v="2025-08-01T00:00:00"/>
        <d v="2025-07-12T00:00:00"/>
        <d v="2025-07-10T00:00:00"/>
        <d v="2025-07-09T00:00:00"/>
        <d v="2025-07-07T00:00:00"/>
        <d v="2025-07-06T00:00:00"/>
        <d v="2025-07-05T00:00:00"/>
        <d v="2025-07-04T00:00:00"/>
        <d v="2025-07-03T00:00:00"/>
        <d v="2025-06-10T00:00:00"/>
        <d v="2025-06-05T00:00:00"/>
        <d v="2025-06-04T00:00:00"/>
        <d v="2025-06-03T00:00:00"/>
        <d v="2025-06-02T00:00:00"/>
        <d v="2025-06-01T00:00:00"/>
        <d v="2025-05-12T00:00:00"/>
        <d v="2025-05-07T00:00:00"/>
        <d v="2025-05-03T00:00:00"/>
        <d v="2025-05-01T00:00:00"/>
        <d v="2025-04-10T00:00:00"/>
        <d v="2025-04-09T00:00:00"/>
        <d v="2025-04-07T00:00:00"/>
        <d v="2025-04-04T00:00:00"/>
        <d v="2025-03-09T00:00:00"/>
        <d v="2025-03-08T00:00:00"/>
        <d v="2025-03-07T00:00:00"/>
        <d v="2025-03-05T00:00:00"/>
        <d v="2025-02-12T00:00:00"/>
        <d v="2025-02-09T00:00:00"/>
        <d v="2025-02-03T00:00:00"/>
        <d v="2025-01-08T00:00:00"/>
        <d v="2025-01-06T00:00:00"/>
        <d v="2025-01-05T00:00:00"/>
        <d v="2025-01-02T00:00:00"/>
        <d v="2024-12-12T00:00:00"/>
        <d v="2024-12-10T00:00:00"/>
        <d v="2024-12-07T00:00:00"/>
        <d v="2024-12-04T00:00:00"/>
        <d v="2024-11-10T00:00:00"/>
        <d v="2024-11-05T00:00:00"/>
        <d v="2024-11-03T00:00:00"/>
        <d v="2024-11-02T00:00:00"/>
        <d v="2024-11-01T00:00:00"/>
        <d v="2024-10-12T00:00:00"/>
        <d v="2024-10-11T00:00:00"/>
        <d v="2024-10-10T00:00:00"/>
        <d v="2024-10-05T00:00:00"/>
        <d v="2024-10-03T00:00:00"/>
        <d v="2024-10-01T00:00:00"/>
        <d v="2024-09-12T00:00:00"/>
        <d v="2024-09-11T00:00:00"/>
        <d v="2024-09-10T00:00:00"/>
        <d v="2024-09-09T00:00:00"/>
        <d v="2024-09-07T00:00:00"/>
        <d v="2024-09-05T00:00:00"/>
        <d v="2024-09-03T00:00:00"/>
        <d v="2024-09-02T00:00:00"/>
        <d v="2024-09-01T00:00:00"/>
        <d v="2024-08-12T00:00:00"/>
        <d v="2024-08-11T00:00:00"/>
        <d v="2024-08-10T00:00:00"/>
        <d v="2024-08-08T00:00:00"/>
        <d v="2024-08-07T00:00:00"/>
        <d v="2024-08-06T00:00:00"/>
        <d v="2024-08-05T00:00:00"/>
        <d v="2024-08-04T00:00:00"/>
        <d v="2024-08-03T00:00:00"/>
        <d v="2024-08-02T00:00:00"/>
        <d v="2024-07-09T00:00:00"/>
        <d v="2024-07-06T00:00:00"/>
        <d v="2024-07-01T00:00:00"/>
        <d v="2024-06-12T00:00:00"/>
        <d v="2024-06-10T00:00:00"/>
        <d v="2024-06-08T00:00:00"/>
        <d v="2024-06-07T00:00:00"/>
        <d v="2024-06-05T00:00:00"/>
        <d v="2024-05-11T00:00:00"/>
        <d v="2024-05-08T00:00:00"/>
        <d v="2024-05-07T00:00:00"/>
        <d v="2024-05-03T00:00:00"/>
        <d v="2024-05-02T00:00:00"/>
        <d v="2024-04-12T00:00:00"/>
        <d v="2024-04-10T00:00:00"/>
        <d v="2024-04-09T00:00:00"/>
        <d v="2024-04-06T00:00:00"/>
        <d v="2024-04-05T00:00:00"/>
        <d v="2024-04-04T00:00:00"/>
        <d v="2024-04-03T00:00:00"/>
        <d v="2024-03-12T00:00:00"/>
        <d v="2024-03-11T00:00:00"/>
        <d v="2024-03-10T00:00:00"/>
        <d v="2024-03-08T00:00:00"/>
        <d v="2024-03-06T00:00:00"/>
        <d v="2024-03-03T00:00:00"/>
        <d v="2024-03-01T00:00:00"/>
        <d v="2024-02-10T00:00:00"/>
        <d v="2024-02-02T00:00:00"/>
        <d v="2024-01-12T00:00:00"/>
        <d v="2024-01-10T00:00:00"/>
        <d v="2024-01-09T00:00:00"/>
        <d v="2024-01-08T00:00:00"/>
        <d v="2024-01-07T00:00:00"/>
        <d v="2024-01-04T00:00:00"/>
        <d v="2024-01-03T00:00:00"/>
        <d v="2024-01-01T00:00:00"/>
      </sharedItems>
    </cacheField>
    <cacheField name="Connectors" numFmtId="0">
      <sharedItems count="4">
        <s v="CCS2"/>
        <s v="Bharat DC-001"/>
        <s v="CHAdeMO"/>
        <s v="Type2 AC"/>
      </sharedItems>
    </cacheField>
    <cacheField name="Energy Dispensed kWh" numFmtId="0">
      <sharedItems containsSemiMixedTypes="0" containsString="0" containsNumber="1" minValue="7.74" maxValue="11964.87" count="471">
        <n v="2780.79"/>
        <n v="8.6199999999999992"/>
        <n v="922.02"/>
        <n v="673.68"/>
        <n v="7313.46"/>
        <n v="4567.3"/>
        <n v="4167.34"/>
        <n v="9420.48"/>
        <n v="2501.31"/>
        <n v="724.62"/>
        <n v="258.13"/>
        <n v="9946.34"/>
        <n v="4205.87"/>
        <n v="4453.21"/>
        <n v="958.79"/>
        <n v="132.99"/>
        <n v="4978.9799999999996"/>
        <n v="10075.23"/>
        <n v="5945.95"/>
        <n v="40.590000000000003"/>
        <n v="435.37"/>
        <n v="11225.51"/>
        <n v="6184.52"/>
        <n v="177.41"/>
        <n v="4148.93"/>
        <n v="11447.08"/>
        <n v="10947.8"/>
        <n v="8446.73"/>
        <n v="156.47999999999999"/>
        <n v="10769.81"/>
        <n v="3275.59"/>
        <n v="190.4"/>
        <n v="382.38"/>
        <n v="5842.32"/>
        <n v="8761.11"/>
        <n v="2599"/>
        <n v="6709.79"/>
        <n v="3698.8"/>
        <n v="407.12"/>
        <n v="1318.57"/>
        <n v="2368.77"/>
        <n v="486.68"/>
        <n v="5550.26"/>
        <n v="6462.05"/>
        <n v="2069.85"/>
        <n v="962.97"/>
        <n v="5930.53"/>
        <n v="387.78"/>
        <n v="2300.13"/>
        <n v="11230.51"/>
        <n v="786.54"/>
        <n v="219.94"/>
        <n v="5858.13"/>
        <n v="4381.26"/>
        <n v="206.15"/>
        <n v="8517.7199999999993"/>
        <n v="3934.05"/>
        <n v="180.04"/>
        <n v="10.84"/>
        <n v="4073.63"/>
        <n v="10690.57"/>
        <n v="7745.26"/>
        <n v="3491.8"/>
        <n v="3258.45"/>
        <n v="6114.64"/>
        <n v="10078.25"/>
        <n v="2194.5700000000002"/>
        <n v="3085.31"/>
        <n v="6608.02"/>
        <n v="10824.83"/>
        <n v="367.53"/>
        <n v="11699.13"/>
        <n v="7666.29"/>
        <n v="10682.85"/>
        <n v="2118.14"/>
        <n v="10627.55"/>
        <n v="2840.65"/>
        <n v="2259.4"/>
        <n v="10087.84"/>
        <n v="95.04"/>
        <n v="2692.02"/>
        <n v="645.5"/>
        <n v="5485.52"/>
        <n v="2257.2600000000002"/>
        <n v="1512.69"/>
        <n v="3571.15"/>
        <n v="2164.34"/>
        <n v="40.29"/>
        <n v="11093.71"/>
        <n v="331.93"/>
        <n v="2830.26"/>
        <n v="9444.61"/>
        <n v="303.33"/>
        <n v="4904.91"/>
        <n v="1786.55"/>
        <n v="188.55"/>
        <n v="11438.85"/>
        <n v="6232.67"/>
        <n v="8368.98"/>
        <n v="1702.9"/>
        <n v="2213.38"/>
        <n v="6884.53"/>
        <n v="5442.55"/>
        <n v="9393.26"/>
        <n v="1933.19"/>
        <n v="9385.76"/>
        <n v="1364.07"/>
        <n v="4693.49"/>
        <n v="3883.71"/>
        <n v="11412.06"/>
        <n v="6137.32"/>
        <n v="1479.58"/>
        <n v="8794.77"/>
        <n v="3263.73"/>
        <n v="2099.1799999999998"/>
        <n v="7268.04"/>
        <n v="11538.07"/>
        <n v="170.35"/>
        <n v="403.26"/>
        <n v="10385.48"/>
        <n v="8947.14"/>
        <n v="1031.46"/>
        <n v="7980.26"/>
        <n v="9698.7000000000007"/>
        <n v="10929.68"/>
        <n v="6854.04"/>
        <n v="278.7"/>
        <n v="10158.42"/>
        <n v="3251.33"/>
        <n v="56.73"/>
        <n v="69.14"/>
        <n v="7946.75"/>
        <n v="6197.89"/>
        <n v="7693.42"/>
        <n v="98.52"/>
        <n v="210.03"/>
        <n v="10446.469999999999"/>
        <n v="11815.26"/>
        <n v="2990.23"/>
        <n v="1230.96"/>
        <n v="9543.92"/>
        <n v="11508.78"/>
        <n v="11775.87"/>
        <n v="381.37"/>
        <n v="89.63"/>
        <n v="88.51"/>
        <n v="5270.98"/>
        <n v="5583.47"/>
        <n v="2330.3200000000002"/>
        <n v="8090.38"/>
        <n v="139.83000000000001"/>
        <n v="11357.03"/>
        <n v="3699.95"/>
        <n v="2562.65"/>
        <n v="7044.71"/>
        <n v="5737.29"/>
        <n v="412.12"/>
        <n v="115.4"/>
        <n v="218.2"/>
        <n v="1825.63"/>
        <n v="947.2"/>
        <n v="232"/>
        <n v="7660.29"/>
        <n v="3638.76"/>
        <n v="41.97"/>
        <n v="856.84"/>
        <n v="2546.62"/>
        <n v="48.57"/>
        <n v="10728.36"/>
        <n v="8407.66"/>
        <n v="1769.5"/>
        <n v="5196"/>
        <n v="200.23"/>
        <n v="6626.57"/>
        <n v="1302.82"/>
        <n v="192.75"/>
        <n v="9627.9599999999991"/>
        <n v="8436.8799999999992"/>
        <n v="8993.9500000000007"/>
        <n v="9145.43"/>
        <n v="183.72"/>
        <n v="9103.5499999999993"/>
        <n v="11541.25"/>
        <n v="1267.27"/>
        <n v="8076.78"/>
        <n v="9242.39"/>
        <n v="6005.21"/>
        <n v="8314.4599999999991"/>
        <n v="5812.73"/>
        <n v="95.53"/>
        <n v="791.78"/>
        <n v="3184.37"/>
        <n v="290.29000000000002"/>
        <n v="454.01"/>
        <n v="8124.5"/>
        <n v="3968.2"/>
        <n v="3323.19"/>
        <n v="5890.03"/>
        <n v="112.18"/>
        <n v="148.68"/>
        <n v="1170.73"/>
        <n v="7467.77"/>
        <n v="102.23"/>
        <n v="10176.17"/>
        <n v="9384.2999999999993"/>
        <n v="10497.73"/>
        <n v="381.55"/>
        <n v="1209.3699999999999"/>
        <n v="331.98"/>
        <n v="11313.03"/>
        <n v="5580.54"/>
        <n v="5975.07"/>
        <n v="3976.08"/>
        <n v="2795.09"/>
        <n v="7309.13"/>
        <n v="65.510000000000005"/>
        <n v="2917.1"/>
        <n v="6642.42"/>
        <n v="9744.92"/>
        <n v="6479.08"/>
        <n v="4545.82"/>
        <n v="6875.74"/>
        <n v="10615.86"/>
        <n v="375.24"/>
        <n v="11964.87"/>
        <n v="10151.129999999999"/>
        <n v="11810.83"/>
        <n v="10395.94"/>
        <n v="352.71"/>
        <n v="184.51"/>
        <n v="2244.86"/>
        <n v="4521.07"/>
        <n v="5985.27"/>
        <n v="57.96"/>
        <n v="2163.38"/>
        <n v="2960.46"/>
        <n v="44.94"/>
        <n v="5514.66"/>
        <n v="5429.05"/>
        <n v="7392.84"/>
        <n v="7377.42"/>
        <n v="738.57"/>
        <n v="20.91"/>
        <n v="3703.94"/>
        <n v="1513.89"/>
        <n v="289.5"/>
        <n v="151.05000000000001"/>
        <n v="3994.56"/>
        <n v="641.04999999999995"/>
        <n v="857.52"/>
        <n v="656.34"/>
        <n v="110.69"/>
        <n v="2383.31"/>
        <n v="4368.5600000000004"/>
        <n v="5234.7"/>
        <n v="72.44"/>
        <n v="1828.85"/>
        <n v="1415.86"/>
        <n v="123.68"/>
        <n v="9763.57"/>
        <n v="781.12"/>
        <n v="5286"/>
        <n v="5753.04"/>
        <n v="797.45"/>
        <n v="8128.96"/>
        <n v="1812"/>
        <n v="11414.94"/>
        <n v="10325.74"/>
        <n v="5787"/>
        <n v="8948.2900000000009"/>
        <n v="168.1"/>
        <n v="11074.73"/>
        <n v="180.44"/>
        <n v="4251.1000000000004"/>
        <n v="2349.4899999999998"/>
        <n v="10101.48"/>
        <n v="2330.7800000000002"/>
        <n v="7280.25"/>
        <n v="10585.94"/>
        <n v="235.15"/>
        <n v="3471.05"/>
        <n v="9245.75"/>
        <n v="7.74"/>
        <n v="9337.6299999999992"/>
        <n v="2589.88"/>
        <n v="403.28"/>
        <n v="5459.92"/>
        <n v="287.89999999999998"/>
        <n v="25.32"/>
        <n v="8254.43"/>
        <n v="11379.71"/>
        <n v="1192.6500000000001"/>
        <n v="6927.64"/>
        <n v="1895.62"/>
        <n v="113.97"/>
        <n v="8184.17"/>
        <n v="1216.06"/>
        <n v="9698.48"/>
        <n v="527.96"/>
        <n v="6917.84"/>
        <n v="6074.19"/>
        <n v="88.53"/>
        <n v="3997.05"/>
        <n v="4816.03"/>
        <n v="56.76"/>
        <n v="9692.11"/>
        <n v="46.69"/>
        <n v="513.24"/>
        <n v="2237.41"/>
        <n v="3354.2"/>
        <n v="3446.8"/>
        <n v="1598.22"/>
        <n v="71.12"/>
        <n v="10395.07"/>
        <n v="8169.27"/>
        <n v="9536.23"/>
        <n v="141.96"/>
        <n v="7948.66"/>
        <n v="2525.58"/>
        <n v="179.9"/>
        <n v="9443.26"/>
        <n v="399.07"/>
        <n v="3812.34"/>
        <n v="4308.22"/>
        <n v="5729.04"/>
        <n v="3196.68"/>
        <n v="537.41"/>
        <n v="3813.21"/>
        <n v="11062.2"/>
        <n v="5096.01"/>
        <n v="298.99"/>
        <n v="396.31"/>
        <n v="11680.26"/>
        <n v="462.24"/>
        <n v="5233.92"/>
        <n v="85.77"/>
        <n v="3906.83"/>
        <n v="10468.790000000001"/>
        <n v="11182.2"/>
        <n v="5684.22"/>
        <n v="5843.4"/>
        <n v="2514.69"/>
        <n v="939.96"/>
        <n v="4026.16"/>
        <n v="9995.9500000000007"/>
        <n v="222.96"/>
        <n v="5197.95"/>
        <n v="4971.8599999999997"/>
        <n v="11778.3"/>
        <n v="1382.47"/>
        <n v="9118.99"/>
        <n v="3343.76"/>
        <n v="11248.15"/>
        <n v="7835.5"/>
        <n v="9157.11"/>
        <n v="3543.43"/>
        <n v="4742.29"/>
        <n v="6155.09"/>
        <n v="417.86"/>
        <n v="9656.61"/>
        <n v="334.95"/>
        <n v="3151.19"/>
        <n v="4076.95"/>
        <n v="5173.92"/>
        <n v="343.23"/>
        <n v="76.989999999999995"/>
        <n v="8343.77"/>
        <n v="8705.77"/>
        <n v="4128.8"/>
        <n v="9352.65"/>
        <n v="3554.77"/>
        <n v="9872.57"/>
        <n v="10051.57"/>
        <n v="155.68"/>
        <n v="5534.23"/>
        <n v="3403.5"/>
        <n v="348.6"/>
        <n v="5348"/>
        <n v="1010.45"/>
        <n v="446.01"/>
        <n v="101.88"/>
        <n v="34.479999999999997"/>
        <n v="1255.55"/>
        <n v="6048.75"/>
        <n v="154.93"/>
        <n v="9113.7800000000007"/>
        <n v="2021.49"/>
        <n v="7442.71"/>
        <n v="9986.66"/>
        <n v="362.09"/>
        <n v="161.15"/>
        <n v="11435.09"/>
        <n v="3353.92"/>
        <n v="9936.17"/>
        <n v="10850.54"/>
        <n v="3856.41"/>
        <n v="287.83999999999997"/>
        <n v="2702.72"/>
        <n v="1696.13"/>
        <n v="972.29"/>
        <n v="183.49"/>
        <n v="7282.58"/>
        <n v="532.26"/>
        <n v="914.32"/>
        <n v="8269.7099999999991"/>
        <n v="11644.14"/>
        <n v="1042.54"/>
        <n v="3078.55"/>
        <n v="26.04"/>
        <n v="3630.83"/>
        <n v="309.63"/>
        <n v="5407.52"/>
        <n v="10559.2"/>
        <n v="4874.3500000000004"/>
        <n v="55.79"/>
        <n v="1679.76"/>
        <n v="2688.71"/>
        <n v="4915.75"/>
        <n v="7154.87"/>
        <n v="10629.74"/>
        <n v="4860.17"/>
        <n v="5903.99"/>
        <n v="9043.1299999999992"/>
        <n v="6084.88"/>
        <n v="235.35"/>
        <n v="242.3"/>
        <n v="10753.88"/>
        <n v="1700.78"/>
        <n v="4192.17"/>
        <n v="10520.21"/>
        <n v="10.32"/>
        <n v="298.06"/>
        <n v="3689.08"/>
        <n v="11399.21"/>
        <n v="1830.06"/>
        <n v="7008.22"/>
        <n v="132.28"/>
        <n v="7126.84"/>
        <n v="5150.6099999999997"/>
        <n v="7363.09"/>
        <n v="4538.18"/>
        <n v="111.16"/>
        <n v="10621.23"/>
        <n v="1723.66"/>
        <n v="8642.2099999999991"/>
        <n v="1298.3399999999999"/>
        <n v="473.53"/>
        <n v="10407.19"/>
        <n v="343.43"/>
        <n v="7645.36"/>
        <n v="875.36"/>
        <n v="7582.99"/>
        <n v="143.66999999999999"/>
        <n v="4362.25"/>
        <n v="8107.5"/>
        <n v="3298.01"/>
        <n v="1749.03"/>
        <n v="6500.09"/>
        <n v="3769.9"/>
        <n v="57.39"/>
        <n v="8169.73"/>
        <n v="7529.65"/>
        <n v="11075.6"/>
        <n v="165.44"/>
        <n v="7251.91"/>
        <n v="3402.59"/>
        <n v="10753.11"/>
        <n v="8564.7000000000007"/>
        <n v="269.11"/>
        <n v="1304.92"/>
        <n v="4264.5600000000004"/>
      </sharedItems>
    </cacheField>
    <cacheField name="Revenue" numFmtId="165">
      <sharedItems containsSemiMixedTypes="0" containsString="0" containsNumber="1" containsInteger="1" minValue="70" maxValue="177042"/>
    </cacheField>
    <cacheField name="Speed/Connector" numFmtId="0">
      <sharedItems count="3">
        <s v="Ultra Fast"/>
        <s v="Fast"/>
        <s v="Slow"/>
      </sharedItems>
    </cacheField>
    <cacheField name="Operator Sector" numFmtId="0">
      <sharedItems containsBlank="1" count="3">
        <s v="Private"/>
        <s v="Government"/>
        <m/>
      </sharedItems>
    </cacheField>
    <cacheField name="Year" numFmtId="0">
      <sharedItems containsSemiMixedTypes="0" containsString="0" containsNumber="1" containsInteger="1" minValue="2024" maxValue="2026" count="3">
        <n v="2025"/>
        <n v="2024"/>
        <n v="2026"/>
      </sharedItems>
    </cacheField>
    <cacheField name="Utilization " numFmtId="0">
      <sharedItems count="3">
        <s v="Medium"/>
        <s v="Low"/>
        <s v="High"/>
      </sharedItems>
    </cacheField>
    <cacheField name="Revenue Per kWh" numFmtId="164">
      <sharedItems containsSemiMixedTypes="0" containsString="0" containsNumber="1" minValue="0.56000000000000005" maxValue="286.32"/>
    </cacheField>
    <cacheField name="Connectors Region" numFmtId="0">
      <sharedItems count="4">
        <s v="Europe"/>
        <s v="India"/>
        <s v="Japan"/>
        <s v="Germany"/>
      </sharedItems>
    </cacheField>
  </cacheFields>
  <extLst>
    <ext xmlns:x14="http://schemas.microsoft.com/office/spreadsheetml/2009/9/main" uri="{725AE2AE-9491-48be-B2B4-4EB974FC3084}">
      <x14:pivotCacheDefinition pivotCacheId="1611208352"/>
    </ext>
  </extLst>
</pivotCacheDefinition>
</file>

<file path=xl/pivotCache/pivotCacheRecords1.xml><?xml version="1.0" encoding="utf-8"?>
<pivotCacheRecords xmlns="http://schemas.openxmlformats.org/spreadsheetml/2006/main" xmlns:r="http://schemas.openxmlformats.org/officeDocument/2006/relationships" count="500">
  <r>
    <s v="EV-0001"/>
    <x v="0"/>
    <s v="ChargePoint"/>
    <s v="Type2 AC"/>
    <s v="Decommissioned"/>
    <d v="2025-10-16T00:00:00"/>
    <n v="112.18"/>
    <n v="1164.33"/>
    <x v="0"/>
    <x v="0"/>
    <x v="0"/>
    <x v="0"/>
    <s v="Type2 Ac"/>
    <x v="0"/>
    <x v="0"/>
    <x v="0"/>
    <x v="0"/>
    <x v="0"/>
    <x v="0"/>
    <x v="0"/>
    <x v="0"/>
    <x v="0"/>
    <x v="0"/>
  </r>
  <r>
    <s v="EV-0002"/>
    <x v="1"/>
    <s v="ChargePoint"/>
    <s v="CHAdeMO"/>
    <s v="Active"/>
    <d v="2024-04-24T00:00:00"/>
    <n v="1786.55"/>
    <n v="24143.48"/>
    <x v="1"/>
    <x v="1"/>
    <x v="0"/>
    <x v="0"/>
    <s v="Chademo"/>
    <x v="1"/>
    <x v="1"/>
    <x v="1"/>
    <x v="1"/>
    <x v="0"/>
    <x v="1"/>
    <x v="0"/>
    <x v="1"/>
    <x v="1"/>
    <x v="1"/>
  </r>
  <r>
    <s v="EV-0003"/>
    <x v="2"/>
    <s v="Charge Point"/>
    <s v="Type2 AC"/>
    <s v="Maintenance"/>
    <d v="2024-01-26T00:00:00"/>
    <n v="2840.65"/>
    <n v="28037.81"/>
    <x v="2"/>
    <x v="2"/>
    <x v="1"/>
    <x v="1"/>
    <s v="Type2 Ac"/>
    <x v="0"/>
    <x v="2"/>
    <x v="2"/>
    <x v="2"/>
    <x v="0"/>
    <x v="2"/>
    <x v="0"/>
    <x v="0"/>
    <x v="1"/>
    <x v="0"/>
  </r>
  <r>
    <s v="EV-0004"/>
    <x v="3"/>
    <s v="Zeon Charging"/>
    <s v="CHAdeMO"/>
    <s v="Active"/>
    <d v="2026-01-29T00:00:00"/>
    <n v="8446.73"/>
    <n v="67725.52"/>
    <x v="3"/>
    <x v="3"/>
    <x v="2"/>
    <x v="2"/>
    <s v="Chademo"/>
    <x v="1"/>
    <x v="1"/>
    <x v="1"/>
    <x v="3"/>
    <x v="0"/>
    <x v="3"/>
    <x v="0"/>
    <x v="1"/>
    <x v="2"/>
    <x v="1"/>
  </r>
  <r>
    <s v="EV-0005"/>
    <x v="4"/>
    <s v="Ather Grid"/>
    <s v="Type2 AC"/>
    <s v="Maintenance"/>
    <m/>
    <n v="532.26"/>
    <n v="6963.22"/>
    <x v="4"/>
    <x v="4"/>
    <x v="3"/>
    <x v="3"/>
    <s v="Type2 Ac"/>
    <x v="0"/>
    <x v="2"/>
    <x v="2"/>
    <x v="4"/>
    <x v="1"/>
    <x v="4"/>
    <x v="0"/>
    <x v="0"/>
    <x v="3"/>
    <x v="0"/>
  </r>
  <r>
    <s v="EV-0006"/>
    <x v="5"/>
    <s v="Zeon Charging"/>
    <s v="Type2 AC"/>
    <s v="Active"/>
    <d v="2024-09-07T00:00:00"/>
    <n v="914.32"/>
    <n v="12674.61"/>
    <x v="5"/>
    <x v="4"/>
    <x v="2"/>
    <x v="2"/>
    <s v="Type2 Ac"/>
    <x v="0"/>
    <x v="1"/>
    <x v="1"/>
    <x v="5"/>
    <x v="0"/>
    <x v="5"/>
    <x v="0"/>
    <x v="0"/>
    <x v="1"/>
    <x v="0"/>
  </r>
  <r>
    <s v="EV-0007"/>
    <x v="4"/>
    <s v="Ather Grid"/>
    <s v="Type2 AC"/>
    <s v="Maintenance"/>
    <d v="2024-08-16T00:00:00"/>
    <n v="1170.73"/>
    <n v="14118.38"/>
    <x v="4"/>
    <x v="4"/>
    <x v="3"/>
    <x v="3"/>
    <s v="Type2 Ac"/>
    <x v="0"/>
    <x v="2"/>
    <x v="2"/>
    <x v="4"/>
    <x v="0"/>
    <x v="6"/>
    <x v="0"/>
    <x v="0"/>
    <x v="1"/>
    <x v="0"/>
  </r>
  <r>
    <s v="EV-0008"/>
    <x v="6"/>
    <s v="Zeon Charging"/>
    <s v="Bharat DC-001"/>
    <s v="Active"/>
    <d v="2024-05-22T00:00:00"/>
    <n v="6854.04"/>
    <n v="86495.14"/>
    <x v="6"/>
    <x v="5"/>
    <x v="2"/>
    <x v="2"/>
    <s v="Bharat Dc-001"/>
    <x v="2"/>
    <x v="1"/>
    <x v="1"/>
    <x v="6"/>
    <x v="0"/>
    <x v="7"/>
    <x v="0"/>
    <x v="1"/>
    <x v="1"/>
    <x v="2"/>
  </r>
  <r>
    <s v="EV-0009"/>
    <x v="3"/>
    <s v="Zeon Charging"/>
    <s v="Bharat DC-001"/>
    <s v="Active"/>
    <d v="2026-01-24T00:00:00"/>
    <n v="5442.55"/>
    <n v="76504.97"/>
    <x v="3"/>
    <x v="3"/>
    <x v="2"/>
    <x v="2"/>
    <s v="Bharat Dc-001"/>
    <x v="2"/>
    <x v="1"/>
    <x v="1"/>
    <x v="3"/>
    <x v="0"/>
    <x v="8"/>
    <x v="0"/>
    <x v="1"/>
    <x v="2"/>
    <x v="2"/>
  </r>
  <r>
    <s v="EV-0010"/>
    <x v="2"/>
    <s v="bpcl"/>
    <s v="CCS2"/>
    <s v="Inactive"/>
    <d v="2024-04-14T00:00:00"/>
    <n v="20.91"/>
    <n v="232.64"/>
    <x v="2"/>
    <x v="2"/>
    <x v="4"/>
    <x v="4"/>
    <s v="Ccs2"/>
    <x v="3"/>
    <x v="3"/>
    <x v="3"/>
    <x v="2"/>
    <x v="0"/>
    <x v="9"/>
    <x v="1"/>
    <x v="2"/>
    <x v="1"/>
    <x v="3"/>
  </r>
  <r>
    <s v="EV-0011"/>
    <x v="4"/>
    <s v="Zeon Charging"/>
    <s v="CCS2"/>
    <s v="Active"/>
    <d v="2025-11-23T00:00:00"/>
    <n v="4693.49"/>
    <n v="53460.68"/>
    <x v="4"/>
    <x v="4"/>
    <x v="2"/>
    <x v="2"/>
    <s v="Ccs2"/>
    <x v="3"/>
    <x v="1"/>
    <x v="1"/>
    <x v="4"/>
    <x v="0"/>
    <x v="10"/>
    <x v="0"/>
    <x v="2"/>
    <x v="0"/>
    <x v="3"/>
  </r>
  <r>
    <s v="EV-0012"/>
    <x v="1"/>
    <s v="Tata Power"/>
    <s v="CHAdeMO"/>
    <s v="Active"/>
    <d v="2026-01-28T00:00:00"/>
    <n v="11230.51"/>
    <n v="115978.37"/>
    <x v="1"/>
    <x v="1"/>
    <x v="5"/>
    <x v="5"/>
    <s v="Chademo"/>
    <x v="1"/>
    <x v="1"/>
    <x v="1"/>
    <x v="1"/>
    <x v="0"/>
    <x v="11"/>
    <x v="1"/>
    <x v="1"/>
    <x v="2"/>
    <x v="1"/>
  </r>
  <r>
    <s v="EV-0013"/>
    <x v="7"/>
    <s v="bpcl"/>
    <s v="Bharat DC-001"/>
    <s v="Active"/>
    <d v="2025-07-12T00:00:00"/>
    <n v="11680.26"/>
    <n v="155815.94"/>
    <x v="7"/>
    <x v="6"/>
    <x v="4"/>
    <x v="4"/>
    <s v="Bharat Dc-001"/>
    <x v="2"/>
    <x v="1"/>
    <x v="1"/>
    <x v="7"/>
    <x v="0"/>
    <x v="12"/>
    <x v="1"/>
    <x v="1"/>
    <x v="0"/>
    <x v="2"/>
  </r>
  <r>
    <s v="EV-0014"/>
    <x v="8"/>
    <s v="Zeon Charging"/>
    <s v="CHAdeMO"/>
    <s v="Active"/>
    <d v="2024-03-30T00:00:00"/>
    <n v="958.79"/>
    <n v="10201.98"/>
    <x v="8"/>
    <x v="7"/>
    <x v="2"/>
    <x v="2"/>
    <s v="Chademo"/>
    <x v="1"/>
    <x v="1"/>
    <x v="1"/>
    <x v="8"/>
    <x v="0"/>
    <x v="13"/>
    <x v="0"/>
    <x v="1"/>
    <x v="1"/>
    <x v="1"/>
  </r>
  <r>
    <s v="EV-0015"/>
    <x v="9"/>
    <s v="ChargePoint"/>
    <s v="CCS2"/>
    <s v="Active"/>
    <d v="2025-08-27T00:00:00"/>
    <m/>
    <n v="67053.03"/>
    <x v="9"/>
    <x v="8"/>
    <x v="0"/>
    <x v="0"/>
    <s v="Ccs2"/>
    <x v="3"/>
    <x v="1"/>
    <x v="1"/>
    <x v="9"/>
    <x v="0"/>
    <x v="14"/>
    <x v="0"/>
    <x v="2"/>
    <x v="0"/>
    <x v="3"/>
  </r>
  <r>
    <s v="EV-0016"/>
    <x v="10"/>
    <s v="Tata Power"/>
    <s v="CHAdeMO"/>
    <s v="Active"/>
    <d v="2025-03-08T00:00:00"/>
    <n v="8343.77"/>
    <n v="117540.46"/>
    <x v="10"/>
    <x v="8"/>
    <x v="5"/>
    <x v="5"/>
    <s v="Chademo"/>
    <x v="1"/>
    <x v="1"/>
    <x v="1"/>
    <x v="10"/>
    <x v="0"/>
    <x v="15"/>
    <x v="1"/>
    <x v="1"/>
    <x v="0"/>
    <x v="1"/>
  </r>
  <r>
    <s v="EV-0017"/>
    <x v="9"/>
    <s v="Tata Power"/>
    <s v="CCS2"/>
    <s v="Active"/>
    <d v="2024-02-02T00:00:00"/>
    <n v="8169.73"/>
    <n v="121446.49"/>
    <x v="9"/>
    <x v="8"/>
    <x v="5"/>
    <x v="5"/>
    <s v="Ccs2"/>
    <x v="3"/>
    <x v="1"/>
    <x v="1"/>
    <x v="11"/>
    <x v="0"/>
    <x v="16"/>
    <x v="1"/>
    <x v="2"/>
    <x v="1"/>
    <x v="3"/>
  </r>
  <r>
    <s v="EV-0018"/>
    <x v="3"/>
    <s v="Tata Power"/>
    <s v="Bharat DC-001"/>
    <s v="Active"/>
    <d v="2024-01-31T00:00:00"/>
    <n v="4567.3"/>
    <n v="44173.279999999999"/>
    <x v="3"/>
    <x v="3"/>
    <x v="5"/>
    <x v="5"/>
    <s v="Bharat Dc-001"/>
    <x v="2"/>
    <x v="1"/>
    <x v="1"/>
    <x v="3"/>
    <x v="0"/>
    <x v="17"/>
    <x v="1"/>
    <x v="1"/>
    <x v="1"/>
    <x v="2"/>
  </r>
  <r>
    <s v="EV-0019"/>
    <x v="0"/>
    <s v="bpcl"/>
    <s v="Type2 AC"/>
    <s v="Maintenance"/>
    <d v="2024-04-05T00:00:00"/>
    <n v="1723.66"/>
    <n v="18410.060000000001"/>
    <x v="0"/>
    <x v="0"/>
    <x v="4"/>
    <x v="4"/>
    <s v="Type2 Ac"/>
    <x v="0"/>
    <x v="2"/>
    <x v="2"/>
    <x v="0"/>
    <x v="0"/>
    <x v="18"/>
    <x v="1"/>
    <x v="0"/>
    <x v="1"/>
    <x v="0"/>
  </r>
  <r>
    <s v="EV-0020"/>
    <x v="9"/>
    <s v="Zeon Charging"/>
    <s v="Bharat DC-001"/>
    <s v="Active"/>
    <d v="2024-08-11T00:00:00"/>
    <n v="10559.2"/>
    <n v="147745.29"/>
    <x v="9"/>
    <x v="8"/>
    <x v="2"/>
    <x v="2"/>
    <s v="Bharat Dc-001"/>
    <x v="2"/>
    <x v="1"/>
    <x v="1"/>
    <x v="11"/>
    <x v="0"/>
    <x v="19"/>
    <x v="0"/>
    <x v="1"/>
    <x v="1"/>
    <x v="2"/>
  </r>
  <r>
    <s v="EV-0021"/>
    <x v="3"/>
    <s v="Zeon Charging"/>
    <s v="CHAdeMO"/>
    <s v="Active"/>
    <d v="2024-08-26T00:00:00"/>
    <n v="11699.13"/>
    <n v="127233.02"/>
    <x v="3"/>
    <x v="3"/>
    <x v="2"/>
    <x v="2"/>
    <s v="Chademo"/>
    <x v="1"/>
    <x v="1"/>
    <x v="1"/>
    <x v="3"/>
    <x v="0"/>
    <x v="20"/>
    <x v="0"/>
    <x v="1"/>
    <x v="1"/>
    <x v="1"/>
  </r>
  <r>
    <s v="EV-0022"/>
    <x v="4"/>
    <s v="ChargePoint"/>
    <s v="CHAdeMO"/>
    <s v="Active"/>
    <d v="2025-06-01T00:00:00"/>
    <n v="9118.99"/>
    <n v="93262.05"/>
    <x v="4"/>
    <x v="4"/>
    <x v="0"/>
    <x v="0"/>
    <s v="Chademo"/>
    <x v="1"/>
    <x v="1"/>
    <x v="1"/>
    <x v="4"/>
    <x v="0"/>
    <x v="21"/>
    <x v="0"/>
    <x v="1"/>
    <x v="0"/>
    <x v="1"/>
  </r>
  <r>
    <s v="EV-0023"/>
    <x v="9"/>
    <s v="ChargePoint"/>
    <s v="Bharat DC-001"/>
    <s v="Active"/>
    <d v="2025-09-08T00:00:00"/>
    <m/>
    <n v="126073.72"/>
    <x v="9"/>
    <x v="8"/>
    <x v="0"/>
    <x v="0"/>
    <s v="Bharat Dc-001"/>
    <x v="2"/>
    <x v="1"/>
    <x v="1"/>
    <x v="11"/>
    <x v="0"/>
    <x v="22"/>
    <x v="0"/>
    <x v="1"/>
    <x v="0"/>
    <x v="2"/>
  </r>
  <r>
    <s v="EV-0024"/>
    <x v="8"/>
    <s v="Tata Power"/>
    <s v="Bharat DC-001"/>
    <s v="Maintenance"/>
    <d v="2024-01-28T00:00:00"/>
    <n v="786.54"/>
    <n v="11321.47"/>
    <x v="8"/>
    <x v="7"/>
    <x v="5"/>
    <x v="5"/>
    <s v="Bharat Dc-001"/>
    <x v="2"/>
    <x v="2"/>
    <x v="2"/>
    <x v="8"/>
    <x v="0"/>
    <x v="23"/>
    <x v="1"/>
    <x v="1"/>
    <x v="1"/>
    <x v="2"/>
  </r>
  <r>
    <s v="EV-0025"/>
    <x v="0"/>
    <s v="ChargePoint"/>
    <s v="CCS2"/>
    <s v="Active"/>
    <d v="2025-07-28T00:00:00"/>
    <n v="2368.77"/>
    <n v="25271.5"/>
    <x v="0"/>
    <x v="0"/>
    <x v="0"/>
    <x v="0"/>
    <s v="Ccs2"/>
    <x v="3"/>
    <x v="1"/>
    <x v="1"/>
    <x v="9"/>
    <x v="0"/>
    <x v="24"/>
    <x v="0"/>
    <x v="2"/>
    <x v="0"/>
    <x v="3"/>
  </r>
  <r>
    <s v="EV-0026"/>
    <x v="11"/>
    <s v="bpcl"/>
    <s v="CHAdeMO"/>
    <s v="Active"/>
    <d v="2024-07-22T00:00:00"/>
    <n v="9698.7000000000007"/>
    <n v="144693.92000000001"/>
    <x v="11"/>
    <x v="6"/>
    <x v="4"/>
    <x v="4"/>
    <s v="Chademo"/>
    <x v="1"/>
    <x v="1"/>
    <x v="1"/>
    <x v="12"/>
    <x v="0"/>
    <x v="25"/>
    <x v="1"/>
    <x v="1"/>
    <x v="1"/>
    <x v="1"/>
  </r>
  <r>
    <s v="EV-0027"/>
    <x v="9"/>
    <s v="Zeon Charging"/>
    <s v="CHAdeMO"/>
    <s v="Inactive"/>
    <d v="2026-01-03T00:00:00"/>
    <n v="88.53"/>
    <n v="1199.29"/>
    <x v="9"/>
    <x v="8"/>
    <x v="2"/>
    <x v="2"/>
    <s v="Chademo"/>
    <x v="1"/>
    <x v="3"/>
    <x v="3"/>
    <x v="11"/>
    <x v="0"/>
    <x v="26"/>
    <x v="0"/>
    <x v="1"/>
    <x v="2"/>
    <x v="1"/>
  </r>
  <r>
    <s v="EV-0028"/>
    <x v="3"/>
    <s v="Tata Power"/>
    <s v="Bharat DC-001"/>
    <s v="Inactive"/>
    <d v="2025-10-27T00:00:00"/>
    <n v="206.15"/>
    <n v="2590.1"/>
    <x v="3"/>
    <x v="3"/>
    <x v="5"/>
    <x v="5"/>
    <s v="Bharat Dc-001"/>
    <x v="2"/>
    <x v="3"/>
    <x v="3"/>
    <x v="3"/>
    <x v="0"/>
    <x v="27"/>
    <x v="1"/>
    <x v="1"/>
    <x v="0"/>
    <x v="2"/>
  </r>
  <r>
    <s v="EV-0029"/>
    <x v="3"/>
    <s v="Charge Point"/>
    <s v="Type2 AC"/>
    <s v="Active"/>
    <d v="2025-12-19T00:00:00"/>
    <n v="2562.65"/>
    <n v="23229.75"/>
    <x v="3"/>
    <x v="3"/>
    <x v="1"/>
    <x v="1"/>
    <s v="Type2 Ac"/>
    <x v="0"/>
    <x v="1"/>
    <x v="1"/>
    <x v="3"/>
    <x v="0"/>
    <x v="28"/>
    <x v="0"/>
    <x v="0"/>
    <x v="0"/>
    <x v="0"/>
  </r>
  <r>
    <s v="EV-0030"/>
    <x v="4"/>
    <s v="bpcl"/>
    <s v="CHAdeMO"/>
    <s v="Inactive"/>
    <d v="2025-07-12T00:00:00"/>
    <n v="462.24"/>
    <n v="6819.78"/>
    <x v="4"/>
    <x v="4"/>
    <x v="4"/>
    <x v="4"/>
    <s v="Chademo"/>
    <x v="1"/>
    <x v="3"/>
    <x v="3"/>
    <x v="4"/>
    <x v="0"/>
    <x v="12"/>
    <x v="1"/>
    <x v="1"/>
    <x v="0"/>
    <x v="1"/>
  </r>
  <r>
    <s v="EV-0031"/>
    <x v="3"/>
    <s v="Bharat Petroleum"/>
    <s v="Type2 AC"/>
    <s v="Decommissioned"/>
    <m/>
    <n v="156.47999999999999"/>
    <n v="1390.13"/>
    <x v="3"/>
    <x v="3"/>
    <x v="6"/>
    <x v="6"/>
    <s v="Type2 Ac"/>
    <x v="0"/>
    <x v="0"/>
    <x v="0"/>
    <x v="3"/>
    <x v="1"/>
    <x v="4"/>
    <x v="0"/>
    <x v="0"/>
    <x v="3"/>
    <x v="0"/>
  </r>
  <r>
    <s v="EV-0032"/>
    <x v="4"/>
    <s v="ChargePoint"/>
    <s v="Bharat DC-001"/>
    <s v="Active"/>
    <d v="2024-08-13T00:00:00"/>
    <n v="5234.7"/>
    <n v="77250.960000000006"/>
    <x v="4"/>
    <x v="4"/>
    <x v="0"/>
    <x v="0"/>
    <s v="Bharat Dc-001"/>
    <x v="2"/>
    <x v="1"/>
    <x v="1"/>
    <x v="4"/>
    <x v="0"/>
    <x v="29"/>
    <x v="0"/>
    <x v="1"/>
    <x v="1"/>
    <x v="2"/>
  </r>
  <r>
    <s v="EV-0033"/>
    <x v="5"/>
    <s v="Zeon Charging"/>
    <s v="Bharat DC-001"/>
    <s v="Inactive"/>
    <d v="2025-04-04T00:00:00"/>
    <n v="334.95"/>
    <n v="3458.01"/>
    <x v="5"/>
    <x v="4"/>
    <x v="2"/>
    <x v="2"/>
    <s v="Bharat Dc-001"/>
    <x v="2"/>
    <x v="3"/>
    <x v="3"/>
    <x v="5"/>
    <x v="0"/>
    <x v="30"/>
    <x v="0"/>
    <x v="1"/>
    <x v="0"/>
    <x v="2"/>
  </r>
  <r>
    <s v="EV-0034"/>
    <x v="1"/>
    <m/>
    <s v="CCS2"/>
    <s v="Inactive"/>
    <d v="2025-08-26T00:00:00"/>
    <n v="367.53"/>
    <n v="3198.45"/>
    <x v="1"/>
    <x v="1"/>
    <x v="7"/>
    <x v="7"/>
    <s v="Ccs2"/>
    <x v="3"/>
    <x v="3"/>
    <x v="3"/>
    <x v="1"/>
    <x v="0"/>
    <x v="31"/>
    <x v="0"/>
    <x v="2"/>
    <x v="0"/>
    <x v="3"/>
  </r>
  <r>
    <s v="EV-0035"/>
    <x v="1"/>
    <s v="Tata Power"/>
    <s v="CHAdeMO"/>
    <s v="Active"/>
    <d v="2024-10-11T00:00:00"/>
    <n v="3353.92"/>
    <n v="46670.720000000001"/>
    <x v="1"/>
    <x v="1"/>
    <x v="5"/>
    <x v="5"/>
    <s v="Chademo"/>
    <x v="1"/>
    <x v="1"/>
    <x v="1"/>
    <x v="1"/>
    <x v="0"/>
    <x v="32"/>
    <x v="1"/>
    <x v="1"/>
    <x v="1"/>
    <x v="1"/>
  </r>
  <r>
    <s v="EV-0036"/>
    <x v="7"/>
    <s v="ChargePoint"/>
    <s v="Type2 AC"/>
    <s v="Active"/>
    <d v="2026-04-08T00:00:00"/>
    <n v="2330.7800000000002"/>
    <n v="20273.080000000002"/>
    <x v="7"/>
    <x v="6"/>
    <x v="0"/>
    <x v="0"/>
    <s v="Type2 Ac"/>
    <x v="0"/>
    <x v="1"/>
    <x v="1"/>
    <x v="7"/>
    <x v="0"/>
    <x v="33"/>
    <x v="0"/>
    <x v="0"/>
    <x v="2"/>
    <x v="0"/>
  </r>
  <r>
    <s v="EV-0037"/>
    <x v="9"/>
    <s v="bpcl"/>
    <s v="CCS2"/>
    <s v="Active"/>
    <d v="2024-01-07T00:00:00"/>
    <n v="8564.7000000000007"/>
    <n v="123101.22"/>
    <x v="9"/>
    <x v="8"/>
    <x v="4"/>
    <x v="4"/>
    <s v="Ccs2"/>
    <x v="3"/>
    <x v="1"/>
    <x v="1"/>
    <x v="11"/>
    <x v="0"/>
    <x v="34"/>
    <x v="1"/>
    <x v="2"/>
    <x v="1"/>
    <x v="3"/>
  </r>
  <r>
    <s v="EV-0038"/>
    <x v="4"/>
    <s v="ChargePoint"/>
    <s v="CHAdeMO"/>
    <s v="Maintenance"/>
    <d v="2026-02-16T00:00:00"/>
    <n v="1209.3699999999999"/>
    <n v="9804.89"/>
    <x v="4"/>
    <x v="4"/>
    <x v="0"/>
    <x v="0"/>
    <s v="Chademo"/>
    <x v="1"/>
    <x v="2"/>
    <x v="2"/>
    <x v="4"/>
    <x v="0"/>
    <x v="35"/>
    <x v="0"/>
    <x v="1"/>
    <x v="2"/>
    <x v="1"/>
  </r>
  <r>
    <s v="EV-0039"/>
    <x v="2"/>
    <s v="Zeon Charging"/>
    <s v="CCS2"/>
    <s v="Decommissioned"/>
    <d v="2026-04-05T00:00:00"/>
    <n v="7.74"/>
    <n v="69.73"/>
    <x v="2"/>
    <x v="2"/>
    <x v="2"/>
    <x v="2"/>
    <s v="Ccs2"/>
    <x v="3"/>
    <x v="0"/>
    <x v="0"/>
    <x v="2"/>
    <x v="0"/>
    <x v="36"/>
    <x v="0"/>
    <x v="2"/>
    <x v="2"/>
    <x v="3"/>
  </r>
  <r>
    <s v="EV-0040"/>
    <x v="0"/>
    <s v="Ather Grid"/>
    <s v="Bharat DC-001"/>
    <s v="Inactive"/>
    <d v="2024-06-12T00:00:00"/>
    <n v="235.35"/>
    <n v="3317.62"/>
    <x v="0"/>
    <x v="0"/>
    <x v="3"/>
    <x v="3"/>
    <s v="Bharat Dc-001"/>
    <x v="2"/>
    <x v="3"/>
    <x v="3"/>
    <x v="0"/>
    <x v="0"/>
    <x v="37"/>
    <x v="0"/>
    <x v="1"/>
    <x v="1"/>
    <x v="2"/>
  </r>
  <r>
    <s v="EV-0041"/>
    <x v="4"/>
    <s v="ChargePoint"/>
    <s v="CHAdeMO"/>
    <s v="Active"/>
    <d v="2025-12-15T00:00:00"/>
    <n v="2795.09"/>
    <n v="41338.54"/>
    <x v="4"/>
    <x v="4"/>
    <x v="0"/>
    <x v="0"/>
    <s v="Chademo"/>
    <x v="1"/>
    <x v="1"/>
    <x v="1"/>
    <x v="4"/>
    <x v="0"/>
    <x v="38"/>
    <x v="0"/>
    <x v="1"/>
    <x v="0"/>
    <x v="1"/>
  </r>
  <r>
    <s v="EV-0042"/>
    <x v="0"/>
    <s v="Zeon Charging"/>
    <s v="CCS2"/>
    <s v="Active"/>
    <d v="2025-08-03T00:00:00"/>
    <n v="11062.2"/>
    <n v="94291.96"/>
    <x v="0"/>
    <x v="0"/>
    <x v="2"/>
    <x v="2"/>
    <s v="Ccs2"/>
    <x v="3"/>
    <x v="1"/>
    <x v="1"/>
    <x v="0"/>
    <x v="0"/>
    <x v="39"/>
    <x v="0"/>
    <x v="2"/>
    <x v="0"/>
    <x v="3"/>
  </r>
  <r>
    <s v="EV-0043"/>
    <x v="4"/>
    <s v="Zeon Charging"/>
    <s v="CCS2"/>
    <s v="Active"/>
    <d v="2024-12-14T00:00:00"/>
    <n v="4521.07"/>
    <n v="60901.87"/>
    <x v="4"/>
    <x v="4"/>
    <x v="2"/>
    <x v="2"/>
    <s v="Ccs2"/>
    <x v="3"/>
    <x v="1"/>
    <x v="1"/>
    <x v="4"/>
    <x v="0"/>
    <x v="40"/>
    <x v="0"/>
    <x v="2"/>
    <x v="1"/>
    <x v="3"/>
  </r>
  <r>
    <s v="EV-0044"/>
    <x v="6"/>
    <s v="bpcl"/>
    <s v="Type2 AC"/>
    <s v="Active"/>
    <d v="2024-10-11T00:00:00"/>
    <n v="9936.17"/>
    <n v="97922.54"/>
    <x v="6"/>
    <x v="5"/>
    <x v="4"/>
    <x v="4"/>
    <s v="Type2 Ac"/>
    <x v="0"/>
    <x v="1"/>
    <x v="1"/>
    <x v="6"/>
    <x v="0"/>
    <x v="32"/>
    <x v="1"/>
    <x v="0"/>
    <x v="1"/>
    <x v="0"/>
  </r>
  <r>
    <s v="EV-0045"/>
    <x v="9"/>
    <s v="Zeon Charging"/>
    <s v="CCS2"/>
    <s v="Active"/>
    <d v="2024-06-08T00:00:00"/>
    <n v="10520.21"/>
    <n v="130059.42"/>
    <x v="9"/>
    <x v="8"/>
    <x v="2"/>
    <x v="2"/>
    <s v="Ccs2"/>
    <x v="3"/>
    <x v="1"/>
    <x v="1"/>
    <x v="11"/>
    <x v="0"/>
    <x v="41"/>
    <x v="0"/>
    <x v="2"/>
    <x v="1"/>
    <x v="3"/>
  </r>
  <r>
    <s v="EV-0046"/>
    <x v="2"/>
    <s v="Zeon Charging"/>
    <s v="CHAdeMO"/>
    <s v="Maintenance"/>
    <d v="2024-08-08T00:00:00"/>
    <m/>
    <m/>
    <x v="2"/>
    <x v="2"/>
    <x v="2"/>
    <x v="2"/>
    <s v="Chademo"/>
    <x v="1"/>
    <x v="2"/>
    <x v="2"/>
    <x v="2"/>
    <x v="0"/>
    <x v="42"/>
    <x v="0"/>
    <x v="1"/>
    <x v="1"/>
    <x v="1"/>
  </r>
  <r>
    <s v="EV-0047"/>
    <x v="9"/>
    <s v="Zeon Charging"/>
    <s v="CHAdeMO"/>
    <s v="Active"/>
    <d v="2026-02-20T00:00:00"/>
    <n v="8090.38"/>
    <n v="69271.509999999995"/>
    <x v="9"/>
    <x v="8"/>
    <x v="2"/>
    <x v="2"/>
    <s v="Chademo"/>
    <x v="1"/>
    <x v="1"/>
    <x v="1"/>
    <x v="11"/>
    <x v="0"/>
    <x v="43"/>
    <x v="0"/>
    <x v="1"/>
    <x v="2"/>
    <x v="1"/>
  </r>
  <r>
    <s v="EV-0048"/>
    <x v="3"/>
    <s v="Zeon Charging"/>
    <s v="Type2 AC"/>
    <s v="Maintenance"/>
    <d v="2024-12-10T00:00:00"/>
    <n v="1255.55"/>
    <n v="12932.11"/>
    <x v="3"/>
    <x v="3"/>
    <x v="2"/>
    <x v="2"/>
    <s v="Type2 Ac"/>
    <x v="0"/>
    <x v="2"/>
    <x v="2"/>
    <x v="3"/>
    <x v="0"/>
    <x v="44"/>
    <x v="0"/>
    <x v="0"/>
    <x v="1"/>
    <x v="0"/>
  </r>
  <r>
    <s v="EV-0049"/>
    <x v="3"/>
    <s v="Tata Power"/>
    <s v="CHAdeMO"/>
    <s v="Active"/>
    <d v="2024-04-14T00:00:00"/>
    <n v="3703.94"/>
    <m/>
    <x v="3"/>
    <x v="3"/>
    <x v="5"/>
    <x v="5"/>
    <s v="Chademo"/>
    <x v="1"/>
    <x v="1"/>
    <x v="1"/>
    <x v="3"/>
    <x v="0"/>
    <x v="9"/>
    <x v="1"/>
    <x v="1"/>
    <x v="1"/>
    <x v="1"/>
  </r>
  <r>
    <s v="EV-0050"/>
    <x v="9"/>
    <s v="Tata Power"/>
    <s v="Bharat DC-001"/>
    <s v="Active"/>
    <d v="2024-04-04T00:00:00"/>
    <n v="1298.3399999999999"/>
    <n v="15236.48"/>
    <x v="9"/>
    <x v="8"/>
    <x v="5"/>
    <x v="5"/>
    <s v="Bharat Dc-001"/>
    <x v="2"/>
    <x v="1"/>
    <x v="1"/>
    <x v="11"/>
    <x v="0"/>
    <x v="45"/>
    <x v="1"/>
    <x v="1"/>
    <x v="1"/>
    <x v="2"/>
  </r>
  <r>
    <s v="EV-0051"/>
    <x v="1"/>
    <s v="bpcl"/>
    <s v="CHAdeMO"/>
    <s v="Active"/>
    <d v="2025-01-24T00:00:00"/>
    <n v="9393.26"/>
    <n v="137883.45000000001"/>
    <x v="1"/>
    <x v="1"/>
    <x v="4"/>
    <x v="4"/>
    <s v="Chademo"/>
    <x v="1"/>
    <x v="1"/>
    <x v="1"/>
    <x v="1"/>
    <x v="0"/>
    <x v="46"/>
    <x v="1"/>
    <x v="1"/>
    <x v="0"/>
    <x v="1"/>
  </r>
  <r>
    <s v="EV-0052"/>
    <x v="7"/>
    <s v="ChargePoint"/>
    <s v="CHAdeMO"/>
    <s v="Active"/>
    <d v="2024-04-09T00:00:00"/>
    <n v="4538.18"/>
    <n v="56217.13"/>
    <x v="7"/>
    <x v="6"/>
    <x v="0"/>
    <x v="0"/>
    <s v="Chademo"/>
    <x v="1"/>
    <x v="1"/>
    <x v="1"/>
    <x v="7"/>
    <x v="0"/>
    <x v="47"/>
    <x v="0"/>
    <x v="1"/>
    <x v="1"/>
    <x v="1"/>
  </r>
  <r>
    <s v="EV-0053"/>
    <x v="1"/>
    <s v="Zeon Charging"/>
    <s v="CCS2"/>
    <s v="Decommissioned"/>
    <d v="2025-01-02T00:00:00"/>
    <n v="101.88"/>
    <n v="1447.93"/>
    <x v="1"/>
    <x v="1"/>
    <x v="2"/>
    <x v="2"/>
    <s v="Ccs2"/>
    <x v="3"/>
    <x v="0"/>
    <x v="0"/>
    <x v="1"/>
    <x v="0"/>
    <x v="48"/>
    <x v="0"/>
    <x v="2"/>
    <x v="0"/>
    <x v="3"/>
  </r>
  <r>
    <s v="EV-0054"/>
    <x v="6"/>
    <s v="ChargePoint"/>
    <s v="CCS2"/>
    <s v="Active"/>
    <d v="2026-05-17T00:00:00"/>
    <n v="8314.4599999999991"/>
    <n v="94914.82"/>
    <x v="6"/>
    <x v="5"/>
    <x v="0"/>
    <x v="0"/>
    <s v="Ccs2"/>
    <x v="3"/>
    <x v="1"/>
    <x v="1"/>
    <x v="6"/>
    <x v="0"/>
    <x v="49"/>
    <x v="0"/>
    <x v="2"/>
    <x v="2"/>
    <x v="3"/>
  </r>
  <r>
    <s v="EV-0055"/>
    <x v="3"/>
    <s v="ChargePoint"/>
    <s v="CHAdeMO"/>
    <s v="Maintenance"/>
    <d v="2024-12-18T00:00:00"/>
    <n v="2546.62"/>
    <n v="30017.3"/>
    <x v="3"/>
    <x v="3"/>
    <x v="0"/>
    <x v="0"/>
    <s v="Chademo"/>
    <x v="1"/>
    <x v="2"/>
    <x v="2"/>
    <x v="3"/>
    <x v="0"/>
    <x v="50"/>
    <x v="0"/>
    <x v="1"/>
    <x v="1"/>
    <x v="1"/>
  </r>
  <r>
    <s v="EV-0056"/>
    <x v="6"/>
    <s v="bpcl"/>
    <s v="Type2 AC"/>
    <s v="Active"/>
    <d v="2025-09-10T00:00:00"/>
    <n v="4308.22"/>
    <n v="53086.82"/>
    <x v="6"/>
    <x v="5"/>
    <x v="4"/>
    <x v="4"/>
    <s v="Type2 Ac"/>
    <x v="0"/>
    <x v="1"/>
    <x v="1"/>
    <x v="6"/>
    <x v="0"/>
    <x v="51"/>
    <x v="1"/>
    <x v="0"/>
    <x v="0"/>
    <x v="0"/>
  </r>
  <r>
    <s v="EV-0057"/>
    <x v="4"/>
    <s v="Zeon Charging"/>
    <s v="CCS2"/>
    <s v="Maintenance"/>
    <d v="2024-09-27T00:00:00"/>
    <n v="180.04"/>
    <n v="1736.2"/>
    <x v="4"/>
    <x v="4"/>
    <x v="2"/>
    <x v="2"/>
    <s v="Ccs2"/>
    <x v="3"/>
    <x v="2"/>
    <x v="2"/>
    <x v="4"/>
    <x v="0"/>
    <x v="52"/>
    <x v="0"/>
    <x v="2"/>
    <x v="1"/>
    <x v="3"/>
  </r>
  <r>
    <s v="EV-0058"/>
    <x v="9"/>
    <s v="Zeon Charging"/>
    <s v="Type2 AC"/>
    <s v="Active"/>
    <d v="2026-04-06T00:00:00"/>
    <n v="10585.94"/>
    <n v="135402.60999999999"/>
    <x v="9"/>
    <x v="8"/>
    <x v="2"/>
    <x v="2"/>
    <s v="Type2 Ac"/>
    <x v="0"/>
    <x v="1"/>
    <x v="1"/>
    <x v="11"/>
    <x v="0"/>
    <x v="53"/>
    <x v="0"/>
    <x v="0"/>
    <x v="2"/>
    <x v="0"/>
  </r>
  <r>
    <s v="EV-0059"/>
    <x v="4"/>
    <s v="Ather Grid"/>
    <s v="CHAdeMO"/>
    <s v="Maintenance"/>
    <d v="2024-02-14T00:00:00"/>
    <n v="857.52"/>
    <n v="8585.19"/>
    <x v="4"/>
    <x v="4"/>
    <x v="3"/>
    <x v="3"/>
    <s v="Chademo"/>
    <x v="1"/>
    <x v="2"/>
    <x v="2"/>
    <x v="4"/>
    <x v="0"/>
    <x v="54"/>
    <x v="0"/>
    <x v="1"/>
    <x v="1"/>
    <x v="1"/>
  </r>
  <r>
    <s v="EV-0060"/>
    <x v="9"/>
    <s v="ChargePoint"/>
    <s v="CHAdeMO"/>
    <s v="Inactive"/>
    <d v="2026-01-17T00:00:00"/>
    <n v="290.29000000000002"/>
    <n v="2784.58"/>
    <x v="9"/>
    <x v="8"/>
    <x v="0"/>
    <x v="0"/>
    <s v="Chademo"/>
    <x v="1"/>
    <x v="3"/>
    <x v="3"/>
    <x v="11"/>
    <x v="0"/>
    <x v="55"/>
    <x v="0"/>
    <x v="1"/>
    <x v="2"/>
    <x v="1"/>
  </r>
  <r>
    <s v="EV-0061"/>
    <x v="0"/>
    <s v="ChargePoint"/>
    <s v="Bharat DC-001"/>
    <s v="Active"/>
    <d v="2025-04-15T00:00:00"/>
    <n v="11810.83"/>
    <n v="101958.82"/>
    <x v="0"/>
    <x v="0"/>
    <x v="0"/>
    <x v="0"/>
    <s v="Bharat Dc-001"/>
    <x v="2"/>
    <x v="1"/>
    <x v="1"/>
    <x v="0"/>
    <x v="0"/>
    <x v="56"/>
    <x v="0"/>
    <x v="1"/>
    <x v="0"/>
    <x v="2"/>
  </r>
  <r>
    <s v="EV-0062"/>
    <x v="9"/>
    <s v="Tata Power"/>
    <s v="CCS2"/>
    <s v="Active"/>
    <d v="2025-07-03T00:00:00"/>
    <n v="939.96"/>
    <n v="13956.87"/>
    <x v="9"/>
    <x v="8"/>
    <x v="5"/>
    <x v="5"/>
    <s v="Ccs2"/>
    <x v="3"/>
    <x v="1"/>
    <x v="1"/>
    <x v="11"/>
    <x v="0"/>
    <x v="57"/>
    <x v="1"/>
    <x v="2"/>
    <x v="0"/>
    <x v="3"/>
  </r>
  <r>
    <s v="EV-0063"/>
    <x v="7"/>
    <s v="Ather Grid"/>
    <s v="CHAdeMO"/>
    <s v="Maintenance"/>
    <d v="2024-05-07T00:00:00"/>
    <n v="1830.06"/>
    <n v="24381.14"/>
    <x v="7"/>
    <x v="6"/>
    <x v="3"/>
    <x v="3"/>
    <s v="Chademo"/>
    <x v="1"/>
    <x v="2"/>
    <x v="2"/>
    <x v="7"/>
    <x v="0"/>
    <x v="58"/>
    <x v="0"/>
    <x v="1"/>
    <x v="1"/>
    <x v="1"/>
  </r>
  <r>
    <s v="EV-0064"/>
    <x v="9"/>
    <s v="Tata Power"/>
    <s v="Bharat DC-001"/>
    <s v="Decommissioned"/>
    <d v="2025-01-22T00:00:00"/>
    <n v="69.14"/>
    <n v="893.79"/>
    <x v="9"/>
    <x v="8"/>
    <x v="5"/>
    <x v="5"/>
    <s v="Bharat Dc-001"/>
    <x v="2"/>
    <x v="0"/>
    <x v="0"/>
    <x v="11"/>
    <x v="0"/>
    <x v="59"/>
    <x v="1"/>
    <x v="1"/>
    <x v="0"/>
    <x v="2"/>
  </r>
  <r>
    <s v="EV-0065"/>
    <x v="9"/>
    <s v="Tata Power"/>
    <s v="CCS2"/>
    <s v="Active"/>
    <d v="2024-03-21T00:00:00"/>
    <n v="9543.92"/>
    <n v="83065.990000000005"/>
    <x v="9"/>
    <x v="8"/>
    <x v="5"/>
    <x v="5"/>
    <s v="Ccs2"/>
    <x v="3"/>
    <x v="1"/>
    <x v="1"/>
    <x v="11"/>
    <x v="0"/>
    <x v="60"/>
    <x v="1"/>
    <x v="2"/>
    <x v="1"/>
    <x v="3"/>
  </r>
  <r>
    <s v="EV-0066"/>
    <x v="3"/>
    <s v="Tata Power"/>
    <s v="CHAdeMO"/>
    <s v="Inactive"/>
    <d v="2025-07-19T00:00:00"/>
    <n v="218.2"/>
    <n v="1999.71"/>
    <x v="3"/>
    <x v="3"/>
    <x v="5"/>
    <x v="5"/>
    <s v="Chademo"/>
    <x v="1"/>
    <x v="3"/>
    <x v="3"/>
    <x v="3"/>
    <x v="0"/>
    <x v="61"/>
    <x v="1"/>
    <x v="1"/>
    <x v="0"/>
    <x v="1"/>
  </r>
  <r>
    <s v="EV-0067"/>
    <x v="4"/>
    <s v="bpcl"/>
    <s v="CHAdeMO"/>
    <s v="Maintenance"/>
    <d v="2024-10-27T00:00:00"/>
    <m/>
    <n v="29827.19"/>
    <x v="4"/>
    <x v="4"/>
    <x v="4"/>
    <x v="4"/>
    <s v="Chademo"/>
    <x v="1"/>
    <x v="2"/>
    <x v="2"/>
    <x v="4"/>
    <x v="0"/>
    <x v="62"/>
    <x v="1"/>
    <x v="1"/>
    <x v="1"/>
    <x v="1"/>
  </r>
  <r>
    <s v="EV-0068"/>
    <x v="7"/>
    <s v="bpcl"/>
    <s v="CCS2"/>
    <s v="Maintenance"/>
    <d v="2026-04-29T00:00:00"/>
    <n v="435.37"/>
    <n v="3571.18"/>
    <x v="7"/>
    <x v="6"/>
    <x v="4"/>
    <x v="4"/>
    <s v="Ccs2"/>
    <x v="3"/>
    <x v="2"/>
    <x v="2"/>
    <x v="7"/>
    <x v="0"/>
    <x v="63"/>
    <x v="1"/>
    <x v="2"/>
    <x v="2"/>
    <x v="3"/>
  </r>
  <r>
    <s v="EV-0069"/>
    <x v="4"/>
    <s v="Tata Power"/>
    <s v="CCS2"/>
    <s v="Decommissioned"/>
    <d v="2025-10-05T00:00:00"/>
    <n v="179.9"/>
    <n v="1847.69"/>
    <x v="4"/>
    <x v="4"/>
    <x v="5"/>
    <x v="5"/>
    <s v="Ccs2"/>
    <x v="3"/>
    <x v="0"/>
    <x v="0"/>
    <x v="4"/>
    <x v="0"/>
    <x v="64"/>
    <x v="1"/>
    <x v="2"/>
    <x v="0"/>
    <x v="3"/>
  </r>
  <r>
    <s v="EV-0070"/>
    <x v="1"/>
    <s v="Ather Grid"/>
    <s v="CCS2"/>
    <s v="Inactive"/>
    <d v="2025-09-25T00:00:00"/>
    <n v="95.04"/>
    <n v="797.66"/>
    <x v="1"/>
    <x v="1"/>
    <x v="3"/>
    <x v="3"/>
    <s v="Ccs2"/>
    <x v="3"/>
    <x v="3"/>
    <x v="3"/>
    <x v="1"/>
    <x v="0"/>
    <x v="65"/>
    <x v="0"/>
    <x v="2"/>
    <x v="0"/>
    <x v="3"/>
  </r>
  <r>
    <s v="EV-0071"/>
    <x v="7"/>
    <s v="ChargePoint"/>
    <s v="CHAdeMO"/>
    <s v="Active"/>
    <d v="2025-01-05T00:00:00"/>
    <n v="1010.45"/>
    <n v="10619.06"/>
    <x v="7"/>
    <x v="6"/>
    <x v="0"/>
    <x v="0"/>
    <s v="Chademo"/>
    <x v="1"/>
    <x v="1"/>
    <x v="1"/>
    <x v="7"/>
    <x v="0"/>
    <x v="66"/>
    <x v="0"/>
    <x v="1"/>
    <x v="0"/>
    <x v="1"/>
  </r>
  <r>
    <s v="EV-0072"/>
    <x v="9"/>
    <s v="Ather Grid"/>
    <s v="CHAdeMO"/>
    <s v="Active"/>
    <d v="2025-08-14T00:00:00"/>
    <n v="5514.66"/>
    <n v="60742.92"/>
    <x v="9"/>
    <x v="8"/>
    <x v="3"/>
    <x v="3"/>
    <s v="Chademo"/>
    <x v="1"/>
    <x v="1"/>
    <x v="1"/>
    <x v="11"/>
    <x v="0"/>
    <x v="67"/>
    <x v="0"/>
    <x v="1"/>
    <x v="0"/>
    <x v="1"/>
  </r>
  <r>
    <s v="EV-0073"/>
    <x v="4"/>
    <s v="Zeon Charging"/>
    <s v="Bharat DC-001"/>
    <s v="Active"/>
    <d v="2024-07-15T00:00:00"/>
    <n v="6479.08"/>
    <n v="62907.86"/>
    <x v="4"/>
    <x v="4"/>
    <x v="2"/>
    <x v="2"/>
    <s v="Bharat Dc-001"/>
    <x v="2"/>
    <x v="1"/>
    <x v="1"/>
    <x v="4"/>
    <x v="0"/>
    <x v="68"/>
    <x v="0"/>
    <x v="1"/>
    <x v="1"/>
    <x v="2"/>
  </r>
  <r>
    <s v="EV-0074"/>
    <x v="7"/>
    <s v="bpcl"/>
    <s v="Type2 AC"/>
    <s v="Inactive"/>
    <d v="2025-12-22T00:00:00"/>
    <n v="403.26"/>
    <n v="4389.2299999999996"/>
    <x v="7"/>
    <x v="6"/>
    <x v="4"/>
    <x v="4"/>
    <s v="Type2 Ac"/>
    <x v="0"/>
    <x v="3"/>
    <x v="3"/>
    <x v="7"/>
    <x v="0"/>
    <x v="69"/>
    <x v="1"/>
    <x v="0"/>
    <x v="0"/>
    <x v="0"/>
  </r>
  <r>
    <s v="EV-0075"/>
    <x v="2"/>
    <s v="ChargePoint"/>
    <s v="CCS2"/>
    <m/>
    <d v="2024-03-12T00:00:00"/>
    <n v="343.43"/>
    <n v="4386.49"/>
    <x v="2"/>
    <x v="2"/>
    <x v="0"/>
    <x v="0"/>
    <s v="Ccs2"/>
    <x v="3"/>
    <x v="4"/>
    <x v="4"/>
    <x v="2"/>
    <x v="0"/>
    <x v="70"/>
    <x v="0"/>
    <x v="2"/>
    <x v="1"/>
    <x v="3"/>
  </r>
  <r>
    <s v="EV-0076"/>
    <x v="2"/>
    <s v="ChargePoint"/>
    <s v="CHAdeMO"/>
    <s v="Active"/>
    <d v="2024-02-16T00:00:00"/>
    <n v="11313.03"/>
    <n v="104763.16"/>
    <x v="2"/>
    <x v="2"/>
    <x v="0"/>
    <x v="0"/>
    <s v="Chademo"/>
    <x v="1"/>
    <x v="1"/>
    <x v="1"/>
    <x v="2"/>
    <x v="0"/>
    <x v="71"/>
    <x v="0"/>
    <x v="1"/>
    <x v="1"/>
    <x v="1"/>
  </r>
  <r>
    <s v="EV-0077"/>
    <x v="7"/>
    <s v="Zeon Charging"/>
    <s v="CHAdeMO"/>
    <s v="Maintenance"/>
    <d v="2025-11-08T00:00:00"/>
    <n v="2237.41"/>
    <n v="20641.189999999999"/>
    <x v="7"/>
    <x v="6"/>
    <x v="2"/>
    <x v="2"/>
    <s v="Chademo"/>
    <x v="1"/>
    <x v="2"/>
    <x v="2"/>
    <x v="7"/>
    <x v="0"/>
    <x v="72"/>
    <x v="0"/>
    <x v="1"/>
    <x v="0"/>
    <x v="1"/>
  </r>
  <r>
    <s v="EV-0078"/>
    <x v="8"/>
    <s v="Zeon Charging"/>
    <s v="CCS2"/>
    <s v="Inactive"/>
    <d v="2024-08-21T00:00:00"/>
    <n v="98.52"/>
    <n v="1208.49"/>
    <x v="8"/>
    <x v="7"/>
    <x v="2"/>
    <x v="2"/>
    <s v="Ccs2"/>
    <x v="3"/>
    <x v="3"/>
    <x v="3"/>
    <x v="8"/>
    <x v="0"/>
    <x v="73"/>
    <x v="0"/>
    <x v="2"/>
    <x v="1"/>
    <x v="3"/>
  </r>
  <r>
    <s v="EV-0079"/>
    <x v="9"/>
    <s v="Tata Power"/>
    <s v="Type2 AC"/>
    <s v="Active"/>
    <d v="2026-03-02T00:00:00"/>
    <n v="5459.92"/>
    <n v="58299.99"/>
    <x v="9"/>
    <x v="8"/>
    <x v="5"/>
    <x v="5"/>
    <s v="Type2 Ac"/>
    <x v="0"/>
    <x v="1"/>
    <x v="1"/>
    <x v="9"/>
    <x v="0"/>
    <x v="74"/>
    <x v="1"/>
    <x v="0"/>
    <x v="2"/>
    <x v="0"/>
  </r>
  <r>
    <s v="EV-0080"/>
    <x v="4"/>
    <s v="bpcl"/>
    <s v="CCS2"/>
    <s v="Active"/>
    <d v="2024-10-23T00:00:00"/>
    <n v="11412.06"/>
    <n v="145868.29"/>
    <x v="4"/>
    <x v="4"/>
    <x v="4"/>
    <x v="4"/>
    <s v="Ccs2"/>
    <x v="3"/>
    <x v="1"/>
    <x v="1"/>
    <x v="4"/>
    <x v="0"/>
    <x v="75"/>
    <x v="1"/>
    <x v="2"/>
    <x v="1"/>
    <x v="3"/>
  </r>
  <r>
    <s v="EV-0081"/>
    <x v="6"/>
    <s v="bpcl"/>
    <s v="Type2 AC"/>
    <s v="Active"/>
    <d v="2024-03-22T00:00:00"/>
    <m/>
    <n v="127340.82"/>
    <x v="6"/>
    <x v="5"/>
    <x v="4"/>
    <x v="4"/>
    <s v="Type2 Ac"/>
    <x v="0"/>
    <x v="1"/>
    <x v="1"/>
    <x v="6"/>
    <x v="0"/>
    <x v="76"/>
    <x v="1"/>
    <x v="0"/>
    <x v="1"/>
    <x v="0"/>
  </r>
  <r>
    <s v="EV-0082"/>
    <x v="3"/>
    <s v="Ather Grid"/>
    <s v="CHAdeMO"/>
    <s v="Active"/>
    <d v="2024-08-26T00:00:00"/>
    <n v="7666.29"/>
    <n v="92624.88"/>
    <x v="3"/>
    <x v="3"/>
    <x v="3"/>
    <x v="3"/>
    <s v="Chademo"/>
    <x v="1"/>
    <x v="1"/>
    <x v="1"/>
    <x v="3"/>
    <x v="0"/>
    <x v="20"/>
    <x v="0"/>
    <x v="1"/>
    <x v="1"/>
    <x v="1"/>
  </r>
  <r>
    <s v="EV-0083"/>
    <x v="9"/>
    <s v="Tata Power"/>
    <s v="Type2 AC"/>
    <s v="Active"/>
    <d v="2024-04-13T00:00:00"/>
    <n v="8128.96"/>
    <n v="78243.83"/>
    <x v="9"/>
    <x v="8"/>
    <x v="5"/>
    <x v="5"/>
    <s v="Type2 Ac"/>
    <x v="0"/>
    <x v="1"/>
    <x v="1"/>
    <x v="11"/>
    <x v="0"/>
    <x v="77"/>
    <x v="1"/>
    <x v="0"/>
    <x v="1"/>
    <x v="0"/>
  </r>
  <r>
    <s v="EV-0084"/>
    <x v="4"/>
    <s v="Tata Power"/>
    <s v="Bharat DC-001"/>
    <s v="Active"/>
    <d v="2025-01-24T00:00:00"/>
    <n v="1933.19"/>
    <n v="24097.86"/>
    <x v="4"/>
    <x v="4"/>
    <x v="5"/>
    <x v="5"/>
    <s v="Bharat Dc-001"/>
    <x v="2"/>
    <x v="1"/>
    <x v="1"/>
    <x v="4"/>
    <x v="0"/>
    <x v="46"/>
    <x v="1"/>
    <x v="1"/>
    <x v="0"/>
    <x v="2"/>
  </r>
  <r>
    <s v="EV-0085"/>
    <x v="9"/>
    <s v="Tata Power"/>
    <s v="CHAdeMO"/>
    <s v="Active"/>
    <d v="2024-10-11T00:00:00"/>
    <n v="10850.54"/>
    <n v="121710.44"/>
    <x v="9"/>
    <x v="8"/>
    <x v="5"/>
    <x v="5"/>
    <s v="Chademo"/>
    <x v="1"/>
    <x v="1"/>
    <x v="1"/>
    <x v="11"/>
    <x v="0"/>
    <x v="32"/>
    <x v="1"/>
    <x v="1"/>
    <x v="1"/>
    <x v="1"/>
  </r>
  <r>
    <s v="EV-0086"/>
    <x v="9"/>
    <s v="Tata Power"/>
    <s v="Bharat DC-001"/>
    <s v="Active"/>
    <d v="2025-04-09T00:00:00"/>
    <m/>
    <n v="80211.91"/>
    <x v="9"/>
    <x v="8"/>
    <x v="5"/>
    <x v="5"/>
    <s v="Bharat Dc-001"/>
    <x v="2"/>
    <x v="1"/>
    <x v="1"/>
    <x v="11"/>
    <x v="0"/>
    <x v="78"/>
    <x v="1"/>
    <x v="1"/>
    <x v="0"/>
    <x v="2"/>
  </r>
  <r>
    <s v="EV-0087"/>
    <x v="2"/>
    <s v="bpcl"/>
    <s v="CCS2"/>
    <s v="Active"/>
    <d v="2025-10-12T00:00:00"/>
    <n v="8169.27"/>
    <n v="116758.15"/>
    <x v="2"/>
    <x v="2"/>
    <x v="4"/>
    <x v="4"/>
    <s v="Ccs2"/>
    <x v="3"/>
    <x v="1"/>
    <x v="1"/>
    <x v="2"/>
    <x v="0"/>
    <x v="79"/>
    <x v="1"/>
    <x v="2"/>
    <x v="0"/>
    <x v="3"/>
  </r>
  <r>
    <s v="EV-0088"/>
    <x v="2"/>
    <s v="bpcl"/>
    <s v="CCS2"/>
    <s v="Active"/>
    <d v="2026-05-04T00:00:00"/>
    <n v="4251.1000000000004"/>
    <n v="47853.67"/>
    <x v="2"/>
    <x v="2"/>
    <x v="4"/>
    <x v="4"/>
    <s v="Ccs2"/>
    <x v="3"/>
    <x v="1"/>
    <x v="1"/>
    <x v="2"/>
    <x v="0"/>
    <x v="80"/>
    <x v="1"/>
    <x v="2"/>
    <x v="2"/>
    <x v="3"/>
  </r>
  <r>
    <s v="EV-0089"/>
    <x v="6"/>
    <s v="Tata Power"/>
    <s v="CCS2"/>
    <s v="Inactive"/>
    <d v="2025-01-08T00:00:00"/>
    <n v="348.6"/>
    <n v="3490.68"/>
    <x v="6"/>
    <x v="5"/>
    <x v="5"/>
    <x v="5"/>
    <s v="Ccs2"/>
    <x v="3"/>
    <x v="3"/>
    <x v="3"/>
    <x v="6"/>
    <x v="0"/>
    <x v="81"/>
    <x v="1"/>
    <x v="2"/>
    <x v="0"/>
    <x v="3"/>
  </r>
  <r>
    <s v="EV-0090"/>
    <x v="0"/>
    <s v="Ather Grid"/>
    <s v="Type2 AC"/>
    <s v="Active"/>
    <d v="2024-06-15T00:00:00"/>
    <n v="6875.74"/>
    <n v="81313.789999999994"/>
    <x v="0"/>
    <x v="0"/>
    <x v="3"/>
    <x v="3"/>
    <s v="Type2 Ac"/>
    <x v="0"/>
    <x v="1"/>
    <x v="1"/>
    <x v="0"/>
    <x v="0"/>
    <x v="82"/>
    <x v="0"/>
    <x v="0"/>
    <x v="1"/>
    <x v="0"/>
  </r>
  <r>
    <s v="EV-0091"/>
    <x v="4"/>
    <s v="ChargePoint"/>
    <s v="CHAdeMO"/>
    <s v="Maintenance"/>
    <d v="2025-01-14T00:00:00"/>
    <n v="656.34"/>
    <n v="5590.07"/>
    <x v="4"/>
    <x v="4"/>
    <x v="0"/>
    <x v="0"/>
    <s v="Chademo"/>
    <x v="1"/>
    <x v="2"/>
    <x v="2"/>
    <x v="4"/>
    <x v="0"/>
    <x v="83"/>
    <x v="0"/>
    <x v="1"/>
    <x v="0"/>
    <x v="1"/>
  </r>
  <r>
    <s v="EV-0092"/>
    <x v="2"/>
    <s v="ChargePoint"/>
    <s v="CCS2"/>
    <s v="Decommissioned"/>
    <d v="2024-12-29T00:00:00"/>
    <n v="132.99"/>
    <n v="1943.87"/>
    <x v="2"/>
    <x v="2"/>
    <x v="0"/>
    <x v="0"/>
    <s v="Ccs2"/>
    <x v="3"/>
    <x v="0"/>
    <x v="0"/>
    <x v="2"/>
    <x v="0"/>
    <x v="84"/>
    <x v="0"/>
    <x v="2"/>
    <x v="1"/>
    <x v="3"/>
  </r>
  <r>
    <s v="EV-0093"/>
    <x v="7"/>
    <s v="Ather Grid"/>
    <s v="CCS2"/>
    <s v="Active"/>
    <d v="2024-08-02T00:00:00"/>
    <n v="4860.17"/>
    <n v="72482.45"/>
    <x v="7"/>
    <x v="6"/>
    <x v="3"/>
    <x v="3"/>
    <s v="Ccs2"/>
    <x v="3"/>
    <x v="1"/>
    <x v="1"/>
    <x v="7"/>
    <x v="0"/>
    <x v="85"/>
    <x v="0"/>
    <x v="2"/>
    <x v="1"/>
    <x v="3"/>
  </r>
  <r>
    <s v="EV-0094"/>
    <x v="3"/>
    <s v="Tata Power"/>
    <s v="CHAdeMO"/>
    <s v="Active"/>
    <d v="2025-11-17T00:00:00"/>
    <n v="9103.5499999999993"/>
    <n v="91891.96"/>
    <x v="3"/>
    <x v="3"/>
    <x v="5"/>
    <x v="5"/>
    <s v="Chademo"/>
    <x v="1"/>
    <x v="1"/>
    <x v="1"/>
    <x v="3"/>
    <x v="0"/>
    <x v="86"/>
    <x v="1"/>
    <x v="1"/>
    <x v="0"/>
    <x v="1"/>
  </r>
  <r>
    <s v="EV-0095"/>
    <x v="7"/>
    <s v="B.P.C.L"/>
    <s v="CCS2"/>
    <s v="Active"/>
    <d v="2024-09-30T00:00:00"/>
    <n v="2501.31"/>
    <n v="36854.81"/>
    <x v="7"/>
    <x v="6"/>
    <x v="8"/>
    <x v="8"/>
    <s v="Ccs2"/>
    <x v="3"/>
    <x v="1"/>
    <x v="1"/>
    <x v="7"/>
    <x v="0"/>
    <x v="87"/>
    <x v="0"/>
    <x v="2"/>
    <x v="1"/>
    <x v="3"/>
  </r>
  <r>
    <s v="EV-0096"/>
    <x v="0"/>
    <s v="ChargePoint"/>
    <s v="Bharat DC-001"/>
    <s v="Active"/>
    <d v="2025-12-19T00:00:00"/>
    <n v="7044.71"/>
    <n v="90399.09"/>
    <x v="0"/>
    <x v="0"/>
    <x v="0"/>
    <x v="0"/>
    <s v="Bharat Dc-001"/>
    <x v="2"/>
    <x v="1"/>
    <x v="1"/>
    <x v="0"/>
    <x v="0"/>
    <x v="28"/>
    <x v="0"/>
    <x v="1"/>
    <x v="0"/>
    <x v="2"/>
  </r>
  <r>
    <s v="EV-0097"/>
    <x v="3"/>
    <s v="Zeon Charging"/>
    <s v="CHAdeMO"/>
    <s v="Active"/>
    <d v="2025-11-30T00:00:00"/>
    <m/>
    <n v="57891.32"/>
    <x v="3"/>
    <x v="3"/>
    <x v="2"/>
    <x v="2"/>
    <s v="Chademo"/>
    <x v="1"/>
    <x v="1"/>
    <x v="1"/>
    <x v="3"/>
    <x v="0"/>
    <x v="88"/>
    <x v="0"/>
    <x v="1"/>
    <x v="0"/>
    <x v="1"/>
  </r>
  <r>
    <s v="EV-0098"/>
    <x v="0"/>
    <s v="Zeon Charging"/>
    <s v="CHAdeMO"/>
    <s v="Active"/>
    <d v="2025-10-25T00:00:00"/>
    <n v="10087.84"/>
    <n v="102037.01"/>
    <x v="0"/>
    <x v="0"/>
    <x v="2"/>
    <x v="2"/>
    <s v="Chademo"/>
    <x v="1"/>
    <x v="1"/>
    <x v="1"/>
    <x v="0"/>
    <x v="0"/>
    <x v="89"/>
    <x v="0"/>
    <x v="1"/>
    <x v="0"/>
    <x v="1"/>
  </r>
  <r>
    <s v="EV-0099"/>
    <x v="4"/>
    <s v="Ather Grid"/>
    <s v="CHAdeMO"/>
    <s v="Active"/>
    <d v="2024-03-14T00:00:00"/>
    <n v="3994.56"/>
    <n v="59900.88"/>
    <x v="4"/>
    <x v="4"/>
    <x v="3"/>
    <x v="3"/>
    <s v="Chademo"/>
    <x v="1"/>
    <x v="1"/>
    <x v="1"/>
    <x v="4"/>
    <x v="0"/>
    <x v="90"/>
    <x v="0"/>
    <x v="1"/>
    <x v="1"/>
    <x v="1"/>
  </r>
  <r>
    <s v="EV-0100"/>
    <x v="4"/>
    <s v="Tata Power"/>
    <s v="Bharat DC-001"/>
    <s v="Active"/>
    <d v="2025-09-15T00:00:00"/>
    <n v="2917.1"/>
    <n v="40761.65"/>
    <x v="4"/>
    <x v="4"/>
    <x v="5"/>
    <x v="5"/>
    <s v="Bharat Dc-001"/>
    <x v="2"/>
    <x v="1"/>
    <x v="1"/>
    <x v="4"/>
    <x v="0"/>
    <x v="91"/>
    <x v="1"/>
    <x v="1"/>
    <x v="0"/>
    <x v="2"/>
  </r>
  <r>
    <s v="EV-0101"/>
    <x v="4"/>
    <s v="ChargePoint"/>
    <s v="CHAdeMO"/>
    <s v="Active"/>
    <d v="2025-10-12T00:00:00"/>
    <n v="9536.23"/>
    <n v="83409.33"/>
    <x v="4"/>
    <x v="4"/>
    <x v="0"/>
    <x v="0"/>
    <s v="Chademo"/>
    <x v="1"/>
    <x v="1"/>
    <x v="1"/>
    <x v="4"/>
    <x v="0"/>
    <x v="79"/>
    <x v="0"/>
    <x v="1"/>
    <x v="0"/>
    <x v="1"/>
  </r>
  <r>
    <s v="EV-0102"/>
    <x v="2"/>
    <s v="Tata Power"/>
    <s v="Bharat DC-001"/>
    <s v="Inactive"/>
    <d v="2024-06-24T00:00:00"/>
    <n v="303.33"/>
    <n v="3236.39"/>
    <x v="2"/>
    <x v="2"/>
    <x v="5"/>
    <x v="5"/>
    <s v="Bharat Dc-001"/>
    <x v="2"/>
    <x v="3"/>
    <x v="3"/>
    <x v="2"/>
    <x v="0"/>
    <x v="92"/>
    <x v="1"/>
    <x v="1"/>
    <x v="1"/>
    <x v="2"/>
  </r>
  <r>
    <s v="EV-0103"/>
    <x v="9"/>
    <s v="ChargePoint"/>
    <s v="CHAdeMO"/>
    <s v="Active"/>
    <d v="2025-06-30T00:00:00"/>
    <n v="4205.87"/>
    <n v="44215.11"/>
    <x v="9"/>
    <x v="8"/>
    <x v="0"/>
    <x v="0"/>
    <s v="Chademo"/>
    <x v="1"/>
    <x v="1"/>
    <x v="1"/>
    <x v="11"/>
    <x v="0"/>
    <x v="93"/>
    <x v="0"/>
    <x v="1"/>
    <x v="0"/>
    <x v="1"/>
  </r>
  <r>
    <s v="EV-0104"/>
    <x v="0"/>
    <s v="Ather Grid"/>
    <s v="Type2 AC"/>
    <s v="Active"/>
    <d v="2026-01-16T00:00:00"/>
    <n v="5580.54"/>
    <n v="56202.21"/>
    <x v="0"/>
    <x v="0"/>
    <x v="3"/>
    <x v="3"/>
    <s v="Type2 Ac"/>
    <x v="0"/>
    <x v="1"/>
    <x v="1"/>
    <x v="0"/>
    <x v="0"/>
    <x v="94"/>
    <x v="0"/>
    <x v="0"/>
    <x v="2"/>
    <x v="0"/>
  </r>
  <r>
    <s v="EV-0105"/>
    <x v="8"/>
    <m/>
    <s v="CCS2"/>
    <s v="Active"/>
    <d v="2024-09-07T00:00:00"/>
    <n v="8269.7099999999991"/>
    <n v="106637.53"/>
    <x v="8"/>
    <x v="7"/>
    <x v="7"/>
    <x v="7"/>
    <s v="Ccs2"/>
    <x v="3"/>
    <x v="1"/>
    <x v="1"/>
    <x v="8"/>
    <x v="0"/>
    <x v="5"/>
    <x v="0"/>
    <x v="2"/>
    <x v="1"/>
    <x v="3"/>
  </r>
  <r>
    <s v="EV-0106"/>
    <x v="9"/>
    <s v="Zeon Charging"/>
    <s v="Type2 AC"/>
    <s v="Decommissioned"/>
    <d v="2024-06-16T00:00:00"/>
    <n v="102.23"/>
    <n v="833.54"/>
    <x v="9"/>
    <x v="8"/>
    <x v="2"/>
    <x v="2"/>
    <s v="Type2 Ac"/>
    <x v="0"/>
    <x v="0"/>
    <x v="0"/>
    <x v="9"/>
    <x v="0"/>
    <x v="95"/>
    <x v="0"/>
    <x v="0"/>
    <x v="1"/>
    <x v="0"/>
  </r>
  <r>
    <s v="EV-0107"/>
    <x v="0"/>
    <s v="Tata Power"/>
    <s v="CCS2"/>
    <s v="Active"/>
    <d v="2025-04-18T00:00:00"/>
    <n v="9627.9599999999991"/>
    <n v="132964.66"/>
    <x v="0"/>
    <x v="0"/>
    <x v="5"/>
    <x v="5"/>
    <s v="Ccs2"/>
    <x v="3"/>
    <x v="1"/>
    <x v="1"/>
    <x v="0"/>
    <x v="0"/>
    <x v="96"/>
    <x v="1"/>
    <x v="2"/>
    <x v="0"/>
    <x v="3"/>
  </r>
  <r>
    <s v="EV-0108"/>
    <x v="7"/>
    <s v="Zeon Charging"/>
    <s v="Bharat DC-001"/>
    <s v="Active"/>
    <d v="2025-01-23T00:00:00"/>
    <n v="11538.07"/>
    <n v="124272.4"/>
    <x v="7"/>
    <x v="6"/>
    <x v="2"/>
    <x v="2"/>
    <s v="Bharat Dc-001"/>
    <x v="2"/>
    <x v="1"/>
    <x v="1"/>
    <x v="7"/>
    <x v="0"/>
    <x v="97"/>
    <x v="0"/>
    <x v="1"/>
    <x v="0"/>
    <x v="2"/>
  </r>
  <r>
    <s v="EV-0109"/>
    <x v="9"/>
    <s v="Tata Power"/>
    <s v="Type2 AC"/>
    <s v="Inactive"/>
    <d v="2024-10-03T00:00:00"/>
    <m/>
    <n v="2964.7"/>
    <x v="9"/>
    <x v="8"/>
    <x v="5"/>
    <x v="5"/>
    <s v="Type2 Ac"/>
    <x v="0"/>
    <x v="3"/>
    <x v="3"/>
    <x v="11"/>
    <x v="0"/>
    <x v="98"/>
    <x v="1"/>
    <x v="0"/>
    <x v="1"/>
    <x v="0"/>
  </r>
  <r>
    <s v="EV-0110"/>
    <x v="4"/>
    <s v="Zeon Charging"/>
    <s v="CHAdeMO"/>
    <s v="Active"/>
    <d v="2025-10-17T00:00:00"/>
    <n v="8076.78"/>
    <n v="113522.95"/>
    <x v="4"/>
    <x v="4"/>
    <x v="2"/>
    <x v="2"/>
    <s v="Chademo"/>
    <x v="1"/>
    <x v="1"/>
    <x v="1"/>
    <x v="4"/>
    <x v="0"/>
    <x v="99"/>
    <x v="0"/>
    <x v="1"/>
    <x v="0"/>
    <x v="1"/>
  </r>
  <r>
    <s v="EV-0111"/>
    <x v="9"/>
    <s v="bpcl"/>
    <s v="CCS2"/>
    <s v="Decommissioned"/>
    <d v="2025-12-05T00:00:00"/>
    <n v="56.76"/>
    <n v="763.32"/>
    <x v="9"/>
    <x v="8"/>
    <x v="4"/>
    <x v="4"/>
    <s v="Ccs2"/>
    <x v="3"/>
    <x v="0"/>
    <x v="0"/>
    <x v="11"/>
    <x v="0"/>
    <x v="100"/>
    <x v="1"/>
    <x v="2"/>
    <x v="0"/>
    <x v="3"/>
  </r>
  <r>
    <s v="EV-0112"/>
    <x v="4"/>
    <s v="bpcl"/>
    <s v="CCS2"/>
    <s v="Inactive"/>
    <d v="2025-07-24T00:00:00"/>
    <n v="331.93"/>
    <n v="4917.62"/>
    <x v="4"/>
    <x v="4"/>
    <x v="4"/>
    <x v="4"/>
    <s v="Ccs2"/>
    <x v="3"/>
    <x v="3"/>
    <x v="3"/>
    <x v="4"/>
    <x v="0"/>
    <x v="101"/>
    <x v="1"/>
    <x v="2"/>
    <x v="0"/>
    <x v="3"/>
  </r>
  <r>
    <s v="EV-0113"/>
    <x v="6"/>
    <s v="bpcl"/>
    <s v="Type2 AC"/>
    <s v="Inactive"/>
    <d v="2024-08-12T00:00:00"/>
    <n v="309.63"/>
    <n v="4450.72"/>
    <x v="6"/>
    <x v="5"/>
    <x v="4"/>
    <x v="4"/>
    <s v="Type2 Ac"/>
    <x v="0"/>
    <x v="3"/>
    <x v="3"/>
    <x v="6"/>
    <x v="0"/>
    <x v="102"/>
    <x v="1"/>
    <x v="0"/>
    <x v="1"/>
    <x v="0"/>
  </r>
  <r>
    <s v="EV-0114"/>
    <x v="7"/>
    <s v="bpcl"/>
    <s v="Bharat DC-001"/>
    <s v="Inactive"/>
    <d v="2025-12-02T00:00:00"/>
    <n v="46.69"/>
    <n v="617.05999999999995"/>
    <x v="7"/>
    <x v="6"/>
    <x v="4"/>
    <x v="4"/>
    <s v="Bharat Dc-001"/>
    <x v="2"/>
    <x v="3"/>
    <x v="3"/>
    <x v="7"/>
    <x v="0"/>
    <x v="103"/>
    <x v="1"/>
    <x v="1"/>
    <x v="0"/>
    <x v="2"/>
  </r>
  <r>
    <s v="EV-0115"/>
    <x v="2"/>
    <s v="ChargePoint"/>
    <s v="Type2 AC"/>
    <s v="Decommissioned"/>
    <d v="2024-11-28T00:00:00"/>
    <n v="190.4"/>
    <n v="2633.21"/>
    <x v="2"/>
    <x v="2"/>
    <x v="0"/>
    <x v="0"/>
    <s v="Type2 Ac"/>
    <x v="0"/>
    <x v="0"/>
    <x v="0"/>
    <x v="2"/>
    <x v="0"/>
    <x v="104"/>
    <x v="0"/>
    <x v="0"/>
    <x v="1"/>
    <x v="0"/>
  </r>
  <r>
    <s v="EV-0116"/>
    <x v="6"/>
    <s v="bpcl"/>
    <s v="Bharat DC-001"/>
    <s v="Maintenance"/>
    <d v="2026-05-13T00:00:00"/>
    <n v="781.12"/>
    <n v="11186.06"/>
    <x v="6"/>
    <x v="5"/>
    <x v="4"/>
    <x v="4"/>
    <s v="Bharat Dc-001"/>
    <x v="2"/>
    <x v="2"/>
    <x v="2"/>
    <x v="6"/>
    <x v="0"/>
    <x v="105"/>
    <x v="1"/>
    <x v="1"/>
    <x v="2"/>
    <x v="2"/>
  </r>
  <r>
    <s v="EV-0117"/>
    <x v="7"/>
    <s v="Ather Grid"/>
    <s v="Bharat DC-001"/>
    <s v="Inactive"/>
    <d v="2026-02-25T00:00:00"/>
    <m/>
    <n v="2084.5"/>
    <x v="7"/>
    <x v="6"/>
    <x v="3"/>
    <x v="3"/>
    <s v="Bharat Dc-001"/>
    <x v="2"/>
    <x v="3"/>
    <x v="3"/>
    <x v="7"/>
    <x v="0"/>
    <x v="106"/>
    <x v="0"/>
    <x v="1"/>
    <x v="2"/>
    <x v="2"/>
  </r>
  <r>
    <s v="EV-0118"/>
    <x v="9"/>
    <s v="Ather Grid"/>
    <s v="CCS2"/>
    <s v="Inactive"/>
    <d v="2026-03-05T00:00:00"/>
    <n v="403.28"/>
    <n v="3875.86"/>
    <x v="9"/>
    <x v="8"/>
    <x v="3"/>
    <x v="3"/>
    <s v="Ccs2"/>
    <x v="3"/>
    <x v="3"/>
    <x v="3"/>
    <x v="11"/>
    <x v="0"/>
    <x v="107"/>
    <x v="0"/>
    <x v="2"/>
    <x v="2"/>
    <x v="3"/>
  </r>
  <r>
    <s v="EV-0119"/>
    <x v="6"/>
    <s v="ChargePoint"/>
    <s v="Type2 AC"/>
    <s v="Active"/>
    <d v="2024-02-27T00:00:00"/>
    <n v="2194.5700000000002"/>
    <n v="29875.83"/>
    <x v="6"/>
    <x v="5"/>
    <x v="0"/>
    <x v="0"/>
    <s v="Type2 Ac"/>
    <x v="0"/>
    <x v="1"/>
    <x v="1"/>
    <x v="6"/>
    <x v="0"/>
    <x v="108"/>
    <x v="0"/>
    <x v="0"/>
    <x v="1"/>
    <x v="0"/>
  </r>
  <r>
    <s v="EV-0120"/>
    <x v="3"/>
    <s v="bpcl"/>
    <s v="Type2 AC"/>
    <s v="Active"/>
    <d v="2024-08-22T00:00:00"/>
    <n v="1031.46"/>
    <n v="9832.94"/>
    <x v="3"/>
    <x v="3"/>
    <x v="4"/>
    <x v="4"/>
    <s v="Type2 Ac"/>
    <x v="0"/>
    <x v="1"/>
    <x v="1"/>
    <x v="3"/>
    <x v="0"/>
    <x v="109"/>
    <x v="1"/>
    <x v="0"/>
    <x v="1"/>
    <x v="0"/>
  </r>
  <r>
    <s v="EV-0121"/>
    <x v="7"/>
    <s v="bpcl"/>
    <s v="Bharat DC-001"/>
    <s v="Active"/>
    <d v="2026-04-21T00:00:00"/>
    <n v="11815.26"/>
    <n v="110247.29"/>
    <x v="7"/>
    <x v="6"/>
    <x v="4"/>
    <x v="4"/>
    <s v="Bharat Dc-001"/>
    <x v="2"/>
    <x v="1"/>
    <x v="1"/>
    <x v="7"/>
    <x v="0"/>
    <x v="110"/>
    <x v="1"/>
    <x v="1"/>
    <x v="2"/>
    <x v="2"/>
  </r>
  <r>
    <s v="EV-0122"/>
    <x v="6"/>
    <s v="B.P.C.L"/>
    <s v="Type2 AC"/>
    <s v="Active"/>
    <d v="2024-02-02T00:00:00"/>
    <n v="7529.65"/>
    <n v="73447.12"/>
    <x v="6"/>
    <x v="5"/>
    <x v="8"/>
    <x v="8"/>
    <s v="Type2 Ac"/>
    <x v="0"/>
    <x v="1"/>
    <x v="1"/>
    <x v="6"/>
    <x v="0"/>
    <x v="16"/>
    <x v="0"/>
    <x v="0"/>
    <x v="1"/>
    <x v="0"/>
  </r>
  <r>
    <s v="EV-0123"/>
    <x v="9"/>
    <s v="Zeon Charging"/>
    <s v="CHAdeMO"/>
    <s v="Active"/>
    <d v="2026-04-04T00:00:00"/>
    <n v="9337.6299999999992"/>
    <n v="124088.15"/>
    <x v="9"/>
    <x v="8"/>
    <x v="2"/>
    <x v="2"/>
    <s v="Chademo"/>
    <x v="1"/>
    <x v="1"/>
    <x v="1"/>
    <x v="11"/>
    <x v="0"/>
    <x v="111"/>
    <x v="0"/>
    <x v="1"/>
    <x v="2"/>
    <x v="1"/>
  </r>
  <r>
    <s v="EV-0124"/>
    <x v="4"/>
    <m/>
    <s v="CHAdeMO"/>
    <s v="Active"/>
    <d v="2024-11-19T00:00:00"/>
    <n v="5737.29"/>
    <n v="76720.740000000005"/>
    <x v="4"/>
    <x v="4"/>
    <x v="7"/>
    <x v="7"/>
    <s v="Chademo"/>
    <x v="1"/>
    <x v="1"/>
    <x v="1"/>
    <x v="4"/>
    <x v="0"/>
    <x v="112"/>
    <x v="0"/>
    <x v="1"/>
    <x v="1"/>
    <x v="1"/>
  </r>
  <r>
    <s v="EV-0125"/>
    <x v="9"/>
    <s v="Zeon Charging"/>
    <s v="Type2 AC"/>
    <s v="Active"/>
    <m/>
    <n v="10690.57"/>
    <n v="136475.66"/>
    <x v="9"/>
    <x v="8"/>
    <x v="2"/>
    <x v="2"/>
    <s v="Type2 Ac"/>
    <x v="0"/>
    <x v="1"/>
    <x v="1"/>
    <x v="11"/>
    <x v="1"/>
    <x v="4"/>
    <x v="0"/>
    <x v="0"/>
    <x v="3"/>
    <x v="0"/>
  </r>
  <r>
    <s v="EV-0126"/>
    <x v="0"/>
    <s v="Tata Power"/>
    <s v="Type2 AC"/>
    <s v="Inactive"/>
    <d v="2024-10-01T00:00:00"/>
    <n v="287.83999999999997"/>
    <m/>
    <x v="0"/>
    <x v="0"/>
    <x v="5"/>
    <x v="5"/>
    <s v="Type2 Ac"/>
    <x v="0"/>
    <x v="3"/>
    <x v="3"/>
    <x v="0"/>
    <x v="0"/>
    <x v="113"/>
    <x v="1"/>
    <x v="0"/>
    <x v="1"/>
    <x v="0"/>
  </r>
  <r>
    <s v="EV-0127"/>
    <x v="7"/>
    <s v="bpcl"/>
    <s v="Bharat DC-001"/>
    <s v="Decommissioned"/>
    <d v="2024-03-08T00:00:00"/>
    <n v="143.66999999999999"/>
    <n v="1247.08"/>
    <x v="7"/>
    <x v="6"/>
    <x v="4"/>
    <x v="4"/>
    <s v="Bharat Dc-001"/>
    <x v="2"/>
    <x v="0"/>
    <x v="0"/>
    <x v="7"/>
    <x v="0"/>
    <x v="114"/>
    <x v="1"/>
    <x v="1"/>
    <x v="1"/>
    <x v="2"/>
  </r>
  <r>
    <s v="EV-0128"/>
    <x v="6"/>
    <s v="bpcl"/>
    <s v="CHAdeMO"/>
    <s v="Active"/>
    <d v="2024-08-04T00:00:00"/>
    <n v="4915.75"/>
    <n v="60916.99"/>
    <x v="6"/>
    <x v="5"/>
    <x v="4"/>
    <x v="4"/>
    <s v="Chademo"/>
    <x v="1"/>
    <x v="1"/>
    <x v="1"/>
    <x v="6"/>
    <x v="0"/>
    <x v="115"/>
    <x v="1"/>
    <x v="1"/>
    <x v="1"/>
    <x v="1"/>
  </r>
  <r>
    <s v="EV-0129"/>
    <x v="4"/>
    <s v="Zeon Charging"/>
    <s v="CHAdeMO"/>
    <s v="Active"/>
    <d v="2025-08-03T00:00:00"/>
    <n v="5096.01"/>
    <n v="42174.36"/>
    <x v="4"/>
    <x v="4"/>
    <x v="2"/>
    <x v="2"/>
    <s v="Chademo"/>
    <x v="1"/>
    <x v="1"/>
    <x v="1"/>
    <x v="4"/>
    <x v="0"/>
    <x v="39"/>
    <x v="0"/>
    <x v="1"/>
    <x v="0"/>
    <x v="1"/>
  </r>
  <r>
    <s v="EV-0130"/>
    <x v="3"/>
    <s v="ZeonCharging"/>
    <s v="CCS2"/>
    <s v="Maintenance"/>
    <d v="2026-01-05T00:00:00"/>
    <n v="527.96"/>
    <n v="7138.16"/>
    <x v="3"/>
    <x v="3"/>
    <x v="9"/>
    <x v="9"/>
    <s v="Ccs2"/>
    <x v="3"/>
    <x v="2"/>
    <x v="2"/>
    <x v="3"/>
    <x v="0"/>
    <x v="116"/>
    <x v="0"/>
    <x v="2"/>
    <x v="2"/>
    <x v="3"/>
  </r>
  <r>
    <s v="EV-0131"/>
    <x v="0"/>
    <s v="Tata Power"/>
    <s v="Bharat DC-001"/>
    <s v="Active"/>
    <s v="18/11/2024"/>
    <n v="8407.66"/>
    <n v="69224.899999999994"/>
    <x v="0"/>
    <x v="0"/>
    <x v="5"/>
    <x v="5"/>
    <s v="Bharat Dc-001"/>
    <x v="2"/>
    <x v="1"/>
    <x v="1"/>
    <x v="0"/>
    <x v="1"/>
    <x v="117"/>
    <x v="1"/>
    <x v="1"/>
    <x v="4"/>
    <x v="2"/>
  </r>
  <r>
    <s v="EV-0132"/>
    <x v="9"/>
    <s v="Ather Grid"/>
    <s v="CCS2"/>
    <s v="Maintenance"/>
    <d v="2024-08-05T00:00:00"/>
    <n v="2688.71"/>
    <n v="28376.720000000001"/>
    <x v="9"/>
    <x v="8"/>
    <x v="3"/>
    <x v="3"/>
    <s v="Ccs2"/>
    <x v="3"/>
    <x v="2"/>
    <x v="2"/>
    <x v="11"/>
    <x v="0"/>
    <x v="118"/>
    <x v="0"/>
    <x v="2"/>
    <x v="1"/>
    <x v="3"/>
  </r>
  <r>
    <s v="EV-0133"/>
    <x v="4"/>
    <s v="Tata Power"/>
    <s v="CHAdeMO"/>
    <s v="Active"/>
    <d v="2025-11-02T00:00:00"/>
    <n v="10395.07"/>
    <n v="92722.8"/>
    <x v="4"/>
    <x v="4"/>
    <x v="5"/>
    <x v="5"/>
    <s v="Chademo"/>
    <x v="1"/>
    <x v="1"/>
    <x v="1"/>
    <x v="4"/>
    <x v="0"/>
    <x v="119"/>
    <x v="1"/>
    <x v="1"/>
    <x v="0"/>
    <x v="1"/>
  </r>
  <r>
    <s v="EV-0134"/>
    <x v="9"/>
    <s v="Zeon Charging"/>
    <s v="Bharat DC-001"/>
    <s v="Active"/>
    <d v="2025-05-26T00:00:00"/>
    <n v="10682.85"/>
    <n v="153484.72"/>
    <x v="9"/>
    <x v="8"/>
    <x v="2"/>
    <x v="2"/>
    <s v="Bharat Dc-001"/>
    <x v="2"/>
    <x v="1"/>
    <x v="1"/>
    <x v="11"/>
    <x v="0"/>
    <x v="120"/>
    <x v="0"/>
    <x v="1"/>
    <x v="0"/>
    <x v="2"/>
  </r>
  <r>
    <s v="EV-0135"/>
    <x v="1"/>
    <s v="Zeon Charging"/>
    <s v="Type2 AC"/>
    <s v="Decommissioned"/>
    <d v="2025-02-09T00:00:00"/>
    <n v="155.68"/>
    <n v="1601.49"/>
    <x v="1"/>
    <x v="1"/>
    <x v="2"/>
    <x v="2"/>
    <s v="Type2 Ac"/>
    <x v="0"/>
    <x v="0"/>
    <x v="0"/>
    <x v="1"/>
    <x v="0"/>
    <x v="121"/>
    <x v="0"/>
    <x v="0"/>
    <x v="0"/>
    <x v="0"/>
  </r>
  <r>
    <s v="EV-0136"/>
    <x v="9"/>
    <s v="ChargePoint"/>
    <s v="Bharat DC-001"/>
    <s v="Active"/>
    <d v="2025-10-20T00:00:00"/>
    <m/>
    <m/>
    <x v="9"/>
    <x v="8"/>
    <x v="0"/>
    <x v="0"/>
    <s v="Bharat Dc-001"/>
    <x v="2"/>
    <x v="1"/>
    <x v="1"/>
    <x v="11"/>
    <x v="0"/>
    <x v="122"/>
    <x v="0"/>
    <x v="1"/>
    <x v="0"/>
    <x v="2"/>
  </r>
  <r>
    <s v="EV-0137"/>
    <x v="3"/>
    <s v="Zeon Charging"/>
    <s v="Type2 AC"/>
    <s v="Inactive"/>
    <d v="2025-04-14T00:00:00"/>
    <m/>
    <m/>
    <x v="3"/>
    <x v="3"/>
    <x v="2"/>
    <x v="2"/>
    <s v="Type2 Ac"/>
    <x v="0"/>
    <x v="3"/>
    <x v="3"/>
    <x v="3"/>
    <x v="0"/>
    <x v="123"/>
    <x v="0"/>
    <x v="0"/>
    <x v="0"/>
    <x v="0"/>
  </r>
  <r>
    <s v="EV-0138"/>
    <x v="2"/>
    <s v="ChargePoint"/>
    <s v="Type2 AC"/>
    <s v="Maintenance"/>
    <d v="2024-05-26T00:00:00"/>
    <n v="2118.14"/>
    <n v="28606.73"/>
    <x v="2"/>
    <x v="2"/>
    <x v="0"/>
    <x v="0"/>
    <s v="Type2 Ac"/>
    <x v="0"/>
    <x v="2"/>
    <x v="2"/>
    <x v="2"/>
    <x v="0"/>
    <x v="124"/>
    <x v="0"/>
    <x v="0"/>
    <x v="1"/>
    <x v="0"/>
  </r>
  <r>
    <s v="EV-0139"/>
    <x v="0"/>
    <s v="Ather Grid"/>
    <s v="Bharat DC-001"/>
    <s v="Active"/>
    <d v="2024-09-28T00:00:00"/>
    <n v="5842.32"/>
    <n v="82582.5"/>
    <x v="0"/>
    <x v="0"/>
    <x v="3"/>
    <x v="3"/>
    <s v="Bharat Dc-001"/>
    <x v="2"/>
    <x v="1"/>
    <x v="1"/>
    <x v="0"/>
    <x v="0"/>
    <x v="125"/>
    <x v="0"/>
    <x v="1"/>
    <x v="1"/>
    <x v="2"/>
  </r>
  <r>
    <s v="EV-0140"/>
    <x v="1"/>
    <s v="Tata Power"/>
    <s v="Type2 AC"/>
    <s v="Inactive"/>
    <d v="2024-05-22T00:00:00"/>
    <n v="278.7"/>
    <n v="2943.35"/>
    <x v="1"/>
    <x v="1"/>
    <x v="5"/>
    <x v="5"/>
    <s v="Type2 Ac"/>
    <x v="0"/>
    <x v="3"/>
    <x v="3"/>
    <x v="1"/>
    <x v="0"/>
    <x v="7"/>
    <x v="1"/>
    <x v="0"/>
    <x v="1"/>
    <x v="0"/>
  </r>
  <r>
    <s v="EV-0141"/>
    <x v="1"/>
    <s v="Tata Power"/>
    <s v="CCS2"/>
    <s v="Decommissioned"/>
    <d v="2024-09-09T00:00:00"/>
    <n v="183.49"/>
    <n v="2112.44"/>
    <x v="1"/>
    <x v="1"/>
    <x v="5"/>
    <x v="5"/>
    <s v="Ccs2"/>
    <x v="3"/>
    <x v="0"/>
    <x v="0"/>
    <x v="1"/>
    <x v="0"/>
    <x v="126"/>
    <x v="1"/>
    <x v="2"/>
    <x v="1"/>
    <x v="3"/>
  </r>
  <r>
    <s v="EV-0142"/>
    <x v="9"/>
    <s v="ChargePoint"/>
    <s v="CHAdeMO"/>
    <s v="Active"/>
    <d v="2026-02-01T00:00:00"/>
    <n v="1895.62"/>
    <n v="18781.22"/>
    <x v="9"/>
    <x v="8"/>
    <x v="0"/>
    <x v="0"/>
    <s v="Chademo"/>
    <x v="1"/>
    <x v="1"/>
    <x v="1"/>
    <x v="11"/>
    <x v="0"/>
    <x v="127"/>
    <x v="0"/>
    <x v="1"/>
    <x v="2"/>
    <x v="1"/>
  </r>
  <r>
    <s v="EV-0143"/>
    <x v="0"/>
    <s v="Tata Power"/>
    <s v="Type2 AC"/>
    <s v="Maintenance"/>
    <d v="2025-07-28T00:00:00"/>
    <n v="486.68"/>
    <n v="4454"/>
    <x v="0"/>
    <x v="0"/>
    <x v="5"/>
    <x v="5"/>
    <s v="Type2 Ac"/>
    <x v="0"/>
    <x v="2"/>
    <x v="2"/>
    <x v="0"/>
    <x v="0"/>
    <x v="24"/>
    <x v="1"/>
    <x v="0"/>
    <x v="0"/>
    <x v="0"/>
  </r>
  <r>
    <s v="EV-0144"/>
    <x v="9"/>
    <s v="Zeon Charging"/>
    <s v="CCS2"/>
    <s v="Active"/>
    <d v="2025-07-05T00:00:00"/>
    <n v="5843.4"/>
    <n v="84135.28"/>
    <x v="9"/>
    <x v="8"/>
    <x v="2"/>
    <x v="2"/>
    <s v="Ccs2"/>
    <x v="3"/>
    <x v="1"/>
    <x v="1"/>
    <x v="11"/>
    <x v="0"/>
    <x v="128"/>
    <x v="0"/>
    <x v="2"/>
    <x v="0"/>
    <x v="3"/>
  </r>
  <r>
    <s v="EV-0145"/>
    <x v="9"/>
    <s v="bpcl"/>
    <s v="Type2 AC"/>
    <s v="Active"/>
    <d v="2024-09-26T00:00:00"/>
    <n v="6608.02"/>
    <n v="96538.64"/>
    <x v="9"/>
    <x v="8"/>
    <x v="4"/>
    <x v="4"/>
    <s v="Type2 Ac"/>
    <x v="0"/>
    <x v="1"/>
    <x v="1"/>
    <x v="11"/>
    <x v="0"/>
    <x v="129"/>
    <x v="1"/>
    <x v="0"/>
    <x v="1"/>
    <x v="0"/>
  </r>
  <r>
    <s v="EV-0146"/>
    <x v="4"/>
    <s v="ChargePoint"/>
    <s v="CHAdeMO"/>
    <s v="Active"/>
    <d v="2026-02-03T00:00:00"/>
    <n v="6927.64"/>
    <n v="102332.94"/>
    <x v="4"/>
    <x v="4"/>
    <x v="0"/>
    <x v="0"/>
    <s v="Chademo"/>
    <x v="1"/>
    <x v="1"/>
    <x v="1"/>
    <x v="4"/>
    <x v="0"/>
    <x v="130"/>
    <x v="0"/>
    <x v="1"/>
    <x v="2"/>
    <x v="1"/>
  </r>
  <r>
    <s v="EV-0147"/>
    <x v="3"/>
    <s v="Tata Power"/>
    <s v="CCS2"/>
    <s v="Active"/>
    <m/>
    <n v="4148.93"/>
    <n v="41763.089999999997"/>
    <x v="3"/>
    <x v="3"/>
    <x v="5"/>
    <x v="5"/>
    <s v="Ccs2"/>
    <x v="3"/>
    <x v="1"/>
    <x v="1"/>
    <x v="3"/>
    <x v="1"/>
    <x v="4"/>
    <x v="1"/>
    <x v="2"/>
    <x v="3"/>
    <x v="3"/>
  </r>
  <r>
    <s v="EV-0148"/>
    <x v="0"/>
    <s v="ChargePoint"/>
    <s v="CHAdeMO"/>
    <s v="Decommissioned"/>
    <d v="2025-03-14T00:00:00"/>
    <n v="151.05000000000001"/>
    <n v="2128.71"/>
    <x v="0"/>
    <x v="0"/>
    <x v="0"/>
    <x v="0"/>
    <s v="Chademo"/>
    <x v="1"/>
    <x v="0"/>
    <x v="0"/>
    <x v="0"/>
    <x v="0"/>
    <x v="131"/>
    <x v="0"/>
    <x v="1"/>
    <x v="0"/>
    <x v="1"/>
  </r>
  <r>
    <s v="EV-0149"/>
    <x v="4"/>
    <s v="ChargePoint"/>
    <s v="CHAdeMO"/>
    <s v="Decommissioned"/>
    <d v="2025-08-20T00:00:00"/>
    <n v="88.51"/>
    <n v="1206.3599999999999"/>
    <x v="4"/>
    <x v="4"/>
    <x v="0"/>
    <x v="0"/>
    <s v="Chademo"/>
    <x v="1"/>
    <x v="0"/>
    <x v="0"/>
    <x v="4"/>
    <x v="0"/>
    <x v="132"/>
    <x v="0"/>
    <x v="1"/>
    <x v="0"/>
    <x v="1"/>
  </r>
  <r>
    <s v="EV-0150"/>
    <x v="9"/>
    <s v="bpcl"/>
    <s v="CCS2"/>
    <s v="Active"/>
    <d v="2025-02-12T00:00:00"/>
    <n v="9872.57"/>
    <n v="111346"/>
    <x v="9"/>
    <x v="8"/>
    <x v="4"/>
    <x v="4"/>
    <s v="Ccs2"/>
    <x v="3"/>
    <x v="1"/>
    <x v="1"/>
    <x v="11"/>
    <x v="0"/>
    <x v="133"/>
    <x v="1"/>
    <x v="2"/>
    <x v="0"/>
    <x v="3"/>
  </r>
  <r>
    <s v="EV-0151"/>
    <x v="6"/>
    <m/>
    <s v="CCS2"/>
    <s v="Inactive"/>
    <d v="2025-01-05T00:00:00"/>
    <n v="446.01"/>
    <n v="3803.17"/>
    <x v="6"/>
    <x v="5"/>
    <x v="7"/>
    <x v="7"/>
    <s v="Ccs2"/>
    <x v="3"/>
    <x v="3"/>
    <x v="3"/>
    <x v="6"/>
    <x v="0"/>
    <x v="66"/>
    <x v="0"/>
    <x v="2"/>
    <x v="0"/>
    <x v="3"/>
  </r>
  <r>
    <s v="EV-0152"/>
    <x v="9"/>
    <s v="ChargePoint"/>
    <s v="CCS2"/>
    <s v="Active"/>
    <d v="2024-08-12T00:00:00"/>
    <n v="5407.52"/>
    <n v="71806.78"/>
    <x v="9"/>
    <x v="8"/>
    <x v="0"/>
    <x v="0"/>
    <s v="Ccs2"/>
    <x v="3"/>
    <x v="1"/>
    <x v="1"/>
    <x v="11"/>
    <x v="0"/>
    <x v="102"/>
    <x v="0"/>
    <x v="2"/>
    <x v="1"/>
    <x v="3"/>
  </r>
  <r>
    <s v="EV-0153"/>
    <x v="4"/>
    <s v="Tata Power"/>
    <s v="Bharat DC-001"/>
    <s v="Active"/>
    <d v="2024-05-21T00:00:00"/>
    <m/>
    <n v="104690.57"/>
    <x v="4"/>
    <x v="4"/>
    <x v="5"/>
    <x v="5"/>
    <s v="Bharat Dc-001"/>
    <x v="2"/>
    <x v="1"/>
    <x v="1"/>
    <x v="4"/>
    <x v="0"/>
    <x v="134"/>
    <x v="1"/>
    <x v="1"/>
    <x v="1"/>
    <x v="2"/>
  </r>
  <r>
    <s v="EV-0154"/>
    <x v="0"/>
    <s v="Ather Grid"/>
    <s v="CCS2"/>
    <s v="Inactive"/>
    <d v="2025-06-05T00:00:00"/>
    <n v="222.96"/>
    <n v="2839.23"/>
    <x v="0"/>
    <x v="0"/>
    <x v="3"/>
    <x v="3"/>
    <s v="Ccs2"/>
    <x v="3"/>
    <x v="3"/>
    <x v="3"/>
    <x v="0"/>
    <x v="0"/>
    <x v="135"/>
    <x v="0"/>
    <x v="2"/>
    <x v="0"/>
    <x v="3"/>
  </r>
  <r>
    <s v="EV-0155"/>
    <x v="8"/>
    <s v="ChargePoint"/>
    <s v="CCS2"/>
    <s v="Active"/>
    <d v="2025-05-20T00:00:00"/>
    <n v="2330.3200000000002"/>
    <n v="29643.64"/>
    <x v="8"/>
    <x v="7"/>
    <x v="0"/>
    <x v="0"/>
    <s v="Ccs2"/>
    <x v="3"/>
    <x v="1"/>
    <x v="1"/>
    <x v="8"/>
    <x v="0"/>
    <x v="136"/>
    <x v="0"/>
    <x v="2"/>
    <x v="0"/>
    <x v="3"/>
  </r>
  <r>
    <s v="EV-0156"/>
    <x v="9"/>
    <s v="ChargePoint"/>
    <s v="CCS2"/>
    <s v="Active"/>
    <d v="2024-04-03T00:00:00"/>
    <n v="10407.19"/>
    <n v="112209.08"/>
    <x v="9"/>
    <x v="8"/>
    <x v="0"/>
    <x v="0"/>
    <s v="Ccs2"/>
    <x v="3"/>
    <x v="1"/>
    <x v="1"/>
    <x v="9"/>
    <x v="0"/>
    <x v="137"/>
    <x v="0"/>
    <x v="2"/>
    <x v="1"/>
    <x v="3"/>
  </r>
  <r>
    <s v="EV-0157"/>
    <x v="2"/>
    <s v="bpcl"/>
    <s v="CCS2"/>
    <s v="Inactive"/>
    <d v="2026-02-12T00:00:00"/>
    <m/>
    <m/>
    <x v="2"/>
    <x v="2"/>
    <x v="4"/>
    <x v="4"/>
    <s v="Ccs2"/>
    <x v="3"/>
    <x v="3"/>
    <x v="3"/>
    <x v="2"/>
    <x v="0"/>
    <x v="138"/>
    <x v="1"/>
    <x v="2"/>
    <x v="2"/>
    <x v="3"/>
  </r>
  <r>
    <s v="EV-0158"/>
    <x v="7"/>
    <s v="Zeon Charging"/>
    <s v="Type2 AC"/>
    <s v="Active"/>
    <d v="2024-02-18T00:00:00"/>
    <n v="9145.43"/>
    <n v="108841.48"/>
    <x v="7"/>
    <x v="6"/>
    <x v="2"/>
    <x v="2"/>
    <s v="Type2 Ac"/>
    <x v="0"/>
    <x v="1"/>
    <x v="1"/>
    <x v="7"/>
    <x v="0"/>
    <x v="139"/>
    <x v="0"/>
    <x v="0"/>
    <x v="1"/>
    <x v="0"/>
  </r>
  <r>
    <s v="EV-0159"/>
    <x v="9"/>
    <s v="Ather Grid"/>
    <s v="Bharat DC-001"/>
    <s v="Active"/>
    <d v="2024-04-22T00:00:00"/>
    <n v="10158.42"/>
    <n v="87688.7"/>
    <x v="9"/>
    <x v="8"/>
    <x v="3"/>
    <x v="3"/>
    <s v="Bharat Dc-001"/>
    <x v="2"/>
    <x v="1"/>
    <x v="1"/>
    <x v="11"/>
    <x v="0"/>
    <x v="140"/>
    <x v="0"/>
    <x v="1"/>
    <x v="1"/>
    <x v="2"/>
  </r>
  <r>
    <s v="EV-0160"/>
    <x v="2"/>
    <s v="Tata Power"/>
    <s v="CHAdeMO"/>
    <s v="Active"/>
    <d v="2024-06-05T00:00:00"/>
    <n v="3689.08"/>
    <m/>
    <x v="2"/>
    <x v="2"/>
    <x v="5"/>
    <x v="5"/>
    <s v="Chademo"/>
    <x v="1"/>
    <x v="1"/>
    <x v="1"/>
    <x v="2"/>
    <x v="0"/>
    <x v="141"/>
    <x v="1"/>
    <x v="1"/>
    <x v="1"/>
    <x v="1"/>
  </r>
  <r>
    <s v="EV-0161"/>
    <x v="0"/>
    <s v="Ather Grid"/>
    <s v="CCS2"/>
    <s v="Active"/>
    <d v="2025-10-04T00:00:00"/>
    <n v="9443.26"/>
    <n v="93027.54"/>
    <x v="0"/>
    <x v="0"/>
    <x v="3"/>
    <x v="3"/>
    <s v="Ccs2"/>
    <x v="3"/>
    <x v="1"/>
    <x v="1"/>
    <x v="0"/>
    <x v="0"/>
    <x v="142"/>
    <x v="0"/>
    <x v="2"/>
    <x v="0"/>
    <x v="3"/>
  </r>
  <r>
    <s v="EV-0162"/>
    <x v="2"/>
    <s v="Tata Power"/>
    <s v="Type2 AC"/>
    <s v="Inactive"/>
    <d v="2024-06-12T00:00:00"/>
    <n v="242.3"/>
    <n v="2148.02"/>
    <x v="2"/>
    <x v="2"/>
    <x v="5"/>
    <x v="5"/>
    <s v="Type2 Ac"/>
    <x v="0"/>
    <x v="3"/>
    <x v="3"/>
    <x v="2"/>
    <x v="0"/>
    <x v="37"/>
    <x v="1"/>
    <x v="0"/>
    <x v="1"/>
    <x v="0"/>
  </r>
  <r>
    <s v="EV-0163"/>
    <x v="2"/>
    <s v="Zeon Charging"/>
    <s v="Type2 AC"/>
    <s v="Active"/>
    <d v="2026-03-22T00:00:00"/>
    <n v="3251.33"/>
    <n v="34399.4"/>
    <x v="2"/>
    <x v="2"/>
    <x v="2"/>
    <x v="2"/>
    <s v="Type2 Ac"/>
    <x v="0"/>
    <x v="1"/>
    <x v="1"/>
    <x v="2"/>
    <x v="0"/>
    <x v="143"/>
    <x v="0"/>
    <x v="0"/>
    <x v="2"/>
    <x v="0"/>
  </r>
  <r>
    <s v="EV-0164"/>
    <x v="3"/>
    <s v="Tata Power"/>
    <s v="Type2 AC"/>
    <s v="Inactive"/>
    <d v="2025-11-27T00:00:00"/>
    <n v="219.94"/>
    <n v="2912.68"/>
    <x v="3"/>
    <x v="3"/>
    <x v="5"/>
    <x v="5"/>
    <s v="Type2 Ac"/>
    <x v="0"/>
    <x v="3"/>
    <x v="3"/>
    <x v="3"/>
    <x v="0"/>
    <x v="144"/>
    <x v="1"/>
    <x v="0"/>
    <x v="0"/>
    <x v="0"/>
  </r>
  <r>
    <s v="EV-0165"/>
    <x v="4"/>
    <s v="bpcl"/>
    <s v="CHAdeMO"/>
    <s v="Active"/>
    <d v="2025-03-08T00:00:00"/>
    <n v="8705.77"/>
    <n v="85622.38"/>
    <x v="4"/>
    <x v="4"/>
    <x v="4"/>
    <x v="4"/>
    <s v="Chademo"/>
    <x v="1"/>
    <x v="1"/>
    <x v="1"/>
    <x v="4"/>
    <x v="0"/>
    <x v="15"/>
    <x v="1"/>
    <x v="1"/>
    <x v="0"/>
    <x v="1"/>
  </r>
  <r>
    <s v="EV-0166"/>
    <x v="7"/>
    <s v="bpcl"/>
    <s v="CCS2"/>
    <s v="Active"/>
    <d v="2025-09-02T00:00:00"/>
    <n v="3196.68"/>
    <n v="34099.56"/>
    <x v="7"/>
    <x v="6"/>
    <x v="4"/>
    <x v="4"/>
    <s v="Ccs2"/>
    <x v="3"/>
    <x v="1"/>
    <x v="1"/>
    <x v="7"/>
    <x v="0"/>
    <x v="145"/>
    <x v="1"/>
    <x v="2"/>
    <x v="0"/>
    <x v="3"/>
  </r>
  <r>
    <s v="EV-0167"/>
    <x v="9"/>
    <s v="bpcl"/>
    <s v="Bharat DC-001"/>
    <s v="Active"/>
    <d v="2024-03-06T00:00:00"/>
    <n v="4362.25"/>
    <n v="54396.58"/>
    <x v="9"/>
    <x v="8"/>
    <x v="4"/>
    <x v="4"/>
    <s v="Bharat Dc-001"/>
    <x v="2"/>
    <x v="1"/>
    <x v="1"/>
    <x v="11"/>
    <x v="0"/>
    <x v="146"/>
    <x v="1"/>
    <x v="1"/>
    <x v="1"/>
    <x v="2"/>
  </r>
  <r>
    <s v="EV-0168"/>
    <x v="9"/>
    <s v="bpcl"/>
    <s v="Bharat DC-001"/>
    <s v="Active"/>
    <d v="2025-01-29T00:00:00"/>
    <n v="10769.81"/>
    <n v="114163.38"/>
    <x v="9"/>
    <x v="8"/>
    <x v="4"/>
    <x v="4"/>
    <s v="Bharat Dc-001"/>
    <x v="2"/>
    <x v="1"/>
    <x v="1"/>
    <x v="11"/>
    <x v="0"/>
    <x v="147"/>
    <x v="1"/>
    <x v="1"/>
    <x v="0"/>
    <x v="2"/>
  </r>
  <r>
    <s v="EV-0169"/>
    <x v="4"/>
    <s v="Ather Grid"/>
    <s v="Type2 AC"/>
    <s v="Inactive"/>
    <d v="2025-01-25T00:00:00"/>
    <n v="40.29"/>
    <n v="512.64"/>
    <x v="4"/>
    <x v="4"/>
    <x v="3"/>
    <x v="3"/>
    <s v="Type2 Ac"/>
    <x v="0"/>
    <x v="3"/>
    <x v="3"/>
    <x v="4"/>
    <x v="0"/>
    <x v="148"/>
    <x v="0"/>
    <x v="0"/>
    <x v="0"/>
    <x v="0"/>
  </r>
  <r>
    <s v="EV-0170"/>
    <x v="3"/>
    <s v="Zeon Charging"/>
    <s v="CHAdeMO"/>
    <s v="Maintenance"/>
    <d v="2025-09-02T00:00:00"/>
    <n v="537.41"/>
    <n v="6072.91"/>
    <x v="3"/>
    <x v="3"/>
    <x v="2"/>
    <x v="2"/>
    <s v="Chademo"/>
    <x v="1"/>
    <x v="2"/>
    <x v="2"/>
    <x v="3"/>
    <x v="0"/>
    <x v="145"/>
    <x v="0"/>
    <x v="1"/>
    <x v="0"/>
    <x v="1"/>
  </r>
  <r>
    <s v="EV-0171"/>
    <x v="2"/>
    <s v="Tatapower"/>
    <s v="CHAdeMO"/>
    <s v="Active"/>
    <d v="2025-04-24T00:00:00"/>
    <n v="4904.91"/>
    <n v="60511.03"/>
    <x v="2"/>
    <x v="2"/>
    <x v="10"/>
    <x v="10"/>
    <s v="Chademo"/>
    <x v="1"/>
    <x v="1"/>
    <x v="1"/>
    <x v="2"/>
    <x v="0"/>
    <x v="149"/>
    <x v="0"/>
    <x v="1"/>
    <x v="0"/>
    <x v="1"/>
  </r>
  <r>
    <s v="EV-0172"/>
    <x v="4"/>
    <s v="Tata Power"/>
    <s v="CHAdeMO"/>
    <s v="Active"/>
    <d v="2025-06-25T00:00:00"/>
    <n v="2257.2600000000002"/>
    <n v="32960.93"/>
    <x v="4"/>
    <x v="4"/>
    <x v="5"/>
    <x v="5"/>
    <s v="Chademo"/>
    <x v="1"/>
    <x v="1"/>
    <x v="1"/>
    <x v="4"/>
    <x v="0"/>
    <x v="150"/>
    <x v="1"/>
    <x v="1"/>
    <x v="0"/>
    <x v="1"/>
  </r>
  <r>
    <s v="EV-0173"/>
    <x v="3"/>
    <s v="bpcl"/>
    <s v="Bharat DC-001"/>
    <s v="Active"/>
    <d v="2024-09-14T00:00:00"/>
    <n v="2960.46"/>
    <n v="30481.03"/>
    <x v="3"/>
    <x v="3"/>
    <x v="4"/>
    <x v="4"/>
    <s v="Bharat Dc-001"/>
    <x v="2"/>
    <x v="1"/>
    <x v="1"/>
    <x v="3"/>
    <x v="0"/>
    <x v="151"/>
    <x v="1"/>
    <x v="1"/>
    <x v="1"/>
    <x v="2"/>
  </r>
  <r>
    <s v="EV-0174"/>
    <x v="9"/>
    <s v="B.P.C.L"/>
    <s v="Type2 AC"/>
    <s v="Active"/>
    <d v="2025-07-20T00:00:00"/>
    <n v="5270.98"/>
    <n v="64677.96"/>
    <x v="9"/>
    <x v="8"/>
    <x v="8"/>
    <x v="8"/>
    <s v="Type2 Ac"/>
    <x v="0"/>
    <x v="1"/>
    <x v="1"/>
    <x v="11"/>
    <x v="0"/>
    <x v="152"/>
    <x v="0"/>
    <x v="0"/>
    <x v="0"/>
    <x v="0"/>
  </r>
  <r>
    <s v="EV-0175"/>
    <x v="2"/>
    <s v="ChargePoint"/>
    <s v="CCS2"/>
    <s v="Inactive"/>
    <d v="2024-01-12T00:00:00"/>
    <n v="165.44"/>
    <m/>
    <x v="2"/>
    <x v="2"/>
    <x v="0"/>
    <x v="0"/>
    <s v="Ccs2"/>
    <x v="3"/>
    <x v="3"/>
    <x v="3"/>
    <x v="2"/>
    <x v="0"/>
    <x v="153"/>
    <x v="0"/>
    <x v="2"/>
    <x v="1"/>
    <x v="3"/>
  </r>
  <r>
    <s v="EV-0176"/>
    <x v="4"/>
    <s v="Zeon Charging"/>
    <s v="Bharat DC-001"/>
    <s v="Active"/>
    <d v="2025-11-27T00:00:00"/>
    <n v="5858.13"/>
    <n v="72920.990000000005"/>
    <x v="4"/>
    <x v="4"/>
    <x v="2"/>
    <x v="2"/>
    <s v="Bharat Dc-001"/>
    <x v="2"/>
    <x v="1"/>
    <x v="1"/>
    <x v="4"/>
    <x v="0"/>
    <x v="144"/>
    <x v="0"/>
    <x v="1"/>
    <x v="0"/>
    <x v="2"/>
  </r>
  <r>
    <s v="EV-0177"/>
    <x v="2"/>
    <s v="Ather Grid"/>
    <s v="Type2 AC"/>
    <s v="Active"/>
    <d v="2026-01-08T00:00:00"/>
    <n v="1216.06"/>
    <n v="13680.52"/>
    <x v="2"/>
    <x v="2"/>
    <x v="3"/>
    <x v="3"/>
    <s v="Type2 Ac"/>
    <x v="0"/>
    <x v="1"/>
    <x v="1"/>
    <x v="2"/>
    <x v="0"/>
    <x v="154"/>
    <x v="0"/>
    <x v="0"/>
    <x v="2"/>
    <x v="0"/>
  </r>
  <r>
    <s v="EV-0178"/>
    <x v="0"/>
    <m/>
    <s v="Type2 AC"/>
    <s v="Active"/>
    <d v="2024-04-27T00:00:00"/>
    <n v="10078.25"/>
    <n v="130085.42"/>
    <x v="0"/>
    <x v="0"/>
    <x v="7"/>
    <x v="7"/>
    <s v="Type2 Ac"/>
    <x v="0"/>
    <x v="1"/>
    <x v="1"/>
    <x v="0"/>
    <x v="0"/>
    <x v="155"/>
    <x v="0"/>
    <x v="0"/>
    <x v="1"/>
    <x v="0"/>
  </r>
  <r>
    <s v="EV-0179"/>
    <x v="1"/>
    <s v="ChargePoint"/>
    <s v="CCS2"/>
    <s v="Active"/>
    <d v="2025-11-29T00:00:00"/>
    <n v="4978.9799999999996"/>
    <n v="62459.69"/>
    <x v="1"/>
    <x v="1"/>
    <x v="0"/>
    <x v="0"/>
    <s v="Ccs2"/>
    <x v="3"/>
    <x v="1"/>
    <x v="1"/>
    <x v="1"/>
    <x v="0"/>
    <x v="156"/>
    <x v="0"/>
    <x v="2"/>
    <x v="0"/>
    <x v="3"/>
  </r>
  <r>
    <s v="EV-0180"/>
    <x v="4"/>
    <s v="ChargePoint"/>
    <s v="CCS2"/>
    <s v="Active"/>
    <d v="2025-03-07T00:00:00"/>
    <n v="9352.65"/>
    <n v="82459.8"/>
    <x v="4"/>
    <x v="4"/>
    <x v="0"/>
    <x v="0"/>
    <s v="Ccs2"/>
    <x v="3"/>
    <x v="1"/>
    <x v="1"/>
    <x v="4"/>
    <x v="0"/>
    <x v="157"/>
    <x v="0"/>
    <x v="2"/>
    <x v="0"/>
    <x v="3"/>
  </r>
  <r>
    <s v="EV-0181"/>
    <x v="9"/>
    <s v="Tata Power"/>
    <s v="CCS2"/>
    <s v="Active"/>
    <d v="2026-02-07T00:00:00"/>
    <n v="11379.71"/>
    <n v="94649.91"/>
    <x v="9"/>
    <x v="8"/>
    <x v="5"/>
    <x v="5"/>
    <s v="Ccs2"/>
    <x v="3"/>
    <x v="1"/>
    <x v="1"/>
    <x v="11"/>
    <x v="0"/>
    <x v="158"/>
    <x v="1"/>
    <x v="2"/>
    <x v="2"/>
    <x v="3"/>
  </r>
  <r>
    <s v="EV-0182"/>
    <x v="4"/>
    <s v="Ather Grid"/>
    <s v="CHAdeMO"/>
    <s v="Active"/>
    <d v="2024-09-30T00:00:00"/>
    <n v="724.62"/>
    <n v="5985.71"/>
    <x v="4"/>
    <x v="4"/>
    <x v="3"/>
    <x v="3"/>
    <s v="Chademo"/>
    <x v="1"/>
    <x v="1"/>
    <x v="1"/>
    <x v="4"/>
    <x v="0"/>
    <x v="87"/>
    <x v="0"/>
    <x v="1"/>
    <x v="1"/>
    <x v="1"/>
  </r>
  <r>
    <s v="EV-0183"/>
    <x v="6"/>
    <s v="ChargePoint"/>
    <s v="CCS2"/>
    <s v="Active"/>
    <d v="2026-02-26T00:00:00"/>
    <n v="10627.55"/>
    <n v="159110.28"/>
    <x v="6"/>
    <x v="5"/>
    <x v="0"/>
    <x v="0"/>
    <s v="Ccs2"/>
    <x v="3"/>
    <x v="1"/>
    <x v="1"/>
    <x v="6"/>
    <x v="0"/>
    <x v="159"/>
    <x v="0"/>
    <x v="2"/>
    <x v="2"/>
    <x v="3"/>
  </r>
  <r>
    <s v="EV-0184"/>
    <x v="8"/>
    <s v="ChargePoint"/>
    <s v="Type2 AC"/>
    <s v="Maintenance"/>
    <d v="2025-10-18T00:00:00"/>
    <n v="1769.5"/>
    <n v="15594.33"/>
    <x v="8"/>
    <x v="7"/>
    <x v="0"/>
    <x v="0"/>
    <s v="Type2 Ac"/>
    <x v="0"/>
    <x v="2"/>
    <x v="2"/>
    <x v="8"/>
    <x v="0"/>
    <x v="160"/>
    <x v="0"/>
    <x v="0"/>
    <x v="0"/>
    <x v="0"/>
  </r>
  <r>
    <s v="EV-0185"/>
    <x v="9"/>
    <s v="Zeon Charging"/>
    <s v="CCS2"/>
    <s v="Active"/>
    <d v="2024-12-14T00:00:00"/>
    <n v="5985.27"/>
    <n v="57719.55"/>
    <x v="9"/>
    <x v="8"/>
    <x v="2"/>
    <x v="2"/>
    <s v="Ccs2"/>
    <x v="3"/>
    <x v="1"/>
    <x v="1"/>
    <x v="9"/>
    <x v="0"/>
    <x v="40"/>
    <x v="0"/>
    <x v="2"/>
    <x v="1"/>
    <x v="3"/>
  </r>
  <r>
    <s v="EV-0186"/>
    <x v="2"/>
    <s v="Ather Grid"/>
    <s v="Type2 AC"/>
    <s v="Decommissioned"/>
    <d v="2024-04-24T00:00:00"/>
    <n v="188.55"/>
    <n v="2217.88"/>
    <x v="2"/>
    <x v="2"/>
    <x v="3"/>
    <x v="3"/>
    <s v="Type2 Ac"/>
    <x v="0"/>
    <x v="0"/>
    <x v="0"/>
    <x v="2"/>
    <x v="0"/>
    <x v="1"/>
    <x v="0"/>
    <x v="0"/>
    <x v="1"/>
    <x v="0"/>
  </r>
  <r>
    <s v="EV-0187"/>
    <x v="7"/>
    <s v="ChargePoint"/>
    <s v="Bharat DC-001"/>
    <s v="Active"/>
    <d v="2024-10-27T00:00:00"/>
    <n v="3934.05"/>
    <n v="42175.06"/>
    <x v="7"/>
    <x v="6"/>
    <x v="0"/>
    <x v="0"/>
    <s v="Bharat Dc-001"/>
    <x v="2"/>
    <x v="1"/>
    <x v="1"/>
    <x v="7"/>
    <x v="0"/>
    <x v="62"/>
    <x v="0"/>
    <x v="1"/>
    <x v="1"/>
    <x v="2"/>
  </r>
  <r>
    <s v="EV-0188"/>
    <x v="3"/>
    <s v="AtherGrid"/>
    <s v="CHAdeMO"/>
    <s v="Maintenance"/>
    <d v="2025-03-21T00:00:00"/>
    <n v="1230.96"/>
    <n v="13044.58"/>
    <x v="3"/>
    <x v="3"/>
    <x v="11"/>
    <x v="11"/>
    <s v="Chademo"/>
    <x v="1"/>
    <x v="2"/>
    <x v="2"/>
    <x v="3"/>
    <x v="0"/>
    <x v="161"/>
    <x v="0"/>
    <x v="1"/>
    <x v="0"/>
    <x v="1"/>
  </r>
  <r>
    <s v="EV-0189"/>
    <x v="3"/>
    <s v="Tata Power"/>
    <s v="Bharat DC-001"/>
    <s v="Active"/>
    <d v="2024-06-10T00:00:00"/>
    <n v="10753.88"/>
    <n v="157497.73000000001"/>
    <x v="3"/>
    <x v="3"/>
    <x v="5"/>
    <x v="5"/>
    <s v="Bharat Dc-001"/>
    <x v="2"/>
    <x v="1"/>
    <x v="1"/>
    <x v="3"/>
    <x v="0"/>
    <x v="162"/>
    <x v="1"/>
    <x v="1"/>
    <x v="1"/>
    <x v="2"/>
  </r>
  <r>
    <s v="EV-0190"/>
    <x v="9"/>
    <s v="bpcl"/>
    <s v="Bharat DC-001"/>
    <m/>
    <d v="2025-04-09T00:00:00"/>
    <n v="417.86"/>
    <n v="5380.11"/>
    <x v="9"/>
    <x v="8"/>
    <x v="4"/>
    <x v="4"/>
    <s v="Bharat Dc-001"/>
    <x v="2"/>
    <x v="4"/>
    <x v="4"/>
    <x v="11"/>
    <x v="0"/>
    <x v="78"/>
    <x v="1"/>
    <x v="1"/>
    <x v="0"/>
    <x v="2"/>
  </r>
  <r>
    <s v="EV-0191"/>
    <x v="4"/>
    <s v="ChargePoint"/>
    <s v="Type2 AC"/>
    <s v="Inactive"/>
    <d v="2024-01-04T00:00:00"/>
    <n v="269.11"/>
    <n v="3170.48"/>
    <x v="4"/>
    <x v="4"/>
    <x v="0"/>
    <x v="0"/>
    <s v="Type2 Ac"/>
    <x v="0"/>
    <x v="3"/>
    <x v="3"/>
    <x v="4"/>
    <x v="0"/>
    <x v="163"/>
    <x v="0"/>
    <x v="0"/>
    <x v="1"/>
    <x v="0"/>
  </r>
  <r>
    <s v="EV-0192"/>
    <x v="6"/>
    <s v="Zeon Charging"/>
    <s v="Bharat DC-001"/>
    <s v="Active"/>
    <d v="2026-09-01T00:00:00"/>
    <n v="8948.2900000000009"/>
    <n v="108376.16"/>
    <x v="6"/>
    <x v="5"/>
    <x v="2"/>
    <x v="2"/>
    <s v="Bharat Dc-001"/>
    <x v="2"/>
    <x v="1"/>
    <x v="1"/>
    <x v="6"/>
    <x v="0"/>
    <x v="164"/>
    <x v="0"/>
    <x v="1"/>
    <x v="2"/>
    <x v="2"/>
  </r>
  <r>
    <s v="EV-0193"/>
    <x v="6"/>
    <s v="Tata Power"/>
    <s v="Type2 AC"/>
    <s v="Active"/>
    <d v="2026-01-06T00:00:00"/>
    <n v="9698.48"/>
    <n v="126916.19"/>
    <x v="6"/>
    <x v="5"/>
    <x v="5"/>
    <x v="5"/>
    <s v="Type2 Ac"/>
    <x v="0"/>
    <x v="1"/>
    <x v="1"/>
    <x v="6"/>
    <x v="0"/>
    <x v="165"/>
    <x v="1"/>
    <x v="0"/>
    <x v="2"/>
    <x v="0"/>
  </r>
  <r>
    <s v="EV-0194"/>
    <x v="2"/>
    <s v="Ather Grid"/>
    <s v="CCS2"/>
    <s v="Active"/>
    <d v="2024-09-26T00:00:00"/>
    <n v="10824.83"/>
    <n v="153689.82"/>
    <x v="2"/>
    <x v="2"/>
    <x v="3"/>
    <x v="3"/>
    <s v="Ccs2"/>
    <x v="3"/>
    <x v="1"/>
    <x v="1"/>
    <x v="2"/>
    <x v="0"/>
    <x v="129"/>
    <x v="0"/>
    <x v="2"/>
    <x v="1"/>
    <x v="3"/>
  </r>
  <r>
    <s v="EV-0195"/>
    <x v="9"/>
    <s v="Tata Power"/>
    <s v="CCS2"/>
    <s v="Active"/>
    <d v="2025-05-27T00:00:00"/>
    <n v="6114.64"/>
    <n v="76949.399999999994"/>
    <x v="9"/>
    <x v="8"/>
    <x v="5"/>
    <x v="5"/>
    <s v="Ccs2"/>
    <x v="3"/>
    <x v="1"/>
    <x v="1"/>
    <x v="11"/>
    <x v="0"/>
    <x v="166"/>
    <x v="1"/>
    <x v="2"/>
    <x v="0"/>
    <x v="3"/>
  </r>
  <r>
    <s v="EV-0196"/>
    <x v="9"/>
    <s v="ChargePoint"/>
    <s v="Type2 AC"/>
    <s v="Active"/>
    <d v="2026-02-19T00:00:00"/>
    <n v="3638.76"/>
    <n v="50345.34"/>
    <x v="9"/>
    <x v="8"/>
    <x v="0"/>
    <x v="0"/>
    <s v="Type2 Ac"/>
    <x v="0"/>
    <x v="1"/>
    <x v="1"/>
    <x v="11"/>
    <x v="0"/>
    <x v="167"/>
    <x v="0"/>
    <x v="0"/>
    <x v="2"/>
    <x v="0"/>
  </r>
  <r>
    <s v="EV-0197"/>
    <x v="2"/>
    <s v="Ather Grid"/>
    <s v="CCS2"/>
    <s v="Active"/>
    <d v="2024-07-01T00:00:00"/>
    <n v="6084.88"/>
    <n v="74902.23"/>
    <x v="2"/>
    <x v="2"/>
    <x v="3"/>
    <x v="3"/>
    <s v="Ccs2"/>
    <x v="3"/>
    <x v="1"/>
    <x v="1"/>
    <x v="2"/>
    <x v="0"/>
    <x v="168"/>
    <x v="0"/>
    <x v="2"/>
    <x v="1"/>
    <x v="3"/>
  </r>
  <r>
    <s v="EV-0198"/>
    <x v="6"/>
    <s v="bpcl"/>
    <s v="CHAdeMO"/>
    <s v="Active"/>
    <d v="2025-06-03T00:00:00"/>
    <n v="4971.8599999999997"/>
    <n v="72456.759999999995"/>
    <x v="6"/>
    <x v="5"/>
    <x v="4"/>
    <x v="4"/>
    <s v="Chademo"/>
    <x v="1"/>
    <x v="1"/>
    <x v="1"/>
    <x v="6"/>
    <x v="0"/>
    <x v="169"/>
    <x v="1"/>
    <x v="1"/>
    <x v="0"/>
    <x v="1"/>
  </r>
  <r>
    <s v="EV-0199"/>
    <x v="6"/>
    <m/>
    <s v="Bharat DC-001"/>
    <s v="Active"/>
    <d v="2024-04-18T00:00:00"/>
    <m/>
    <n v="81577.919999999998"/>
    <x v="6"/>
    <x v="5"/>
    <x v="7"/>
    <x v="7"/>
    <s v="Bharat Dc-001"/>
    <x v="2"/>
    <x v="1"/>
    <x v="1"/>
    <x v="6"/>
    <x v="0"/>
    <x v="170"/>
    <x v="0"/>
    <x v="1"/>
    <x v="1"/>
    <x v="2"/>
  </r>
  <r>
    <s v="EV-0200"/>
    <x v="7"/>
    <s v="Charge Point"/>
    <s v="CHAdeMO"/>
    <s v="Inactive"/>
    <d v="2025-10-02T00:00:00"/>
    <n v="399.07"/>
    <n v="5120.8500000000004"/>
    <x v="7"/>
    <x v="6"/>
    <x v="1"/>
    <x v="1"/>
    <s v="Chademo"/>
    <x v="1"/>
    <x v="3"/>
    <x v="3"/>
    <x v="7"/>
    <x v="0"/>
    <x v="171"/>
    <x v="0"/>
    <x v="1"/>
    <x v="0"/>
    <x v="1"/>
  </r>
  <r>
    <s v="EV-0201"/>
    <x v="2"/>
    <s v="Zeon Charging"/>
    <s v="Bharat DC-001"/>
    <s v="Inactive"/>
    <d v="2024-11-01T00:00:00"/>
    <n v="362.09"/>
    <n v="3447.42"/>
    <x v="2"/>
    <x v="2"/>
    <x v="2"/>
    <x v="2"/>
    <s v="Bharat Dc-001"/>
    <x v="2"/>
    <x v="3"/>
    <x v="3"/>
    <x v="2"/>
    <x v="0"/>
    <x v="172"/>
    <x v="0"/>
    <x v="1"/>
    <x v="1"/>
    <x v="2"/>
  </r>
  <r>
    <s v="EV-0202"/>
    <x v="4"/>
    <s v="Ather Grid"/>
    <s v="CCS2"/>
    <s v="Decommissioned"/>
    <d v="2026-05-11T00:00:00"/>
    <n v="168.1"/>
    <n v="1868.07"/>
    <x v="4"/>
    <x v="4"/>
    <x v="3"/>
    <x v="3"/>
    <s v="Ccs2"/>
    <x v="3"/>
    <x v="0"/>
    <x v="0"/>
    <x v="4"/>
    <x v="0"/>
    <x v="173"/>
    <x v="0"/>
    <x v="2"/>
    <x v="2"/>
    <x v="3"/>
  </r>
  <r>
    <s v="EV-0203"/>
    <x v="4"/>
    <s v="Tata Power"/>
    <s v="CHAdeMO"/>
    <s v="Active"/>
    <m/>
    <n v="11074.73"/>
    <n v="106902.03"/>
    <x v="4"/>
    <x v="4"/>
    <x v="5"/>
    <x v="5"/>
    <s v="Chademo"/>
    <x v="1"/>
    <x v="1"/>
    <x v="1"/>
    <x v="4"/>
    <x v="1"/>
    <x v="4"/>
    <x v="1"/>
    <x v="1"/>
    <x v="3"/>
    <x v="1"/>
  </r>
  <r>
    <s v="EV-0204"/>
    <x v="6"/>
    <s v="Tata Power"/>
    <s v="CCS2"/>
    <s v="Active"/>
    <d v="2025-06-03T00:00:00"/>
    <n v="11778.3"/>
    <n v="124129.17"/>
    <x v="6"/>
    <x v="5"/>
    <x v="5"/>
    <x v="5"/>
    <s v="Ccs2"/>
    <x v="3"/>
    <x v="1"/>
    <x v="1"/>
    <x v="6"/>
    <x v="0"/>
    <x v="169"/>
    <x v="1"/>
    <x v="2"/>
    <x v="0"/>
    <x v="3"/>
  </r>
  <r>
    <s v="EV-0205"/>
    <x v="3"/>
    <s v="Bharat Petroleum"/>
    <s v="Bharat DC-001"/>
    <s v="Active"/>
    <d v="2025-09-15T00:00:00"/>
    <n v="6642.42"/>
    <n v="98749.5"/>
    <x v="3"/>
    <x v="3"/>
    <x v="6"/>
    <x v="6"/>
    <s v="Bharat Dc-001"/>
    <x v="2"/>
    <x v="1"/>
    <x v="1"/>
    <x v="3"/>
    <x v="0"/>
    <x v="91"/>
    <x v="0"/>
    <x v="1"/>
    <x v="0"/>
    <x v="2"/>
  </r>
  <r>
    <s v="EV-0206"/>
    <x v="4"/>
    <s v="bpcl"/>
    <s v="Type2 AC"/>
    <s v="Active"/>
    <d v="2024-07-22T00:00:00"/>
    <n v="10929.68"/>
    <n v="115541.41"/>
    <x v="4"/>
    <x v="4"/>
    <x v="4"/>
    <x v="4"/>
    <s v="Type2 Ac"/>
    <x v="0"/>
    <x v="1"/>
    <x v="1"/>
    <x v="4"/>
    <x v="0"/>
    <x v="25"/>
    <x v="1"/>
    <x v="0"/>
    <x v="1"/>
    <x v="0"/>
  </r>
  <r>
    <s v="EV-0207"/>
    <x v="4"/>
    <s v="Zeon Charging"/>
    <s v="Type2 AC"/>
    <s v="Maintenance"/>
    <d v="2024-06-05T00:00:00"/>
    <m/>
    <n v="25997.38"/>
    <x v="4"/>
    <x v="4"/>
    <x v="2"/>
    <x v="2"/>
    <s v="Type2 Ac"/>
    <x v="0"/>
    <x v="2"/>
    <x v="2"/>
    <x v="4"/>
    <x v="0"/>
    <x v="141"/>
    <x v="0"/>
    <x v="0"/>
    <x v="1"/>
    <x v="0"/>
  </r>
  <r>
    <s v="EV-0208"/>
    <x v="2"/>
    <s v="Zeon Charging"/>
    <s v="CHAdeMO"/>
    <s v="Active"/>
    <d v="2025-01-17T00:00:00"/>
    <n v="8124.5"/>
    <n v="101668.27"/>
    <x v="2"/>
    <x v="2"/>
    <x v="2"/>
    <x v="2"/>
    <s v="Chademo"/>
    <x v="1"/>
    <x v="1"/>
    <x v="1"/>
    <x v="2"/>
    <x v="0"/>
    <x v="174"/>
    <x v="0"/>
    <x v="1"/>
    <x v="0"/>
    <x v="1"/>
  </r>
  <r>
    <s v="EV-0209"/>
    <x v="4"/>
    <s v="ChargePoint"/>
    <s v="CCS2"/>
    <s v="Inactive"/>
    <d v="2026-02-19T00:00:00"/>
    <n v="41.97"/>
    <n v="353.55"/>
    <x v="4"/>
    <x v="4"/>
    <x v="0"/>
    <x v="0"/>
    <s v="Ccs2"/>
    <x v="3"/>
    <x v="3"/>
    <x v="3"/>
    <x v="4"/>
    <x v="0"/>
    <x v="167"/>
    <x v="0"/>
    <x v="2"/>
    <x v="2"/>
    <x v="3"/>
  </r>
  <r>
    <s v="EV-0210"/>
    <x v="4"/>
    <s v="ChargePoint"/>
    <s v="CCS2"/>
    <s v="Active"/>
    <d v="2024-06-14T00:00:00"/>
    <n v="5429.05"/>
    <n v="53916.82"/>
    <x v="4"/>
    <x v="4"/>
    <x v="0"/>
    <x v="0"/>
    <s v="Ccs2"/>
    <x v="3"/>
    <x v="1"/>
    <x v="1"/>
    <x v="4"/>
    <x v="0"/>
    <x v="175"/>
    <x v="0"/>
    <x v="2"/>
    <x v="1"/>
    <x v="3"/>
  </r>
  <r>
    <s v="EV-0211"/>
    <x v="3"/>
    <s v="Zeon Charging"/>
    <s v="CHAdeMO"/>
    <s v="Active"/>
    <d v="2025-07-06T00:00:00"/>
    <n v="10468.790000000001"/>
    <n v="154702"/>
    <x v="3"/>
    <x v="3"/>
    <x v="2"/>
    <x v="2"/>
    <s v="Chademo"/>
    <x v="1"/>
    <x v="1"/>
    <x v="1"/>
    <x v="3"/>
    <x v="0"/>
    <x v="176"/>
    <x v="0"/>
    <x v="1"/>
    <x v="0"/>
    <x v="1"/>
  </r>
  <r>
    <s v="EV-0212"/>
    <x v="2"/>
    <s v="Zeon Charging"/>
    <s v="Type2 AC"/>
    <s v="Active"/>
    <d v="2026-03-08T00:00:00"/>
    <n v="2589.88"/>
    <n v="37923.81"/>
    <x v="2"/>
    <x v="2"/>
    <x v="2"/>
    <x v="2"/>
    <s v="Type2 Ac"/>
    <x v="0"/>
    <x v="1"/>
    <x v="1"/>
    <x v="2"/>
    <x v="0"/>
    <x v="177"/>
    <x v="0"/>
    <x v="0"/>
    <x v="2"/>
    <x v="0"/>
  </r>
  <r>
    <s v="EV-0213"/>
    <x v="2"/>
    <s v="Ather Grid"/>
    <s v="Bharat DC-001"/>
    <s v="Active"/>
    <d v="2025-06-27T00:00:00"/>
    <n v="3491.8"/>
    <n v="48079.77"/>
    <x v="2"/>
    <x v="2"/>
    <x v="3"/>
    <x v="3"/>
    <s v="Bharat Dc-001"/>
    <x v="2"/>
    <x v="1"/>
    <x v="1"/>
    <x v="2"/>
    <x v="0"/>
    <x v="178"/>
    <x v="0"/>
    <x v="1"/>
    <x v="0"/>
    <x v="2"/>
  </r>
  <r>
    <s v="EV-0214"/>
    <x v="9"/>
    <s v="bpcl"/>
    <s v="CHAdeMO"/>
    <s v="Active"/>
    <d v="2024-01-01T00:00:00"/>
    <n v="4264.5600000000004"/>
    <n v="36853.11"/>
    <x v="9"/>
    <x v="8"/>
    <x v="4"/>
    <x v="4"/>
    <s v="Chademo"/>
    <x v="1"/>
    <x v="1"/>
    <x v="1"/>
    <x v="11"/>
    <x v="0"/>
    <x v="179"/>
    <x v="1"/>
    <x v="1"/>
    <x v="1"/>
    <x v="1"/>
  </r>
  <r>
    <s v="EV-0215"/>
    <x v="2"/>
    <s v="ChargePoint"/>
    <s v="Bharat DC-001"/>
    <s v="Active"/>
    <d v="2025-09-05T00:00:00"/>
    <n v="5729.04"/>
    <n v="54338.46"/>
    <x v="2"/>
    <x v="2"/>
    <x v="0"/>
    <x v="0"/>
    <s v="Bharat Dc-001"/>
    <x v="2"/>
    <x v="1"/>
    <x v="1"/>
    <x v="2"/>
    <x v="0"/>
    <x v="180"/>
    <x v="0"/>
    <x v="1"/>
    <x v="0"/>
    <x v="2"/>
  </r>
  <r>
    <s v="EV-0216"/>
    <x v="9"/>
    <s v="bpcl"/>
    <s v="Type2 AC"/>
    <s v="Active"/>
    <d v="2024-11-27T00:00:00"/>
    <n v="4381.26"/>
    <n v="54662.57"/>
    <x v="9"/>
    <x v="8"/>
    <x v="4"/>
    <x v="4"/>
    <s v="Type2 Ac"/>
    <x v="0"/>
    <x v="1"/>
    <x v="1"/>
    <x v="11"/>
    <x v="0"/>
    <x v="181"/>
    <x v="1"/>
    <x v="0"/>
    <x v="1"/>
    <x v="0"/>
  </r>
  <r>
    <s v="EV-0217"/>
    <x v="9"/>
    <s v="bpcl"/>
    <s v="CCS2"/>
    <s v="Active"/>
    <d v="2025-05-15T00:00:00"/>
    <n v="10615.86"/>
    <n v="157089.81"/>
    <x v="9"/>
    <x v="8"/>
    <x v="4"/>
    <x v="4"/>
    <s v="Ccs2"/>
    <x v="3"/>
    <x v="1"/>
    <x v="1"/>
    <x v="11"/>
    <x v="0"/>
    <x v="182"/>
    <x v="1"/>
    <x v="2"/>
    <x v="0"/>
    <x v="3"/>
  </r>
  <r>
    <s v="EV-0218"/>
    <x v="2"/>
    <s v="Zeon Charging"/>
    <s v="Type2 AC"/>
    <s v="Active"/>
    <d v="2024-01-20T00:00:00"/>
    <n v="3699.95"/>
    <n v="30909.57"/>
    <x v="2"/>
    <x v="2"/>
    <x v="2"/>
    <x v="2"/>
    <s v="Type2 Ac"/>
    <x v="0"/>
    <x v="1"/>
    <x v="1"/>
    <x v="2"/>
    <x v="0"/>
    <x v="183"/>
    <x v="0"/>
    <x v="0"/>
    <x v="1"/>
    <x v="0"/>
  </r>
  <r>
    <s v="EV-0219"/>
    <x v="2"/>
    <s v="Ather Grid"/>
    <s v="CHAdeMO"/>
    <s v="Active"/>
    <d v="2024-04-24T00:00:00"/>
    <n v="11438.85"/>
    <n v="118215.53"/>
    <x v="2"/>
    <x v="2"/>
    <x v="3"/>
    <x v="3"/>
    <s v="Chademo"/>
    <x v="1"/>
    <x v="1"/>
    <x v="1"/>
    <x v="2"/>
    <x v="0"/>
    <x v="1"/>
    <x v="0"/>
    <x v="1"/>
    <x v="1"/>
    <x v="1"/>
  </r>
  <r>
    <s v="EV-0220"/>
    <x v="7"/>
    <s v="Tata Power"/>
    <s v="CCS2"/>
    <s v="Active"/>
    <d v="2025-01-06T00:00:00"/>
    <n v="5348"/>
    <n v="79801.5"/>
    <x v="7"/>
    <x v="6"/>
    <x v="5"/>
    <x v="5"/>
    <s v="Ccs2"/>
    <x v="3"/>
    <x v="1"/>
    <x v="1"/>
    <x v="7"/>
    <x v="0"/>
    <x v="184"/>
    <x v="1"/>
    <x v="2"/>
    <x v="0"/>
    <x v="3"/>
  </r>
  <r>
    <s v="EV-0221"/>
    <x v="2"/>
    <s v="Ather Grid"/>
    <s v="CHAdeMO"/>
    <s v="Active"/>
    <d v="2026-05-01T00:00:00"/>
    <n v="10101.48"/>
    <n v="136459.34"/>
    <x v="2"/>
    <x v="2"/>
    <x v="3"/>
    <x v="3"/>
    <s v="Chademo"/>
    <x v="1"/>
    <x v="1"/>
    <x v="1"/>
    <x v="2"/>
    <x v="0"/>
    <x v="185"/>
    <x v="0"/>
    <x v="1"/>
    <x v="2"/>
    <x v="1"/>
  </r>
  <r>
    <s v="EV-0222"/>
    <x v="3"/>
    <s v="Ather Grid"/>
    <s v="CHAdeMO"/>
    <s v="Inactive"/>
    <d v="2026-04-06T00:00:00"/>
    <n v="235.15"/>
    <m/>
    <x v="3"/>
    <x v="3"/>
    <x v="3"/>
    <x v="3"/>
    <s v="Chademo"/>
    <x v="1"/>
    <x v="3"/>
    <x v="3"/>
    <x v="3"/>
    <x v="0"/>
    <x v="53"/>
    <x v="0"/>
    <x v="1"/>
    <x v="2"/>
    <x v="1"/>
  </r>
  <r>
    <s v="EV-0223"/>
    <x v="4"/>
    <s v="bpcl"/>
    <s v="Type2 AC"/>
    <s v="Active"/>
    <d v="2024-11-10T00:00:00"/>
    <n v="9113.7800000000007"/>
    <n v="125849.68"/>
    <x v="4"/>
    <x v="4"/>
    <x v="4"/>
    <x v="4"/>
    <s v="Type2 Ac"/>
    <x v="0"/>
    <x v="1"/>
    <x v="1"/>
    <x v="4"/>
    <x v="0"/>
    <x v="186"/>
    <x v="1"/>
    <x v="0"/>
    <x v="1"/>
    <x v="0"/>
  </r>
  <r>
    <s v="EV-0224"/>
    <x v="0"/>
    <s v="Ather Grid"/>
    <s v="CHAdeMO"/>
    <s v="Inactive"/>
    <d v="2024-09-02T00:00:00"/>
    <n v="26.04"/>
    <n v="309.33999999999997"/>
    <x v="0"/>
    <x v="0"/>
    <x v="3"/>
    <x v="3"/>
    <s v="Chademo"/>
    <x v="1"/>
    <x v="3"/>
    <x v="3"/>
    <x v="0"/>
    <x v="0"/>
    <x v="187"/>
    <x v="0"/>
    <x v="1"/>
    <x v="1"/>
    <x v="1"/>
  </r>
  <r>
    <s v="EV-0225"/>
    <x v="9"/>
    <s v="ChargePoint"/>
    <s v="Type2 AC"/>
    <s v="Active"/>
    <d v="2024-02-29T00:00:00"/>
    <n v="11447.08"/>
    <n v="138563.26"/>
    <x v="9"/>
    <x v="8"/>
    <x v="0"/>
    <x v="0"/>
    <s v="Type2 Ac"/>
    <x v="0"/>
    <x v="1"/>
    <x v="1"/>
    <x v="11"/>
    <x v="0"/>
    <x v="188"/>
    <x v="0"/>
    <x v="0"/>
    <x v="1"/>
    <x v="0"/>
  </r>
  <r>
    <s v="EV-0226"/>
    <x v="9"/>
    <s v="bpcl"/>
    <s v="CCS2"/>
    <s v="Active"/>
    <d v="2024-09-03T00:00:00"/>
    <n v="3078.55"/>
    <n v="42149.57"/>
    <x v="9"/>
    <x v="8"/>
    <x v="4"/>
    <x v="4"/>
    <s v="Ccs2"/>
    <x v="3"/>
    <x v="1"/>
    <x v="1"/>
    <x v="11"/>
    <x v="0"/>
    <x v="189"/>
    <x v="1"/>
    <x v="2"/>
    <x v="1"/>
    <x v="3"/>
  </r>
  <r>
    <s v="EV-0227"/>
    <x v="1"/>
    <s v="ChargePoint"/>
    <s v="Type2 AC"/>
    <s v="Maintenance"/>
    <d v="2025-08-03T00:00:00"/>
    <n v="298.99"/>
    <n v="2879.57"/>
    <x v="1"/>
    <x v="1"/>
    <x v="0"/>
    <x v="0"/>
    <s v="Type2 Ac"/>
    <x v="0"/>
    <x v="2"/>
    <x v="2"/>
    <x v="1"/>
    <x v="0"/>
    <x v="39"/>
    <x v="0"/>
    <x v="0"/>
    <x v="0"/>
    <x v="0"/>
  </r>
  <r>
    <s v="EV-0228"/>
    <x v="0"/>
    <s v="Tata Power"/>
    <s v="CCS2"/>
    <s v="Active"/>
    <d v="2024-03-21T00:00:00"/>
    <n v="11508.78"/>
    <n v="154454.5"/>
    <x v="0"/>
    <x v="0"/>
    <x v="5"/>
    <x v="5"/>
    <s v="Ccs2"/>
    <x v="3"/>
    <x v="1"/>
    <x v="1"/>
    <x v="0"/>
    <x v="0"/>
    <x v="60"/>
    <x v="1"/>
    <x v="2"/>
    <x v="1"/>
    <x v="3"/>
  </r>
  <r>
    <s v="EV-0229"/>
    <x v="6"/>
    <s v="bpcl"/>
    <s v="Type2 AC"/>
    <s v="Active"/>
    <s v="28/03/2024"/>
    <n v="962.97"/>
    <n v="13019.84"/>
    <x v="6"/>
    <x v="5"/>
    <x v="4"/>
    <x v="4"/>
    <s v="Type2 Ac"/>
    <x v="0"/>
    <x v="1"/>
    <x v="1"/>
    <x v="6"/>
    <x v="1"/>
    <x v="190"/>
    <x v="1"/>
    <x v="0"/>
    <x v="4"/>
    <x v="0"/>
  </r>
  <r>
    <s v="EV-0230"/>
    <x v="2"/>
    <s v="Tata Power"/>
    <s v="Bharat DC-001"/>
    <s v="Active"/>
    <d v="2026-01-19T00:00:00"/>
    <n v="856.84"/>
    <n v="10429.35"/>
    <x v="2"/>
    <x v="2"/>
    <x v="5"/>
    <x v="5"/>
    <s v="Bharat Dc-001"/>
    <x v="2"/>
    <x v="1"/>
    <x v="1"/>
    <x v="2"/>
    <x v="0"/>
    <x v="191"/>
    <x v="1"/>
    <x v="1"/>
    <x v="2"/>
    <x v="2"/>
  </r>
  <r>
    <s v="EV-0231"/>
    <x v="7"/>
    <s v="bpcl"/>
    <s v="Bharat DC-001"/>
    <s v="Active"/>
    <d v="2025-05-12T00:00:00"/>
    <n v="3343.76"/>
    <n v="33240.06"/>
    <x v="7"/>
    <x v="6"/>
    <x v="4"/>
    <x v="4"/>
    <s v="Bharat Dc-001"/>
    <x v="2"/>
    <x v="1"/>
    <x v="1"/>
    <x v="7"/>
    <x v="0"/>
    <x v="192"/>
    <x v="1"/>
    <x v="1"/>
    <x v="0"/>
    <x v="2"/>
  </r>
  <r>
    <s v="EV-0232"/>
    <x v="8"/>
    <s v="Zeon Charging"/>
    <s v="CHAdeMO"/>
    <s v="Active"/>
    <d v="2026-04-15T00:00:00"/>
    <n v="10151.129999999999"/>
    <n v="151132.01999999999"/>
    <x v="8"/>
    <x v="7"/>
    <x v="2"/>
    <x v="2"/>
    <s v="Chademo"/>
    <x v="1"/>
    <x v="1"/>
    <x v="1"/>
    <x v="8"/>
    <x v="0"/>
    <x v="193"/>
    <x v="0"/>
    <x v="1"/>
    <x v="2"/>
    <x v="1"/>
  </r>
  <r>
    <s v="EV-0233"/>
    <x v="3"/>
    <s v="Ather Grid"/>
    <s v="Type2 AC"/>
    <s v="Active"/>
    <d v="2024-03-11T00:00:00"/>
    <n v="7645.36"/>
    <n v="114012.89"/>
    <x v="3"/>
    <x v="3"/>
    <x v="3"/>
    <x v="3"/>
    <s v="Type2 Ac"/>
    <x v="0"/>
    <x v="1"/>
    <x v="1"/>
    <x v="9"/>
    <x v="0"/>
    <x v="194"/>
    <x v="0"/>
    <x v="0"/>
    <x v="1"/>
    <x v="0"/>
  </r>
  <r>
    <s v="EV-0234"/>
    <x v="0"/>
    <s v="Zeon Charging"/>
    <s v="Type2 AC"/>
    <s v="Maintenance"/>
    <d v="2026-02-17T00:00:00"/>
    <n v="791.78"/>
    <n v="9328.36"/>
    <x v="0"/>
    <x v="0"/>
    <x v="2"/>
    <x v="2"/>
    <s v="Type2 Ac"/>
    <x v="0"/>
    <x v="2"/>
    <x v="2"/>
    <x v="0"/>
    <x v="0"/>
    <x v="195"/>
    <x v="0"/>
    <x v="0"/>
    <x v="2"/>
    <x v="0"/>
  </r>
  <r>
    <s v="EV-0235"/>
    <x v="9"/>
    <s v="Tata Power"/>
    <s v="CCS2"/>
    <s v="Active"/>
    <d v="2025-06-29T00:00:00"/>
    <n v="5945.95"/>
    <n v="80803.06"/>
    <x v="9"/>
    <x v="8"/>
    <x v="5"/>
    <x v="5"/>
    <s v="Ccs2"/>
    <x v="3"/>
    <x v="1"/>
    <x v="1"/>
    <x v="11"/>
    <x v="0"/>
    <x v="196"/>
    <x v="1"/>
    <x v="2"/>
    <x v="0"/>
    <x v="3"/>
  </r>
  <r>
    <s v="EV-0236"/>
    <x v="2"/>
    <s v="Ather Grid"/>
    <s v="CHAdeMO"/>
    <s v="Active"/>
    <d v="2026-02-23T00:00:00"/>
    <m/>
    <n v="15920.82"/>
    <x v="2"/>
    <x v="2"/>
    <x v="3"/>
    <x v="3"/>
    <s v="Chademo"/>
    <x v="1"/>
    <x v="1"/>
    <x v="1"/>
    <x v="2"/>
    <x v="0"/>
    <x v="197"/>
    <x v="0"/>
    <x v="1"/>
    <x v="2"/>
    <x v="1"/>
  </r>
  <r>
    <s v="EV-0237"/>
    <x v="9"/>
    <s v="bpcl"/>
    <s v="Type2 AC"/>
    <s v="Active"/>
    <d v="2024-05-08T00:00:00"/>
    <n v="11399.21"/>
    <m/>
    <x v="9"/>
    <x v="8"/>
    <x v="4"/>
    <x v="4"/>
    <s v="Type2 Ac"/>
    <x v="0"/>
    <x v="1"/>
    <x v="1"/>
    <x v="11"/>
    <x v="0"/>
    <x v="198"/>
    <x v="1"/>
    <x v="0"/>
    <x v="1"/>
    <x v="0"/>
  </r>
  <r>
    <s v="EV-0238"/>
    <x v="4"/>
    <s v="Ather Grid"/>
    <s v="CHAdeMO"/>
    <s v="Inactive"/>
    <d v="2024-05-11T00:00:00"/>
    <m/>
    <m/>
    <x v="4"/>
    <x v="4"/>
    <x v="3"/>
    <x v="3"/>
    <s v="Chademo"/>
    <x v="1"/>
    <x v="3"/>
    <x v="3"/>
    <x v="4"/>
    <x v="0"/>
    <x v="199"/>
    <x v="0"/>
    <x v="1"/>
    <x v="1"/>
    <x v="1"/>
  </r>
  <r>
    <s v="EV-0239"/>
    <x v="2"/>
    <s v="ChargePoint"/>
    <s v="Bharat DC-001"/>
    <s v="Active"/>
    <d v="2025-11-06T00:00:00"/>
    <n v="3446.8"/>
    <n v="36217.93"/>
    <x v="2"/>
    <x v="2"/>
    <x v="0"/>
    <x v="0"/>
    <s v="Bharat Dc-001"/>
    <x v="2"/>
    <x v="1"/>
    <x v="1"/>
    <x v="2"/>
    <x v="0"/>
    <x v="200"/>
    <x v="0"/>
    <x v="1"/>
    <x v="0"/>
    <x v="2"/>
  </r>
  <r>
    <s v="EV-0240"/>
    <x v="4"/>
    <s v="Ather Grid"/>
    <s v="Type2 AC"/>
    <s v="Active"/>
    <d v="2025-05-01T00:00:00"/>
    <n v="4742.29"/>
    <n v="64111.12"/>
    <x v="4"/>
    <x v="4"/>
    <x v="3"/>
    <x v="3"/>
    <s v="Type2 Ac"/>
    <x v="0"/>
    <x v="1"/>
    <x v="1"/>
    <x v="4"/>
    <x v="0"/>
    <x v="201"/>
    <x v="0"/>
    <x v="0"/>
    <x v="0"/>
    <x v="0"/>
  </r>
  <r>
    <s v="EV-0241"/>
    <x v="1"/>
    <s v="ChargePoint"/>
    <s v="Type2 AC"/>
    <s v="Active"/>
    <d v="2025-07-16T00:00:00"/>
    <n v="7467.77"/>
    <n v="90524.09"/>
    <x v="1"/>
    <x v="1"/>
    <x v="0"/>
    <x v="0"/>
    <s v="Type2 Ac"/>
    <x v="0"/>
    <x v="1"/>
    <x v="1"/>
    <x v="1"/>
    <x v="0"/>
    <x v="202"/>
    <x v="0"/>
    <x v="0"/>
    <x v="0"/>
    <x v="0"/>
  </r>
  <r>
    <s v="EV-0242"/>
    <x v="1"/>
    <s v="Ather Grid"/>
    <s v="CHAdeMO"/>
    <s v="Decommissioned"/>
    <d v="2024-06-18T00:00:00"/>
    <n v="192.75"/>
    <n v="1563.29"/>
    <x v="1"/>
    <x v="1"/>
    <x v="3"/>
    <x v="3"/>
    <s v="Chademo"/>
    <x v="1"/>
    <x v="0"/>
    <x v="0"/>
    <x v="1"/>
    <x v="0"/>
    <x v="203"/>
    <x v="0"/>
    <x v="1"/>
    <x v="1"/>
    <x v="1"/>
  </r>
  <r>
    <s v="EV-0243"/>
    <x v="6"/>
    <s v="ChargePoint"/>
    <s v="Type2 AC"/>
    <s v="Active"/>
    <d v="2024-09-28T00:00:00"/>
    <n v="8761.11"/>
    <n v="86363.28"/>
    <x v="6"/>
    <x v="5"/>
    <x v="0"/>
    <x v="0"/>
    <s v="Type2 Ac"/>
    <x v="0"/>
    <x v="1"/>
    <x v="1"/>
    <x v="6"/>
    <x v="0"/>
    <x v="125"/>
    <x v="0"/>
    <x v="0"/>
    <x v="1"/>
    <x v="0"/>
  </r>
  <r>
    <s v="EV-0244"/>
    <x v="0"/>
    <s v="Tata Power"/>
    <s v="CHAdeMO"/>
    <s v="Active"/>
    <d v="2025-06-24T00:00:00"/>
    <n v="9444.61"/>
    <n v="83937.18"/>
    <x v="0"/>
    <x v="0"/>
    <x v="5"/>
    <x v="5"/>
    <s v="Chademo"/>
    <x v="1"/>
    <x v="1"/>
    <x v="1"/>
    <x v="0"/>
    <x v="0"/>
    <x v="204"/>
    <x v="1"/>
    <x v="1"/>
    <x v="0"/>
    <x v="1"/>
  </r>
  <r>
    <s v="EV-0245"/>
    <x v="4"/>
    <s v="Zeon Charging"/>
    <s v="Type2 AC"/>
    <s v="Active"/>
    <d v="2025-09-13T00:00:00"/>
    <n v="2383.31"/>
    <n v="26089.439999999999"/>
    <x v="4"/>
    <x v="4"/>
    <x v="2"/>
    <x v="2"/>
    <s v="Type2 Ac"/>
    <x v="0"/>
    <x v="1"/>
    <x v="1"/>
    <x v="4"/>
    <x v="0"/>
    <x v="205"/>
    <x v="0"/>
    <x v="0"/>
    <x v="0"/>
    <x v="0"/>
  </r>
  <r>
    <s v="EV-0246"/>
    <x v="6"/>
    <s v="bpcl"/>
    <s v="CCS2"/>
    <s v="Active"/>
    <d v="2025-03-09T00:00:00"/>
    <n v="4076.95"/>
    <n v="35859"/>
    <x v="6"/>
    <x v="5"/>
    <x v="4"/>
    <x v="4"/>
    <s v="Ccs2"/>
    <x v="3"/>
    <x v="1"/>
    <x v="1"/>
    <x v="6"/>
    <x v="0"/>
    <x v="206"/>
    <x v="1"/>
    <x v="2"/>
    <x v="0"/>
    <x v="3"/>
  </r>
  <r>
    <s v="EV-0247"/>
    <x v="0"/>
    <s v="Ather Grid"/>
    <s v="CHAdeMO"/>
    <s v="Active"/>
    <d v="2024-08-04T00:00:00"/>
    <n v="7154.87"/>
    <n v="60422.21"/>
    <x v="0"/>
    <x v="0"/>
    <x v="3"/>
    <x v="3"/>
    <s v="Chademo"/>
    <x v="1"/>
    <x v="1"/>
    <x v="1"/>
    <x v="0"/>
    <x v="0"/>
    <x v="115"/>
    <x v="0"/>
    <x v="1"/>
    <x v="1"/>
    <x v="1"/>
  </r>
  <r>
    <s v="EV-0248"/>
    <x v="1"/>
    <s v="Zeon Charging"/>
    <s v="Type2 AC"/>
    <s v="Active"/>
    <d v="2025-07-06T00:00:00"/>
    <n v="11182.2"/>
    <n v="124546.52"/>
    <x v="1"/>
    <x v="1"/>
    <x v="2"/>
    <x v="2"/>
    <s v="Type2 Ac"/>
    <x v="0"/>
    <x v="1"/>
    <x v="1"/>
    <x v="1"/>
    <x v="0"/>
    <x v="176"/>
    <x v="0"/>
    <x v="0"/>
    <x v="0"/>
    <x v="0"/>
  </r>
  <r>
    <s v="EV-0249"/>
    <x v="1"/>
    <m/>
    <s v="Bharat DC-001"/>
    <s v="Inactive"/>
    <d v="2026-02-12T00:00:00"/>
    <n v="287.89999999999998"/>
    <n v="3032.82"/>
    <x v="1"/>
    <x v="1"/>
    <x v="7"/>
    <x v="7"/>
    <s v="Bharat Dc-001"/>
    <x v="2"/>
    <x v="3"/>
    <x v="3"/>
    <x v="1"/>
    <x v="0"/>
    <x v="138"/>
    <x v="0"/>
    <x v="1"/>
    <x v="2"/>
    <x v="2"/>
  </r>
  <r>
    <s v="EV-0250"/>
    <x v="6"/>
    <s v="bpcl"/>
    <s v="Type2 AC"/>
    <s v="Inactive"/>
    <d v="2026-01-17T00:00:00"/>
    <n v="454.01"/>
    <n v="5518.79"/>
    <x v="6"/>
    <x v="5"/>
    <x v="4"/>
    <x v="4"/>
    <s v="Type2 Ac"/>
    <x v="0"/>
    <x v="3"/>
    <x v="3"/>
    <x v="6"/>
    <x v="0"/>
    <x v="55"/>
    <x v="1"/>
    <x v="0"/>
    <x v="2"/>
    <x v="0"/>
  </r>
  <r>
    <s v="EV-0251"/>
    <x v="9"/>
    <s v="ChargePoint"/>
    <s v="Bharat DC-001"/>
    <s v="Active"/>
    <d v="2025-12-07T00:00:00"/>
    <n v="4816.03"/>
    <n v="53766.34"/>
    <x v="9"/>
    <x v="8"/>
    <x v="0"/>
    <x v="0"/>
    <s v="Bharat Dc-001"/>
    <x v="2"/>
    <x v="1"/>
    <x v="1"/>
    <x v="11"/>
    <x v="0"/>
    <x v="207"/>
    <x v="0"/>
    <x v="1"/>
    <x v="0"/>
    <x v="2"/>
  </r>
  <r>
    <s v="EV-0252"/>
    <x v="0"/>
    <s v="Tata Power"/>
    <s v="Bharat DC-001"/>
    <s v="Maintenance"/>
    <d v="2024-07-24T00:00:00"/>
    <n v="2830.26"/>
    <n v="27031.38"/>
    <x v="0"/>
    <x v="0"/>
    <x v="5"/>
    <x v="5"/>
    <s v="Bharat Dc-001"/>
    <x v="2"/>
    <x v="2"/>
    <x v="2"/>
    <x v="0"/>
    <x v="0"/>
    <x v="208"/>
    <x v="1"/>
    <x v="1"/>
    <x v="1"/>
    <x v="2"/>
  </r>
  <r>
    <s v="EV-0253"/>
    <x v="6"/>
    <s v="Tata Power"/>
    <s v="CCS2"/>
    <s v="Active"/>
    <d v="2025-12-31T00:00:00"/>
    <n v="2780.79"/>
    <n v="34219.699999999997"/>
    <x v="6"/>
    <x v="5"/>
    <x v="5"/>
    <x v="5"/>
    <s v="Ccs2"/>
    <x v="3"/>
    <x v="1"/>
    <x v="1"/>
    <x v="6"/>
    <x v="0"/>
    <x v="209"/>
    <x v="1"/>
    <x v="2"/>
    <x v="0"/>
    <x v="3"/>
  </r>
  <r>
    <s v="EV-0254"/>
    <x v="9"/>
    <s v="Zeon Charging"/>
    <s v="CHAdeMO"/>
    <s v="Active"/>
    <d v="2024-11-15T00:00:00"/>
    <n v="7309.13"/>
    <n v="95681.64"/>
    <x v="9"/>
    <x v="8"/>
    <x v="2"/>
    <x v="2"/>
    <s v="Chademo"/>
    <x v="1"/>
    <x v="1"/>
    <x v="1"/>
    <x v="11"/>
    <x v="0"/>
    <x v="210"/>
    <x v="0"/>
    <x v="1"/>
    <x v="1"/>
    <x v="1"/>
  </r>
  <r>
    <s v="EV-0255"/>
    <x v="4"/>
    <s v="Tata Power"/>
    <s v="Type2 AC"/>
    <s v="Active"/>
    <d v="2025-02-12T00:00:00"/>
    <n v="10051.57"/>
    <n v="144353.23000000001"/>
    <x v="4"/>
    <x v="4"/>
    <x v="5"/>
    <x v="5"/>
    <s v="Type2 Ac"/>
    <x v="0"/>
    <x v="1"/>
    <x v="1"/>
    <x v="4"/>
    <x v="0"/>
    <x v="133"/>
    <x v="1"/>
    <x v="0"/>
    <x v="0"/>
    <x v="0"/>
  </r>
  <r>
    <s v="EV-0256"/>
    <x v="3"/>
    <s v="Ather Grid"/>
    <s v="CCS2"/>
    <s v="Decommissioned"/>
    <d v="2025-11-18T00:00:00"/>
    <n v="48.57"/>
    <n v="612.58000000000004"/>
    <x v="3"/>
    <x v="3"/>
    <x v="3"/>
    <x v="3"/>
    <s v="Ccs2"/>
    <x v="3"/>
    <x v="0"/>
    <x v="0"/>
    <x v="3"/>
    <x v="0"/>
    <x v="211"/>
    <x v="0"/>
    <x v="2"/>
    <x v="0"/>
    <x v="3"/>
  </r>
  <r>
    <s v="EV-0257"/>
    <x v="1"/>
    <s v="Tata Power"/>
    <s v="Type2 AC"/>
    <s v="Active"/>
    <d v="2025-10-27T00:00:00"/>
    <n v="8517.7199999999993"/>
    <n v="86126.18"/>
    <x v="1"/>
    <x v="1"/>
    <x v="5"/>
    <x v="5"/>
    <s v="Type2 Ac"/>
    <x v="0"/>
    <x v="1"/>
    <x v="1"/>
    <x v="1"/>
    <x v="0"/>
    <x v="27"/>
    <x v="1"/>
    <x v="0"/>
    <x v="0"/>
    <x v="0"/>
  </r>
  <r>
    <s v="EV-0258"/>
    <x v="2"/>
    <s v="ZeonCharging"/>
    <s v="Bharat DC-001"/>
    <s v="Active"/>
    <d v="2025-01-17T00:00:00"/>
    <n v="3968.2"/>
    <n v="49615.93"/>
    <x v="2"/>
    <x v="2"/>
    <x v="9"/>
    <x v="9"/>
    <s v="Bharat Dc-001"/>
    <x v="2"/>
    <x v="1"/>
    <x v="1"/>
    <x v="2"/>
    <x v="0"/>
    <x v="174"/>
    <x v="0"/>
    <x v="1"/>
    <x v="0"/>
    <x v="2"/>
  </r>
  <r>
    <s v="EV-0259"/>
    <x v="3"/>
    <s v="Tata Power"/>
    <s v="CHAdeMO"/>
    <s v="Active"/>
    <d v="2025-03-24T00:00:00"/>
    <n v="8368.98"/>
    <n v="68776.73"/>
    <x v="3"/>
    <x v="3"/>
    <x v="5"/>
    <x v="5"/>
    <s v="Chademo"/>
    <x v="1"/>
    <x v="1"/>
    <x v="1"/>
    <x v="3"/>
    <x v="0"/>
    <x v="212"/>
    <x v="1"/>
    <x v="1"/>
    <x v="0"/>
    <x v="1"/>
  </r>
  <r>
    <s v="EV-0260"/>
    <x v="4"/>
    <s v="Ather Grid"/>
    <s v="Type2 AC"/>
    <s v="Active"/>
    <d v="2025-06-13T00:00:00"/>
    <n v="9763.57"/>
    <n v="146356.96"/>
    <x v="4"/>
    <x v="4"/>
    <x v="3"/>
    <x v="3"/>
    <s v="Type2 Ac"/>
    <x v="0"/>
    <x v="1"/>
    <x v="1"/>
    <x v="4"/>
    <x v="0"/>
    <x v="213"/>
    <x v="0"/>
    <x v="0"/>
    <x v="0"/>
    <x v="0"/>
  </r>
  <r>
    <s v="EV-0261"/>
    <x v="3"/>
    <s v="ChargePoint"/>
    <s v="Type2 AC"/>
    <s v="Active"/>
    <d v="2025-04-07T00:00:00"/>
    <n v="9656.61"/>
    <n v="134527.1"/>
    <x v="3"/>
    <x v="3"/>
    <x v="0"/>
    <x v="0"/>
    <s v="Type2 Ac"/>
    <x v="0"/>
    <x v="1"/>
    <x v="1"/>
    <x v="3"/>
    <x v="0"/>
    <x v="214"/>
    <x v="0"/>
    <x v="0"/>
    <x v="0"/>
    <x v="0"/>
  </r>
  <r>
    <s v="EV-0262"/>
    <x v="1"/>
    <s v="Zeon Charging"/>
    <s v="Bharat DC-001"/>
    <s v="Active"/>
    <d v="2024-05-03T00:00:00"/>
    <n v="7008.22"/>
    <n v="76977.7"/>
    <x v="1"/>
    <x v="1"/>
    <x v="2"/>
    <x v="2"/>
    <s v="Bharat Dc-001"/>
    <x v="2"/>
    <x v="1"/>
    <x v="1"/>
    <x v="1"/>
    <x v="0"/>
    <x v="215"/>
    <x v="0"/>
    <x v="1"/>
    <x v="1"/>
    <x v="2"/>
  </r>
  <r>
    <s v="EV-0263"/>
    <x v="4"/>
    <s v="ChargePoint"/>
    <s v="Type2 AC"/>
    <s v="Active"/>
    <d v="2024-09-10T00:00:00"/>
    <n v="972.29"/>
    <n v="8513.11"/>
    <x v="4"/>
    <x v="4"/>
    <x v="0"/>
    <x v="0"/>
    <s v="Type2 Ac"/>
    <x v="0"/>
    <x v="1"/>
    <x v="1"/>
    <x v="4"/>
    <x v="0"/>
    <x v="216"/>
    <x v="0"/>
    <x v="0"/>
    <x v="1"/>
    <x v="0"/>
  </r>
  <r>
    <s v="EV-0264"/>
    <x v="3"/>
    <s v="ChargePoint"/>
    <s v="Type2 AC"/>
    <s v="Active"/>
    <d v="2024-08-18T00:00:00"/>
    <n v="6626.57"/>
    <n v="86058"/>
    <x v="3"/>
    <x v="3"/>
    <x v="0"/>
    <x v="0"/>
    <s v="Type2 Ac"/>
    <x v="0"/>
    <x v="1"/>
    <x v="1"/>
    <x v="3"/>
    <x v="0"/>
    <x v="217"/>
    <x v="0"/>
    <x v="0"/>
    <x v="1"/>
    <x v="0"/>
  </r>
  <r>
    <s v="EV-0265"/>
    <x v="6"/>
    <s v="ChargePoint"/>
    <s v="Bharat DC-001"/>
    <s v="Active"/>
    <d v="2024-03-06T00:00:00"/>
    <n v="8107.5"/>
    <n v="90033.27"/>
    <x v="6"/>
    <x v="5"/>
    <x v="0"/>
    <x v="0"/>
    <s v="Bharat Dc-001"/>
    <x v="2"/>
    <x v="1"/>
    <x v="1"/>
    <x v="6"/>
    <x v="0"/>
    <x v="146"/>
    <x v="0"/>
    <x v="1"/>
    <x v="1"/>
    <x v="2"/>
  </r>
  <r>
    <s v="EV-0266"/>
    <x v="2"/>
    <s v="bpcl"/>
    <s v="CCS2"/>
    <s v="Inactive"/>
    <d v="2024-12-12T00:00:00"/>
    <n v="34.479999999999997"/>
    <n v="492.89"/>
    <x v="2"/>
    <x v="2"/>
    <x v="4"/>
    <x v="4"/>
    <s v="Ccs2"/>
    <x v="3"/>
    <x v="3"/>
    <x v="3"/>
    <x v="2"/>
    <x v="0"/>
    <x v="218"/>
    <x v="1"/>
    <x v="2"/>
    <x v="1"/>
    <x v="3"/>
  </r>
  <r>
    <s v="EV-0267"/>
    <x v="8"/>
    <s v="bpcl"/>
    <s v="Bharat DC-001"/>
    <s v="Active"/>
    <d v="2024-01-22T00:00:00"/>
    <n v="7946.75"/>
    <n v="81492.19"/>
    <x v="8"/>
    <x v="7"/>
    <x v="4"/>
    <x v="4"/>
    <s v="Bharat Dc-001"/>
    <x v="2"/>
    <x v="1"/>
    <x v="1"/>
    <x v="8"/>
    <x v="0"/>
    <x v="219"/>
    <x v="1"/>
    <x v="1"/>
    <x v="1"/>
    <x v="2"/>
  </r>
  <r>
    <s v="EV-0268"/>
    <x v="2"/>
    <s v="ChargePoint"/>
    <s v="CCS2"/>
    <s v="Active"/>
    <d v="2025-08-25T00:00:00"/>
    <n v="645.5"/>
    <n v="5834.25"/>
    <x v="2"/>
    <x v="2"/>
    <x v="0"/>
    <x v="0"/>
    <s v="Ccs2"/>
    <x v="3"/>
    <x v="1"/>
    <x v="1"/>
    <x v="9"/>
    <x v="0"/>
    <x v="220"/>
    <x v="0"/>
    <x v="2"/>
    <x v="0"/>
    <x v="3"/>
  </r>
  <r>
    <s v="EV-0269"/>
    <x v="9"/>
    <s v="Zeon Charging"/>
    <s v="CHAdeMO"/>
    <s v="Inactive"/>
    <d v="2025-07-21T00:00:00"/>
    <n v="210.03"/>
    <n v="1865.77"/>
    <x v="9"/>
    <x v="8"/>
    <x v="2"/>
    <x v="2"/>
    <s v="Chademo"/>
    <x v="1"/>
    <x v="3"/>
    <x v="3"/>
    <x v="11"/>
    <x v="0"/>
    <x v="221"/>
    <x v="0"/>
    <x v="1"/>
    <x v="0"/>
    <x v="1"/>
  </r>
  <r>
    <s v="EV-0270"/>
    <x v="9"/>
    <s v="Ather Grid"/>
    <s v="CCS2"/>
    <s v="Active"/>
    <s v="23/08/2024"/>
    <n v="6137.32"/>
    <n v="75920.009999999995"/>
    <x v="9"/>
    <x v="8"/>
    <x v="3"/>
    <x v="3"/>
    <s v="Ccs2"/>
    <x v="3"/>
    <x v="1"/>
    <x v="1"/>
    <x v="11"/>
    <x v="1"/>
    <x v="222"/>
    <x v="0"/>
    <x v="2"/>
    <x v="4"/>
    <x v="3"/>
  </r>
  <r>
    <s v="EV-0271"/>
    <x v="7"/>
    <s v="Ather Grid"/>
    <s v="CCS2"/>
    <s v="Active"/>
    <d v="2025-08-25T00:00:00"/>
    <n v="5485.52"/>
    <m/>
    <x v="7"/>
    <x v="6"/>
    <x v="3"/>
    <x v="3"/>
    <s v="Ccs2"/>
    <x v="3"/>
    <x v="1"/>
    <x v="1"/>
    <x v="7"/>
    <x v="0"/>
    <x v="220"/>
    <x v="0"/>
    <x v="2"/>
    <x v="0"/>
    <x v="3"/>
  </r>
  <r>
    <s v="EV-0272"/>
    <x v="7"/>
    <s v="Tata Power"/>
    <s v="CHAdeMO"/>
    <s v="Decommissioned"/>
    <d v="2024-08-13T00:00:00"/>
    <n v="72.44"/>
    <n v="940.64"/>
    <x v="7"/>
    <x v="6"/>
    <x v="5"/>
    <x v="5"/>
    <s v="Chademo"/>
    <x v="1"/>
    <x v="0"/>
    <x v="0"/>
    <x v="7"/>
    <x v="0"/>
    <x v="29"/>
    <x v="1"/>
    <x v="1"/>
    <x v="1"/>
    <x v="1"/>
  </r>
  <r>
    <s v="EV-0273"/>
    <x v="6"/>
    <s v="Zeon Charging"/>
    <s v="CCS2"/>
    <s v="Active"/>
    <d v="2024-01-08T00:00:00"/>
    <n v="10753.11"/>
    <n v="114696.23"/>
    <x v="6"/>
    <x v="5"/>
    <x v="2"/>
    <x v="2"/>
    <s v="Ccs2"/>
    <x v="3"/>
    <x v="1"/>
    <x v="1"/>
    <x v="6"/>
    <x v="0"/>
    <x v="223"/>
    <x v="0"/>
    <x v="2"/>
    <x v="1"/>
    <x v="3"/>
  </r>
  <r>
    <s v="EV-0274"/>
    <x v="6"/>
    <s v="bpcl"/>
    <s v="Bharat DC-001"/>
    <s v="Active"/>
    <d v="2024-03-13T00:00:00"/>
    <n v="5787"/>
    <n v="70495.75"/>
    <x v="6"/>
    <x v="5"/>
    <x v="4"/>
    <x v="4"/>
    <s v="Bharat Dc-001"/>
    <x v="2"/>
    <x v="1"/>
    <x v="1"/>
    <x v="6"/>
    <x v="0"/>
    <x v="224"/>
    <x v="1"/>
    <x v="1"/>
    <x v="1"/>
    <x v="2"/>
  </r>
  <r>
    <s v="EV-0275"/>
    <x v="3"/>
    <s v="ChargePoint"/>
    <s v="CCS2"/>
    <s v="Active"/>
    <d v="2025-12-25T00:00:00"/>
    <n v="2259.4"/>
    <n v="22739.24"/>
    <x v="3"/>
    <x v="3"/>
    <x v="0"/>
    <x v="0"/>
    <s v="Ccs2"/>
    <x v="3"/>
    <x v="1"/>
    <x v="1"/>
    <x v="3"/>
    <x v="0"/>
    <x v="225"/>
    <x v="0"/>
    <x v="2"/>
    <x v="0"/>
    <x v="3"/>
  </r>
  <r>
    <s v="EV-0276"/>
    <x v="0"/>
    <s v="Tata Power"/>
    <s v="CHAdeMO"/>
    <s v="Active"/>
    <d v="2025-10-08T00:00:00"/>
    <n v="2525.58"/>
    <n v="29142.31"/>
    <x v="0"/>
    <x v="0"/>
    <x v="5"/>
    <x v="5"/>
    <s v="Chademo"/>
    <x v="1"/>
    <x v="1"/>
    <x v="1"/>
    <x v="0"/>
    <x v="0"/>
    <x v="226"/>
    <x v="1"/>
    <x v="1"/>
    <x v="0"/>
    <x v="1"/>
  </r>
  <r>
    <s v="EV-0277"/>
    <x v="7"/>
    <s v="Ather Grid"/>
    <s v="Bharat DC-001"/>
    <s v="Active"/>
    <d v="2024-03-01T00:00:00"/>
    <n v="6500.09"/>
    <n v="71575.06"/>
    <x v="7"/>
    <x v="6"/>
    <x v="3"/>
    <x v="3"/>
    <s v="Bharat Dc-001"/>
    <x v="2"/>
    <x v="1"/>
    <x v="1"/>
    <x v="7"/>
    <x v="0"/>
    <x v="227"/>
    <x v="0"/>
    <x v="1"/>
    <x v="1"/>
    <x v="2"/>
  </r>
  <r>
    <s v="EV-0278"/>
    <x v="2"/>
    <s v="bpcl"/>
    <s v="CHAdeMO"/>
    <s v="Active"/>
    <d v="2024-08-22T00:00:00"/>
    <n v="7980.26"/>
    <n v="108145.87"/>
    <x v="2"/>
    <x v="2"/>
    <x v="4"/>
    <x v="4"/>
    <s v="Chademo"/>
    <x v="1"/>
    <x v="1"/>
    <x v="1"/>
    <x v="2"/>
    <x v="0"/>
    <x v="109"/>
    <x v="1"/>
    <x v="1"/>
    <x v="1"/>
    <x v="1"/>
  </r>
  <r>
    <s v="EV-0279"/>
    <x v="2"/>
    <s v="bpcl"/>
    <s v="CHAdeMO"/>
    <s v="Active"/>
    <d v="2024-03-10T00:00:00"/>
    <n v="7582.99"/>
    <n v="66737.13"/>
    <x v="2"/>
    <x v="2"/>
    <x v="4"/>
    <x v="4"/>
    <s v="Chademo"/>
    <x v="1"/>
    <x v="1"/>
    <x v="1"/>
    <x v="2"/>
    <x v="0"/>
    <x v="228"/>
    <x v="1"/>
    <x v="1"/>
    <x v="1"/>
    <x v="1"/>
  </r>
  <r>
    <s v="EV-0280"/>
    <x v="11"/>
    <s v="ChargePoint"/>
    <s v="Type2 AC"/>
    <s v="Active"/>
    <d v="2024-02-02T00:00:00"/>
    <n v="11075.6"/>
    <n v="139364.17000000001"/>
    <x v="11"/>
    <x v="6"/>
    <x v="0"/>
    <x v="0"/>
    <s v="Type2 Ac"/>
    <x v="0"/>
    <x v="1"/>
    <x v="1"/>
    <x v="12"/>
    <x v="0"/>
    <x v="16"/>
    <x v="0"/>
    <x v="0"/>
    <x v="1"/>
    <x v="0"/>
  </r>
  <r>
    <s v="EV-0281"/>
    <x v="6"/>
    <s v="Ather Grid"/>
    <s v="Type2 AC"/>
    <s v="Decommissioned"/>
    <d v="2024-12-04T00:00:00"/>
    <n v="154.93"/>
    <n v="2191.3200000000002"/>
    <x v="6"/>
    <x v="5"/>
    <x v="3"/>
    <x v="3"/>
    <s v="Type2 Ac"/>
    <x v="0"/>
    <x v="0"/>
    <x v="0"/>
    <x v="6"/>
    <x v="0"/>
    <x v="229"/>
    <x v="0"/>
    <x v="0"/>
    <x v="1"/>
    <x v="0"/>
  </r>
  <r>
    <s v="EV-0282"/>
    <x v="8"/>
    <s v="Zeon Charging"/>
    <s v="CHAdeMO"/>
    <s v="Inactive"/>
    <d v="2024-03-13T00:00:00"/>
    <m/>
    <n v="2756.59"/>
    <x v="8"/>
    <x v="7"/>
    <x v="2"/>
    <x v="2"/>
    <s v="Chademo"/>
    <x v="1"/>
    <x v="3"/>
    <x v="3"/>
    <x v="8"/>
    <x v="0"/>
    <x v="224"/>
    <x v="0"/>
    <x v="1"/>
    <x v="1"/>
    <x v="1"/>
  </r>
  <r>
    <s v="EV-0283"/>
    <x v="0"/>
    <s v="bpcl"/>
    <s v="CHAdeMO"/>
    <s v="Active"/>
    <d v="2025-06-10T00:00:00"/>
    <n v="9995.9500000000007"/>
    <n v="140527.53"/>
    <x v="0"/>
    <x v="0"/>
    <x v="4"/>
    <x v="4"/>
    <s v="Chademo"/>
    <x v="1"/>
    <x v="1"/>
    <x v="1"/>
    <x v="9"/>
    <x v="0"/>
    <x v="230"/>
    <x v="1"/>
    <x v="1"/>
    <x v="0"/>
    <x v="1"/>
  </r>
  <r>
    <s v="EV-0284"/>
    <x v="4"/>
    <s v="ChargePoint"/>
    <s v="CHAdeMO"/>
    <s v="Active"/>
    <d v="2024-08-31T00:00:00"/>
    <n v="7313.46"/>
    <m/>
    <x v="4"/>
    <x v="4"/>
    <x v="0"/>
    <x v="0"/>
    <s v="Chademo"/>
    <x v="1"/>
    <x v="1"/>
    <x v="1"/>
    <x v="4"/>
    <x v="0"/>
    <x v="231"/>
    <x v="0"/>
    <x v="1"/>
    <x v="1"/>
    <x v="1"/>
  </r>
  <r>
    <s v="EV-0285"/>
    <x v="12"/>
    <s v="Zeon Charging"/>
    <s v="Type2 AC"/>
    <s v="Inactive"/>
    <d v="2024-10-12T00:00:00"/>
    <n v="161.15"/>
    <n v="2291.0100000000002"/>
    <x v="12"/>
    <x v="3"/>
    <x v="2"/>
    <x v="2"/>
    <s v="Type2 Ac"/>
    <x v="0"/>
    <x v="3"/>
    <x v="3"/>
    <x v="13"/>
    <x v="0"/>
    <x v="232"/>
    <x v="0"/>
    <x v="0"/>
    <x v="1"/>
    <x v="0"/>
  </r>
  <r>
    <s v="EV-0286"/>
    <x v="4"/>
    <m/>
    <s v="Type2 AC"/>
    <s v="Active"/>
    <d v="2025-11-16T00:00:00"/>
    <n v="3323.19"/>
    <n v="36211.79"/>
    <x v="4"/>
    <x v="4"/>
    <x v="7"/>
    <x v="7"/>
    <s v="Type2 Ac"/>
    <x v="0"/>
    <x v="1"/>
    <x v="1"/>
    <x v="4"/>
    <x v="0"/>
    <x v="233"/>
    <x v="0"/>
    <x v="0"/>
    <x v="0"/>
    <x v="0"/>
  </r>
  <r>
    <s v="EV-0287"/>
    <x v="0"/>
    <s v="bpcl"/>
    <s v="CCS2"/>
    <s v="Active"/>
    <d v="2025-05-12T00:00:00"/>
    <n v="11248.15"/>
    <n v="155133.75"/>
    <x v="0"/>
    <x v="0"/>
    <x v="4"/>
    <x v="4"/>
    <s v="Ccs2"/>
    <x v="3"/>
    <x v="1"/>
    <x v="1"/>
    <x v="0"/>
    <x v="0"/>
    <x v="192"/>
    <x v="1"/>
    <x v="2"/>
    <x v="0"/>
    <x v="3"/>
  </r>
  <r>
    <s v="EV-0288"/>
    <x v="3"/>
    <s v="Zeon Charging"/>
    <s v="CCS2"/>
    <s v="Decommissioned"/>
    <d v="2024-08-07T00:00:00"/>
    <n v="55.79"/>
    <n v="602.04"/>
    <x v="3"/>
    <x v="3"/>
    <x v="2"/>
    <x v="2"/>
    <s v="Ccs2"/>
    <x v="3"/>
    <x v="0"/>
    <x v="0"/>
    <x v="3"/>
    <x v="0"/>
    <x v="234"/>
    <x v="0"/>
    <x v="2"/>
    <x v="1"/>
    <x v="3"/>
  </r>
  <r>
    <s v="EV-0289"/>
    <x v="9"/>
    <s v="Zeon Charging"/>
    <s v="CHAdeMO"/>
    <s v="Active"/>
    <d v="2025-07-06T00:00:00"/>
    <n v="5684.22"/>
    <n v="74504.710000000006"/>
    <x v="9"/>
    <x v="8"/>
    <x v="2"/>
    <x v="2"/>
    <s v="Chademo"/>
    <x v="1"/>
    <x v="1"/>
    <x v="1"/>
    <x v="11"/>
    <x v="0"/>
    <x v="176"/>
    <x v="0"/>
    <x v="1"/>
    <x v="0"/>
    <x v="1"/>
  </r>
  <r>
    <s v="EV-0290"/>
    <x v="3"/>
    <s v="Zeon Charging"/>
    <s v="Bharat DC-001"/>
    <s v="Inactive"/>
    <d v="2024-05-15T00:00:00"/>
    <n v="375.24"/>
    <n v="3822.88"/>
    <x v="3"/>
    <x v="3"/>
    <x v="2"/>
    <x v="2"/>
    <s v="Bharat Dc-001"/>
    <x v="2"/>
    <x v="3"/>
    <x v="3"/>
    <x v="3"/>
    <x v="0"/>
    <x v="235"/>
    <x v="0"/>
    <x v="1"/>
    <x v="1"/>
    <x v="2"/>
  </r>
  <r>
    <s v="EV-0291"/>
    <x v="4"/>
    <s v="bpcl"/>
    <s v="Bharat DC-001"/>
    <s v="Decommissioned"/>
    <d v="2026-01-10T00:00:00"/>
    <n v="113.97"/>
    <n v="1161.0899999999999"/>
    <x v="4"/>
    <x v="4"/>
    <x v="4"/>
    <x v="4"/>
    <s v="Bharat Dc-001"/>
    <x v="2"/>
    <x v="0"/>
    <x v="0"/>
    <x v="4"/>
    <x v="0"/>
    <x v="236"/>
    <x v="1"/>
    <x v="1"/>
    <x v="2"/>
    <x v="2"/>
  </r>
  <r>
    <s v="EV-0292"/>
    <x v="8"/>
    <s v="Bharat Petroleum"/>
    <s v="Type2 AC"/>
    <s v="Active"/>
    <m/>
    <n v="8184.17"/>
    <n v="80075.789999999994"/>
    <x v="8"/>
    <x v="7"/>
    <x v="6"/>
    <x v="6"/>
    <s v="Type2 Ac"/>
    <x v="0"/>
    <x v="1"/>
    <x v="1"/>
    <x v="8"/>
    <x v="1"/>
    <x v="4"/>
    <x v="0"/>
    <x v="0"/>
    <x v="3"/>
    <x v="0"/>
  </r>
  <r>
    <s v="EV-0293"/>
    <x v="7"/>
    <s v="Tata Power"/>
    <s v="Type2 AC"/>
    <s v="Active"/>
    <d v="2025-08-13T00:00:00"/>
    <n v="4368.5600000000004"/>
    <n v="64109.26"/>
    <x v="7"/>
    <x v="6"/>
    <x v="5"/>
    <x v="5"/>
    <s v="Type2 Ac"/>
    <x v="0"/>
    <x v="1"/>
    <x v="1"/>
    <x v="9"/>
    <x v="0"/>
    <x v="237"/>
    <x v="1"/>
    <x v="0"/>
    <x v="0"/>
    <x v="0"/>
  </r>
  <r>
    <s v="EV-0294"/>
    <x v="0"/>
    <s v="Ather Grid"/>
    <s v="Type2 AC"/>
    <s v="Active"/>
    <d v="2025-04-29T00:00:00"/>
    <n v="6184.52"/>
    <n v="79209.77"/>
    <x v="0"/>
    <x v="0"/>
    <x v="3"/>
    <x v="3"/>
    <s v="Type2 Ac"/>
    <x v="0"/>
    <x v="1"/>
    <x v="1"/>
    <x v="0"/>
    <x v="0"/>
    <x v="238"/>
    <x v="0"/>
    <x v="0"/>
    <x v="0"/>
    <x v="0"/>
  </r>
  <r>
    <s v="EV-0295"/>
    <x v="4"/>
    <s v="ChargePoint"/>
    <s v="CHAdeMO"/>
    <s v="Maintenance"/>
    <d v="2024-09-05T00:00:00"/>
    <n v="1042.54"/>
    <n v="11801.42"/>
    <x v="4"/>
    <x v="4"/>
    <x v="0"/>
    <x v="0"/>
    <s v="Chademo"/>
    <x v="1"/>
    <x v="2"/>
    <x v="2"/>
    <x v="4"/>
    <x v="0"/>
    <x v="239"/>
    <x v="0"/>
    <x v="1"/>
    <x v="1"/>
    <x v="1"/>
  </r>
  <r>
    <s v="EV-0296"/>
    <x v="3"/>
    <s v="Zeon Charging"/>
    <s v="Bharat DC-001"/>
    <s v="Maintenance"/>
    <s v="14/03/2026"/>
    <n v="1513.89"/>
    <n v="13077.85"/>
    <x v="3"/>
    <x v="3"/>
    <x v="2"/>
    <x v="2"/>
    <s v="Bharat Dc-001"/>
    <x v="2"/>
    <x v="2"/>
    <x v="2"/>
    <x v="3"/>
    <x v="1"/>
    <x v="240"/>
    <x v="0"/>
    <x v="1"/>
    <x v="4"/>
    <x v="2"/>
  </r>
  <r>
    <s v="EV-0297"/>
    <x v="7"/>
    <s v="Tata Power"/>
    <s v="CCS2"/>
    <s v="Inactive"/>
    <d v="2025-04-29T00:00:00"/>
    <n v="177.41"/>
    <n v="1525.29"/>
    <x v="7"/>
    <x v="6"/>
    <x v="5"/>
    <x v="5"/>
    <s v="Ccs2"/>
    <x v="3"/>
    <x v="3"/>
    <x v="3"/>
    <x v="7"/>
    <x v="0"/>
    <x v="238"/>
    <x v="1"/>
    <x v="2"/>
    <x v="0"/>
    <x v="3"/>
  </r>
  <r>
    <s v="EV-0298"/>
    <x v="9"/>
    <s v="ChargePoint"/>
    <s v="CHAdeMO"/>
    <s v="Active"/>
    <d v="2026-04-06T00:00:00"/>
    <n v="3471.05"/>
    <n v="38261.85"/>
    <x v="9"/>
    <x v="8"/>
    <x v="0"/>
    <x v="0"/>
    <s v="Chademo"/>
    <x v="1"/>
    <x v="1"/>
    <x v="1"/>
    <x v="11"/>
    <x v="0"/>
    <x v="53"/>
    <x v="0"/>
    <x v="1"/>
    <x v="2"/>
    <x v="1"/>
  </r>
  <r>
    <s v="EV-0299"/>
    <x v="3"/>
    <s v="Tata Power"/>
    <s v="CCS2"/>
    <s v="Inactive"/>
    <d v="2025-02-20T00:00:00"/>
    <n v="139.83000000000001"/>
    <n v="1847.45"/>
    <x v="3"/>
    <x v="3"/>
    <x v="5"/>
    <x v="5"/>
    <s v="Ccs2"/>
    <x v="3"/>
    <x v="3"/>
    <x v="3"/>
    <x v="3"/>
    <x v="0"/>
    <x v="241"/>
    <x v="1"/>
    <x v="2"/>
    <x v="0"/>
    <x v="3"/>
  </r>
  <r>
    <s v="EV-0300"/>
    <x v="4"/>
    <s v="bpcl"/>
    <s v="CCS2"/>
    <s v="Maintenance"/>
    <d v="2024-07-13T00:00:00"/>
    <n v="1828.85"/>
    <n v="19401.41"/>
    <x v="4"/>
    <x v="4"/>
    <x v="4"/>
    <x v="4"/>
    <s v="Ccs2"/>
    <x v="3"/>
    <x v="2"/>
    <x v="2"/>
    <x v="4"/>
    <x v="0"/>
    <x v="242"/>
    <x v="1"/>
    <x v="2"/>
    <x v="1"/>
    <x v="3"/>
  </r>
  <r>
    <s v="EV-0301"/>
    <x v="4"/>
    <s v="Zeon Charging"/>
    <s v="CHAdeMO"/>
    <s v="Active"/>
    <d v="2024-04-06T00:00:00"/>
    <n v="10621.23"/>
    <n v="94643.74"/>
    <x v="4"/>
    <x v="4"/>
    <x v="2"/>
    <x v="2"/>
    <s v="Chademo"/>
    <x v="1"/>
    <x v="1"/>
    <x v="1"/>
    <x v="4"/>
    <x v="0"/>
    <x v="243"/>
    <x v="0"/>
    <x v="1"/>
    <x v="1"/>
    <x v="1"/>
  </r>
  <r>
    <s v="EV-0302"/>
    <x v="3"/>
    <s v="ChargePoint"/>
    <s v="CCS2"/>
    <s v="Decommissioned"/>
    <d v="2024-04-09T00:00:00"/>
    <n v="111.16"/>
    <n v="935.95"/>
    <x v="3"/>
    <x v="3"/>
    <x v="0"/>
    <x v="0"/>
    <s v="Ccs2"/>
    <x v="3"/>
    <x v="0"/>
    <x v="0"/>
    <x v="3"/>
    <x v="0"/>
    <x v="47"/>
    <x v="0"/>
    <x v="2"/>
    <x v="1"/>
    <x v="3"/>
  </r>
  <r>
    <s v="EV-0303"/>
    <x v="3"/>
    <s v="ChargePoint"/>
    <s v="Bharat DC-001"/>
    <s v="Maintenance"/>
    <d v="2025-11-05T00:00:00"/>
    <n v="1598.22"/>
    <n v="23488.04"/>
    <x v="3"/>
    <x v="3"/>
    <x v="0"/>
    <x v="0"/>
    <s v="Bharat Dc-001"/>
    <x v="2"/>
    <x v="2"/>
    <x v="2"/>
    <x v="3"/>
    <x v="0"/>
    <x v="244"/>
    <x v="0"/>
    <x v="1"/>
    <x v="0"/>
    <x v="2"/>
  </r>
  <r>
    <s v="EV-0304"/>
    <x v="2"/>
    <s v="ChargePoint"/>
    <s v="CCS2"/>
    <s v="Inactive"/>
    <d v="2025-03-17T00:00:00"/>
    <n v="95.53"/>
    <n v="1139.8399999999999"/>
    <x v="2"/>
    <x v="2"/>
    <x v="0"/>
    <x v="0"/>
    <s v="Ccs2"/>
    <x v="3"/>
    <x v="3"/>
    <x v="3"/>
    <x v="2"/>
    <x v="0"/>
    <x v="245"/>
    <x v="0"/>
    <x v="2"/>
    <x v="0"/>
    <x v="3"/>
  </r>
  <r>
    <s v="EV-0305"/>
    <x v="2"/>
    <s v="ChargePoint"/>
    <s v="Bharat DC-001"/>
    <s v="Active"/>
    <d v="2024-12-28T00:00:00"/>
    <n v="3275.59"/>
    <n v="41567.54"/>
    <x v="2"/>
    <x v="2"/>
    <x v="0"/>
    <x v="0"/>
    <s v="Bharat Dc-001"/>
    <x v="2"/>
    <x v="1"/>
    <x v="1"/>
    <x v="2"/>
    <x v="0"/>
    <x v="246"/>
    <x v="0"/>
    <x v="1"/>
    <x v="1"/>
    <x v="2"/>
  </r>
  <r>
    <s v="EV-0306"/>
    <x v="1"/>
    <s v="ChargePoint"/>
    <s v="Bharat DC-001"/>
    <s v="Active"/>
    <d v="2025-03-09T00:00:00"/>
    <n v="5173.92"/>
    <n v="56269.8"/>
    <x v="1"/>
    <x v="1"/>
    <x v="0"/>
    <x v="0"/>
    <s v="Bharat Dc-001"/>
    <x v="2"/>
    <x v="1"/>
    <x v="1"/>
    <x v="1"/>
    <x v="0"/>
    <x v="206"/>
    <x v="0"/>
    <x v="1"/>
    <x v="0"/>
    <x v="2"/>
  </r>
  <r>
    <s v="EV-0307"/>
    <x v="3"/>
    <s v="Tata Power"/>
    <s v="Bharat DC-001"/>
    <s v="Active"/>
    <d v="2025-02-24T00:00:00"/>
    <n v="6884.53"/>
    <n v="97176.87"/>
    <x v="3"/>
    <x v="3"/>
    <x v="5"/>
    <x v="5"/>
    <s v="Bharat Dc-001"/>
    <x v="2"/>
    <x v="1"/>
    <x v="1"/>
    <x v="3"/>
    <x v="0"/>
    <x v="247"/>
    <x v="1"/>
    <x v="1"/>
    <x v="0"/>
    <x v="2"/>
  </r>
  <r>
    <s v="EV-0308"/>
    <x v="9"/>
    <s v="Zeon Charging"/>
    <s v="Type2 AC"/>
    <s v="Active"/>
    <d v="2025-04-23T00:00:00"/>
    <n v="3263.73"/>
    <n v="47611"/>
    <x v="9"/>
    <x v="8"/>
    <x v="2"/>
    <x v="2"/>
    <s v="Type2 Ac"/>
    <x v="0"/>
    <x v="1"/>
    <x v="1"/>
    <x v="11"/>
    <x v="0"/>
    <x v="248"/>
    <x v="0"/>
    <x v="0"/>
    <x v="0"/>
    <x v="0"/>
  </r>
  <r>
    <s v="EV-0309"/>
    <x v="7"/>
    <s v="bpcl"/>
    <s v="CCS2"/>
    <s v="Active"/>
    <d v="2026-01-16T00:00:00"/>
    <n v="5975.07"/>
    <n v="65490.1"/>
    <x v="7"/>
    <x v="6"/>
    <x v="4"/>
    <x v="4"/>
    <s v="Ccs2"/>
    <x v="3"/>
    <x v="1"/>
    <x v="1"/>
    <x v="7"/>
    <x v="0"/>
    <x v="94"/>
    <x v="1"/>
    <x v="2"/>
    <x v="2"/>
    <x v="3"/>
  </r>
  <r>
    <s v="EV-0310"/>
    <x v="9"/>
    <s v="bpcl"/>
    <s v="CHAdeMO"/>
    <s v="Maintenance"/>
    <d v="2024-02-25T00:00:00"/>
    <n v="2164.34"/>
    <n v="31190.1"/>
    <x v="9"/>
    <x v="8"/>
    <x v="4"/>
    <x v="4"/>
    <s v="Chademo"/>
    <x v="1"/>
    <x v="2"/>
    <x v="2"/>
    <x v="11"/>
    <x v="0"/>
    <x v="249"/>
    <x v="1"/>
    <x v="1"/>
    <x v="1"/>
    <x v="1"/>
  </r>
  <r>
    <s v="EV-0311"/>
    <x v="0"/>
    <s v="bpcl"/>
    <s v="CHAdeMO"/>
    <s v="Decommissioned"/>
    <d v="2025-11-20T00:00:00"/>
    <n v="89.63"/>
    <n v="749.32"/>
    <x v="0"/>
    <x v="0"/>
    <x v="4"/>
    <x v="4"/>
    <s v="Chademo"/>
    <x v="1"/>
    <x v="0"/>
    <x v="0"/>
    <x v="0"/>
    <x v="0"/>
    <x v="250"/>
    <x v="1"/>
    <x v="1"/>
    <x v="0"/>
    <x v="1"/>
  </r>
  <r>
    <s v="EV-0312"/>
    <x v="4"/>
    <s v="bpcl"/>
    <s v="CCS2"/>
    <s v="Inactive"/>
    <d v="2025-10-31T00:00:00"/>
    <n v="8.6199999999999992"/>
    <n v="86.32"/>
    <x v="4"/>
    <x v="4"/>
    <x v="4"/>
    <x v="4"/>
    <s v="Ccs2"/>
    <x v="3"/>
    <x v="3"/>
    <x v="3"/>
    <x v="4"/>
    <x v="0"/>
    <x v="251"/>
    <x v="1"/>
    <x v="2"/>
    <x v="0"/>
    <x v="3"/>
  </r>
  <r>
    <s v="EV-0313"/>
    <x v="4"/>
    <s v="Tata Power"/>
    <s v="Type2 AC"/>
    <s v="Active"/>
    <d v="2025-10-23T00:00:00"/>
    <n v="3883.71"/>
    <n v="39563.910000000003"/>
    <x v="4"/>
    <x v="4"/>
    <x v="5"/>
    <x v="5"/>
    <s v="Type2 Ac"/>
    <x v="0"/>
    <x v="1"/>
    <x v="1"/>
    <x v="4"/>
    <x v="0"/>
    <x v="252"/>
    <x v="1"/>
    <x v="0"/>
    <x v="0"/>
    <x v="0"/>
  </r>
  <r>
    <s v="EV-0314"/>
    <x v="1"/>
    <s v="Ather Grid"/>
    <s v="Type2 AC"/>
    <s v="Active"/>
    <d v="2024-04-10T00:00:00"/>
    <n v="5150.6099999999997"/>
    <n v="44940.12"/>
    <x v="1"/>
    <x v="1"/>
    <x v="3"/>
    <x v="3"/>
    <s v="Type2 Ac"/>
    <x v="0"/>
    <x v="1"/>
    <x v="1"/>
    <x v="1"/>
    <x v="0"/>
    <x v="253"/>
    <x v="0"/>
    <x v="0"/>
    <x v="1"/>
    <x v="0"/>
  </r>
  <r>
    <s v="EV-0315"/>
    <x v="7"/>
    <s v="Zeon Charging"/>
    <s v="Bharat DC-001"/>
    <s v="Active"/>
    <d v="2024-03-03T00:00:00"/>
    <n v="3298.01"/>
    <n v="38098.239999999998"/>
    <x v="7"/>
    <x v="6"/>
    <x v="2"/>
    <x v="2"/>
    <s v="Bharat Dc-001"/>
    <x v="2"/>
    <x v="1"/>
    <x v="1"/>
    <x v="7"/>
    <x v="0"/>
    <x v="254"/>
    <x v="0"/>
    <x v="1"/>
    <x v="1"/>
    <x v="2"/>
  </r>
  <r>
    <s v="EV-0316"/>
    <x v="2"/>
    <s v="ChargePoint"/>
    <s v="CCS2"/>
    <s v="Inactive"/>
    <d v="2025-02-16T00:00:00"/>
    <n v="331.98"/>
    <n v="3015.41"/>
    <x v="2"/>
    <x v="2"/>
    <x v="0"/>
    <x v="0"/>
    <s v="Ccs2"/>
    <x v="3"/>
    <x v="3"/>
    <x v="3"/>
    <x v="2"/>
    <x v="0"/>
    <x v="255"/>
    <x v="0"/>
    <x v="2"/>
    <x v="0"/>
    <x v="3"/>
  </r>
  <r>
    <s v="EV-0317"/>
    <x v="0"/>
    <s v="Ather Grid"/>
    <s v="CCS2"/>
    <s v="Inactive"/>
    <d v="2026-01-15T00:00:00"/>
    <n v="184.51"/>
    <n v="2098.86"/>
    <x v="0"/>
    <x v="0"/>
    <x v="3"/>
    <x v="3"/>
    <s v="Ccs2"/>
    <x v="3"/>
    <x v="3"/>
    <x v="3"/>
    <x v="0"/>
    <x v="0"/>
    <x v="256"/>
    <x v="0"/>
    <x v="2"/>
    <x v="2"/>
    <x v="3"/>
  </r>
  <r>
    <s v="EV-0318"/>
    <x v="4"/>
    <s v="bpcl"/>
    <s v="CHAdeMO"/>
    <s v="Decommissioned"/>
    <d v="2024-12-13T00:00:00"/>
    <n v="110.69"/>
    <n v="1542.01"/>
    <x v="4"/>
    <x v="4"/>
    <x v="4"/>
    <x v="4"/>
    <s v="Chademo"/>
    <x v="1"/>
    <x v="0"/>
    <x v="0"/>
    <x v="4"/>
    <x v="0"/>
    <x v="257"/>
    <x v="1"/>
    <x v="1"/>
    <x v="1"/>
    <x v="1"/>
  </r>
  <r>
    <s v="EV-0319"/>
    <x v="4"/>
    <s v="Ather Grid"/>
    <s v="CCS2"/>
    <s v="Active"/>
    <d v="2026-03-30T00:00:00"/>
    <n v="4453.21"/>
    <n v="46539.6"/>
    <x v="4"/>
    <x v="4"/>
    <x v="3"/>
    <x v="3"/>
    <s v="Ccs2"/>
    <x v="3"/>
    <x v="1"/>
    <x v="1"/>
    <x v="4"/>
    <x v="0"/>
    <x v="258"/>
    <x v="0"/>
    <x v="2"/>
    <x v="2"/>
    <x v="3"/>
  </r>
  <r>
    <s v="EV-0320"/>
    <x v="9"/>
    <s v="Zeon Charging"/>
    <s v="Type2 AC"/>
    <s v="Maintenance"/>
    <d v="2024-04-21T00:00:00"/>
    <n v="2990.23"/>
    <n v="35565.370000000003"/>
    <x v="9"/>
    <x v="8"/>
    <x v="2"/>
    <x v="2"/>
    <s v="Type2 Ac"/>
    <x v="0"/>
    <x v="2"/>
    <x v="2"/>
    <x v="11"/>
    <x v="0"/>
    <x v="259"/>
    <x v="0"/>
    <x v="0"/>
    <x v="1"/>
    <x v="0"/>
  </r>
  <r>
    <s v="EV-0321"/>
    <x v="3"/>
    <s v="ChargePoint"/>
    <s v="CCS2"/>
    <s v="Maintenance"/>
    <d v="2024-09-11T00:00:00"/>
    <n v="1696.13"/>
    <n v="14933.06"/>
    <x v="3"/>
    <x v="3"/>
    <x v="0"/>
    <x v="0"/>
    <s v="Ccs2"/>
    <x v="3"/>
    <x v="2"/>
    <x v="2"/>
    <x v="3"/>
    <x v="0"/>
    <x v="260"/>
    <x v="0"/>
    <x v="2"/>
    <x v="1"/>
    <x v="3"/>
  </r>
  <r>
    <s v="EV-0322"/>
    <x v="2"/>
    <s v="ChargePoint"/>
    <s v="CHAdeMO"/>
    <s v="Active"/>
    <d v="2024-07-15T00:00:00"/>
    <n v="4545.82"/>
    <n v="45230.81"/>
    <x v="2"/>
    <x v="2"/>
    <x v="0"/>
    <x v="0"/>
    <s v="Chademo"/>
    <x v="1"/>
    <x v="1"/>
    <x v="1"/>
    <x v="2"/>
    <x v="0"/>
    <x v="68"/>
    <x v="0"/>
    <x v="1"/>
    <x v="1"/>
    <x v="1"/>
  </r>
  <r>
    <s v="EV-0323"/>
    <x v="2"/>
    <s v="Zeon Charging"/>
    <s v="Bharat DC-001"/>
    <s v="Maintenance"/>
    <d v="2024-07-13T00:00:00"/>
    <n v="1415.86"/>
    <n v="13568.35"/>
    <x v="2"/>
    <x v="2"/>
    <x v="2"/>
    <x v="2"/>
    <s v="Bharat Dc-001"/>
    <x v="2"/>
    <x v="2"/>
    <x v="2"/>
    <x v="2"/>
    <x v="0"/>
    <x v="242"/>
    <x v="0"/>
    <x v="1"/>
    <x v="1"/>
    <x v="2"/>
  </r>
  <r>
    <s v="EV-0324"/>
    <x v="9"/>
    <s v="Zeon Charging"/>
    <s v="CHAdeMO"/>
    <s v="Active"/>
    <d v="2025-07-03T00:00:00"/>
    <n v="4026.16"/>
    <n v="44303.01"/>
    <x v="9"/>
    <x v="8"/>
    <x v="2"/>
    <x v="2"/>
    <s v="Chademo"/>
    <x v="1"/>
    <x v="1"/>
    <x v="1"/>
    <x v="11"/>
    <x v="0"/>
    <x v="57"/>
    <x v="0"/>
    <x v="1"/>
    <x v="0"/>
    <x v="1"/>
  </r>
  <r>
    <s v="EV-0325"/>
    <x v="1"/>
    <s v="bpcl"/>
    <s v="CHAdeMO"/>
    <s v="Active"/>
    <d v="2025-04-04T00:00:00"/>
    <n v="3151.19"/>
    <n v="37583.49"/>
    <x v="1"/>
    <x v="1"/>
    <x v="4"/>
    <x v="4"/>
    <s v="Chademo"/>
    <x v="1"/>
    <x v="1"/>
    <x v="1"/>
    <x v="1"/>
    <x v="0"/>
    <x v="30"/>
    <x v="1"/>
    <x v="1"/>
    <x v="0"/>
    <x v="1"/>
  </r>
  <r>
    <s v="EV-0326"/>
    <x v="2"/>
    <s v="ChargePoint"/>
    <s v="Bharat DC-001"/>
    <s v="Active"/>
    <d v="2024-05-23T00:00:00"/>
    <n v="8794.77"/>
    <n v="117603.91"/>
    <x v="2"/>
    <x v="2"/>
    <x v="0"/>
    <x v="0"/>
    <s v="Bharat Dc-001"/>
    <x v="2"/>
    <x v="1"/>
    <x v="1"/>
    <x v="2"/>
    <x v="0"/>
    <x v="261"/>
    <x v="0"/>
    <x v="1"/>
    <x v="1"/>
    <x v="2"/>
  </r>
  <r>
    <s v="EV-0327"/>
    <x v="3"/>
    <s v="Ather Grid"/>
    <s v="CHAdeMO"/>
    <s v="Active"/>
    <d v="2025-03-08T00:00:00"/>
    <n v="4128.8"/>
    <n v="50999.21"/>
    <x v="3"/>
    <x v="3"/>
    <x v="3"/>
    <x v="3"/>
    <s v="Chademo"/>
    <x v="1"/>
    <x v="1"/>
    <x v="1"/>
    <x v="3"/>
    <x v="0"/>
    <x v="15"/>
    <x v="0"/>
    <x v="1"/>
    <x v="0"/>
    <x v="1"/>
  </r>
  <r>
    <s v="EV-0328"/>
    <x v="3"/>
    <s v="Tata Power"/>
    <s v="CHAdeMO"/>
    <s v="Active"/>
    <d v="2024-07-06T00:00:00"/>
    <n v="9043.1299999999992"/>
    <n v="115072.36"/>
    <x v="3"/>
    <x v="3"/>
    <x v="5"/>
    <x v="5"/>
    <s v="Chademo"/>
    <x v="1"/>
    <x v="1"/>
    <x v="1"/>
    <x v="3"/>
    <x v="0"/>
    <x v="262"/>
    <x v="1"/>
    <x v="1"/>
    <x v="1"/>
    <x v="1"/>
  </r>
  <r>
    <s v="EV-0329"/>
    <x v="0"/>
    <s v="Tata Power"/>
    <s v="CCS2"/>
    <s v="Active"/>
    <d v="2024-10-12T00:00:00"/>
    <n v="11435.09"/>
    <n v="136045.29999999999"/>
    <x v="0"/>
    <x v="0"/>
    <x v="5"/>
    <x v="5"/>
    <s v="Ccs2"/>
    <x v="3"/>
    <x v="1"/>
    <x v="1"/>
    <x v="0"/>
    <x v="0"/>
    <x v="232"/>
    <x v="1"/>
    <x v="2"/>
    <x v="1"/>
    <x v="3"/>
  </r>
  <r>
    <s v="EV-0330"/>
    <x v="9"/>
    <s v="Zeon Charging"/>
    <s v="CCS2"/>
    <s v="Active"/>
    <d v="2025-04-18T00:00:00"/>
    <n v="8436.8799999999992"/>
    <n v="103461.16"/>
    <x v="9"/>
    <x v="8"/>
    <x v="2"/>
    <x v="2"/>
    <s v="Ccs2"/>
    <x v="3"/>
    <x v="1"/>
    <x v="1"/>
    <x v="11"/>
    <x v="0"/>
    <x v="96"/>
    <x v="0"/>
    <x v="2"/>
    <x v="0"/>
    <x v="3"/>
  </r>
  <r>
    <s v="EV-0331"/>
    <x v="9"/>
    <s v="bpcl"/>
    <s v="Bharat DC-001"/>
    <s v="Active"/>
    <d v="2024-09-12T00:00:00"/>
    <n v="2702.72"/>
    <n v="34067.300000000003"/>
    <x v="9"/>
    <x v="8"/>
    <x v="4"/>
    <x v="4"/>
    <s v="Bharat Dc-001"/>
    <x v="2"/>
    <x v="1"/>
    <x v="1"/>
    <x v="11"/>
    <x v="0"/>
    <x v="263"/>
    <x v="1"/>
    <x v="1"/>
    <x v="1"/>
    <x v="2"/>
  </r>
  <r>
    <s v="EV-0332"/>
    <x v="7"/>
    <s v="Tata Power"/>
    <s v="CCS2"/>
    <s v="Active"/>
    <d v="2024-03-18T00:00:00"/>
    <n v="8993.9500000000007"/>
    <n v="115610.92"/>
    <x v="7"/>
    <x v="6"/>
    <x v="5"/>
    <x v="5"/>
    <s v="Ccs2"/>
    <x v="3"/>
    <x v="1"/>
    <x v="1"/>
    <x v="7"/>
    <x v="0"/>
    <x v="264"/>
    <x v="1"/>
    <x v="2"/>
    <x v="1"/>
    <x v="3"/>
  </r>
  <r>
    <s v="EV-0333"/>
    <x v="4"/>
    <s v="ChargePoint"/>
    <s v="CCS2"/>
    <s v="Active"/>
    <d v="2025-03-29T00:00:00"/>
    <m/>
    <n v="30183.78"/>
    <x v="4"/>
    <x v="4"/>
    <x v="0"/>
    <x v="0"/>
    <s v="Ccs2"/>
    <x v="3"/>
    <x v="1"/>
    <x v="1"/>
    <x v="4"/>
    <x v="0"/>
    <x v="265"/>
    <x v="0"/>
    <x v="2"/>
    <x v="0"/>
    <x v="3"/>
  </r>
  <r>
    <s v="EV-0334"/>
    <x v="4"/>
    <s v="Zeon Charging"/>
    <s v="CHAdeMO"/>
    <s v="Active"/>
    <d v="2026-04-07T00:00:00"/>
    <n v="7280.25"/>
    <n v="72168.34"/>
    <x v="4"/>
    <x v="4"/>
    <x v="2"/>
    <x v="2"/>
    <s v="Chademo"/>
    <x v="1"/>
    <x v="1"/>
    <x v="1"/>
    <x v="4"/>
    <x v="0"/>
    <x v="266"/>
    <x v="0"/>
    <x v="1"/>
    <x v="2"/>
    <x v="1"/>
  </r>
  <r>
    <s v="EV-0335"/>
    <x v="4"/>
    <s v="Ather Grid"/>
    <s v="Type2 AC"/>
    <s v="Active"/>
    <d v="2025-07-17T00:00:00"/>
    <n v="9242.39"/>
    <n v="123264.52"/>
    <x v="4"/>
    <x v="4"/>
    <x v="3"/>
    <x v="3"/>
    <s v="Type2 Ac"/>
    <x v="0"/>
    <x v="1"/>
    <x v="1"/>
    <x v="4"/>
    <x v="0"/>
    <x v="267"/>
    <x v="0"/>
    <x v="0"/>
    <x v="0"/>
    <x v="0"/>
  </r>
  <r>
    <s v="EV-0336"/>
    <x v="4"/>
    <m/>
    <s v="CCS2"/>
    <s v="Active"/>
    <d v="2024-04-10T00:00:00"/>
    <n v="7363.09"/>
    <n v="106402.27"/>
    <x v="4"/>
    <x v="4"/>
    <x v="7"/>
    <x v="7"/>
    <s v="Ccs2"/>
    <x v="3"/>
    <x v="1"/>
    <x v="1"/>
    <x v="4"/>
    <x v="0"/>
    <x v="253"/>
    <x v="0"/>
    <x v="2"/>
    <x v="1"/>
    <x v="3"/>
  </r>
  <r>
    <s v="EV-0337"/>
    <x v="6"/>
    <s v="Ather Grid"/>
    <s v="Type2 AC"/>
    <s v="Active"/>
    <d v="2024-02-21T00:00:00"/>
    <n v="11775.87"/>
    <n v="123142.2"/>
    <x v="6"/>
    <x v="5"/>
    <x v="3"/>
    <x v="3"/>
    <s v="Type2 Ac"/>
    <x v="0"/>
    <x v="1"/>
    <x v="1"/>
    <x v="6"/>
    <x v="0"/>
    <x v="268"/>
    <x v="0"/>
    <x v="0"/>
    <x v="1"/>
    <x v="0"/>
  </r>
  <r>
    <s v="EV-0338"/>
    <x v="2"/>
    <s v="Zeon Charging"/>
    <s v="CCS2"/>
    <s v="Active"/>
    <d v="2025-10-29T00:00:00"/>
    <n v="10075.23"/>
    <n v="93395.76"/>
    <x v="2"/>
    <x v="2"/>
    <x v="2"/>
    <x v="2"/>
    <s v="Ccs2"/>
    <x v="3"/>
    <x v="1"/>
    <x v="1"/>
    <x v="2"/>
    <x v="0"/>
    <x v="269"/>
    <x v="0"/>
    <x v="2"/>
    <x v="0"/>
    <x v="3"/>
  </r>
  <r>
    <s v="EV-0339"/>
    <x v="0"/>
    <s v="Zeon Charging"/>
    <s v="CCS2"/>
    <s v="Active"/>
    <d v="2025-07-07T00:00:00"/>
    <n v="3906.83"/>
    <n v="35172.25"/>
    <x v="0"/>
    <x v="0"/>
    <x v="2"/>
    <x v="2"/>
    <s v="Ccs2"/>
    <x v="3"/>
    <x v="1"/>
    <x v="1"/>
    <x v="0"/>
    <x v="0"/>
    <x v="270"/>
    <x v="0"/>
    <x v="2"/>
    <x v="0"/>
    <x v="3"/>
  </r>
  <r>
    <s v="EV-0340"/>
    <x v="4"/>
    <s v="Zeon Charging"/>
    <s v="Bharat DC-001"/>
    <s v="Inactive"/>
    <d v="2026-05-06T00:00:00"/>
    <n v="180.44"/>
    <n v="2273.8000000000002"/>
    <x v="4"/>
    <x v="4"/>
    <x v="2"/>
    <x v="2"/>
    <s v="Bharat Dc-001"/>
    <x v="2"/>
    <x v="3"/>
    <x v="3"/>
    <x v="4"/>
    <x v="0"/>
    <x v="271"/>
    <x v="0"/>
    <x v="1"/>
    <x v="2"/>
    <x v="2"/>
  </r>
  <r>
    <s v="EV-0341"/>
    <x v="0"/>
    <s v="Ather Grid"/>
    <s v="Bharat DC-001"/>
    <s v="Active"/>
    <d v="2024-01-16T00:00:00"/>
    <n v="3976.08"/>
    <n v="33745.379999999997"/>
    <x v="0"/>
    <x v="0"/>
    <x v="3"/>
    <x v="3"/>
    <s v="Bharat Dc-001"/>
    <x v="2"/>
    <x v="1"/>
    <x v="1"/>
    <x v="0"/>
    <x v="0"/>
    <x v="272"/>
    <x v="0"/>
    <x v="1"/>
    <x v="1"/>
    <x v="2"/>
  </r>
  <r>
    <s v="EV-0342"/>
    <x v="0"/>
    <s v="Ather Grid"/>
    <s v="Bharat DC-001"/>
    <s v="Active"/>
    <d v="2024-04-05T00:00:00"/>
    <n v="8642.2099999999991"/>
    <n v="113962.95"/>
    <x v="0"/>
    <x v="0"/>
    <x v="3"/>
    <x v="3"/>
    <s v="Bharat Dc-001"/>
    <x v="2"/>
    <x v="1"/>
    <x v="1"/>
    <x v="0"/>
    <x v="0"/>
    <x v="18"/>
    <x v="0"/>
    <x v="1"/>
    <x v="1"/>
    <x v="2"/>
  </r>
  <r>
    <s v="EV-0343"/>
    <x v="4"/>
    <s v="Zeon Charging"/>
    <s v="Type2 AC"/>
    <s v="Decommissioned"/>
    <d v="2026-02-10T00:00:00"/>
    <n v="25.32"/>
    <n v="374.8"/>
    <x v="4"/>
    <x v="4"/>
    <x v="2"/>
    <x v="2"/>
    <s v="Type2 Ac"/>
    <x v="0"/>
    <x v="0"/>
    <x v="0"/>
    <x v="4"/>
    <x v="0"/>
    <x v="273"/>
    <x v="0"/>
    <x v="0"/>
    <x v="2"/>
    <x v="0"/>
  </r>
  <r>
    <s v="EV-0344"/>
    <x v="0"/>
    <s v="Tata Power"/>
    <s v="CHAdeMO"/>
    <s v="Maintenance"/>
    <d v="2026-05-19T00:00:00"/>
    <n v="232"/>
    <n v="2005.01"/>
    <x v="0"/>
    <x v="0"/>
    <x v="5"/>
    <x v="5"/>
    <s v="Chademo"/>
    <x v="1"/>
    <x v="2"/>
    <x v="2"/>
    <x v="0"/>
    <x v="0"/>
    <x v="274"/>
    <x v="1"/>
    <x v="1"/>
    <x v="2"/>
    <x v="1"/>
  </r>
  <r>
    <s v="EV-0345"/>
    <x v="0"/>
    <s v="bpcl"/>
    <s v="CCS2"/>
    <s v="Maintenance"/>
    <d v="2024-08-30T00:00:00"/>
    <n v="258.13"/>
    <n v="3023.57"/>
    <x v="0"/>
    <x v="0"/>
    <x v="4"/>
    <x v="4"/>
    <s v="Ccs2"/>
    <x v="3"/>
    <x v="2"/>
    <x v="2"/>
    <x v="0"/>
    <x v="0"/>
    <x v="275"/>
    <x v="1"/>
    <x v="2"/>
    <x v="1"/>
    <x v="3"/>
  </r>
  <r>
    <s v="EV-0346"/>
    <x v="8"/>
    <s v="bpcl"/>
    <s v="CCS2"/>
    <s v="Maintenance"/>
    <d v="2024-06-19T00:00:00"/>
    <n v="947.2"/>
    <n v="10071.92"/>
    <x v="8"/>
    <x v="7"/>
    <x v="4"/>
    <x v="4"/>
    <s v="Ccs2"/>
    <x v="3"/>
    <x v="2"/>
    <x v="2"/>
    <x v="8"/>
    <x v="0"/>
    <x v="276"/>
    <x v="1"/>
    <x v="2"/>
    <x v="1"/>
    <x v="3"/>
  </r>
  <r>
    <s v="EV-0347"/>
    <x v="2"/>
    <s v="B.P.C.L"/>
    <s v="CCS2"/>
    <s v="Active"/>
    <d v="2025-02-20T00:00:00"/>
    <n v="11357.03"/>
    <n v="126920.72"/>
    <x v="2"/>
    <x v="2"/>
    <x v="8"/>
    <x v="8"/>
    <s v="Ccs2"/>
    <x v="3"/>
    <x v="1"/>
    <x v="1"/>
    <x v="9"/>
    <x v="0"/>
    <x v="241"/>
    <x v="0"/>
    <x v="2"/>
    <x v="0"/>
    <x v="3"/>
  </r>
  <r>
    <s v="EV-0348"/>
    <x v="4"/>
    <s v="Ather Grid"/>
    <s v="Type2 AC"/>
    <s v="Active"/>
    <d v="2025-05-12T00:00:00"/>
    <n v="7835.5"/>
    <n v="71317.66"/>
    <x v="4"/>
    <x v="4"/>
    <x v="3"/>
    <x v="3"/>
    <s v="Type2 Ac"/>
    <x v="0"/>
    <x v="1"/>
    <x v="1"/>
    <x v="4"/>
    <x v="0"/>
    <x v="192"/>
    <x v="0"/>
    <x v="0"/>
    <x v="0"/>
    <x v="0"/>
  </r>
  <r>
    <s v="EV-0349"/>
    <x v="0"/>
    <s v="Ather Grid"/>
    <s v="Bharat DC-001"/>
    <s v="Active"/>
    <d v="2025-05-07T00:00:00"/>
    <n v="9157.11"/>
    <n v="93232.76"/>
    <x v="0"/>
    <x v="0"/>
    <x v="3"/>
    <x v="3"/>
    <s v="Bharat Dc-001"/>
    <x v="2"/>
    <x v="1"/>
    <x v="1"/>
    <x v="0"/>
    <x v="0"/>
    <x v="277"/>
    <x v="0"/>
    <x v="1"/>
    <x v="0"/>
    <x v="2"/>
  </r>
  <r>
    <s v="EV-0350"/>
    <x v="3"/>
    <s v="Tata Power"/>
    <s v="CHAdeMO"/>
    <s v="Active"/>
    <d v="2024-08-06T00:00:00"/>
    <n v="1679.76"/>
    <n v="17252.28"/>
    <x v="3"/>
    <x v="3"/>
    <x v="5"/>
    <x v="5"/>
    <s v="Chademo"/>
    <x v="1"/>
    <x v="1"/>
    <x v="1"/>
    <x v="3"/>
    <x v="0"/>
    <x v="278"/>
    <x v="1"/>
    <x v="1"/>
    <x v="1"/>
    <x v="1"/>
  </r>
  <r>
    <s v="EV-0351"/>
    <x v="0"/>
    <s v="bpcl"/>
    <s v="Type2 AC"/>
    <s v="Active"/>
    <d v="2025-02-14T00:00:00"/>
    <n v="641.04999999999995"/>
    <n v="9352.82"/>
    <x v="0"/>
    <x v="0"/>
    <x v="4"/>
    <x v="4"/>
    <s v="Type2 Ac"/>
    <x v="0"/>
    <x v="1"/>
    <x v="1"/>
    <x v="0"/>
    <x v="0"/>
    <x v="279"/>
    <x v="1"/>
    <x v="0"/>
    <x v="0"/>
    <x v="0"/>
  </r>
  <r>
    <s v="EV-0352"/>
    <x v="6"/>
    <s v="bpcl"/>
    <s v="Bharat DC-001"/>
    <s v="Active"/>
    <d v="2024-03-01T00:00:00"/>
    <n v="3769.9"/>
    <n v="45893.13"/>
    <x v="6"/>
    <x v="5"/>
    <x v="4"/>
    <x v="4"/>
    <s v="Bharat Dc-001"/>
    <x v="2"/>
    <x v="1"/>
    <x v="1"/>
    <x v="6"/>
    <x v="0"/>
    <x v="227"/>
    <x v="1"/>
    <x v="1"/>
    <x v="1"/>
    <x v="2"/>
  </r>
  <r>
    <s v="EV-0353"/>
    <x v="2"/>
    <s v="Zeon Charging"/>
    <s v="Type2 AC"/>
    <s v="Active"/>
    <d v="2024-06-17T00:00:00"/>
    <n v="6005.21"/>
    <n v="85174.27"/>
    <x v="2"/>
    <x v="2"/>
    <x v="2"/>
    <x v="2"/>
    <s v="Type2 Ac"/>
    <x v="0"/>
    <x v="1"/>
    <x v="1"/>
    <x v="2"/>
    <x v="0"/>
    <x v="280"/>
    <x v="0"/>
    <x v="0"/>
    <x v="1"/>
    <x v="0"/>
  </r>
  <r>
    <s v="EV-0354"/>
    <x v="4"/>
    <s v="Ather Grid"/>
    <s v="CHAdeMO"/>
    <s v="Inactive"/>
    <d v="2025-01-23T00:00:00"/>
    <n v="170.35"/>
    <n v="1548.32"/>
    <x v="4"/>
    <x v="4"/>
    <x v="3"/>
    <x v="3"/>
    <s v="Chademo"/>
    <x v="1"/>
    <x v="3"/>
    <x v="3"/>
    <x v="4"/>
    <x v="0"/>
    <x v="97"/>
    <x v="0"/>
    <x v="1"/>
    <x v="0"/>
    <x v="1"/>
  </r>
  <r>
    <s v="EV-0355"/>
    <x v="4"/>
    <s v="bpcl"/>
    <s v="Bharat DC-001"/>
    <s v="Inactive"/>
    <d v="2024-01-03T00:00:00"/>
    <m/>
    <n v="6411.43"/>
    <x v="4"/>
    <x v="4"/>
    <x v="4"/>
    <x v="4"/>
    <s v="Bharat Dc-001"/>
    <x v="2"/>
    <x v="3"/>
    <x v="3"/>
    <x v="4"/>
    <x v="0"/>
    <x v="281"/>
    <x v="1"/>
    <x v="1"/>
    <x v="1"/>
    <x v="2"/>
  </r>
  <r>
    <s v="EV-0356"/>
    <x v="2"/>
    <s v="Tata Power"/>
    <s v="Type2 AC"/>
    <s v="Active"/>
    <d v="2025-02-03T00:00:00"/>
    <n v="3403.5"/>
    <n v="28413.57"/>
    <x v="2"/>
    <x v="2"/>
    <x v="5"/>
    <x v="5"/>
    <s v="Type2 Ac"/>
    <x v="0"/>
    <x v="1"/>
    <x v="1"/>
    <x v="2"/>
    <x v="0"/>
    <x v="282"/>
    <x v="1"/>
    <x v="0"/>
    <x v="0"/>
    <x v="0"/>
  </r>
  <r>
    <s v="EV-0357"/>
    <x v="4"/>
    <s v="Tata Power"/>
    <s v="CHAdeMO"/>
    <s v="Maintenance"/>
    <d v="2024-09-28T00:00:00"/>
    <n v="2599"/>
    <n v="22276.21"/>
    <x v="4"/>
    <x v="4"/>
    <x v="5"/>
    <x v="5"/>
    <s v="Chademo"/>
    <x v="1"/>
    <x v="2"/>
    <x v="2"/>
    <x v="4"/>
    <x v="0"/>
    <x v="125"/>
    <x v="1"/>
    <x v="1"/>
    <x v="1"/>
    <x v="1"/>
  </r>
  <r>
    <s v="EV-0358"/>
    <x v="3"/>
    <s v="bpcl"/>
    <s v="CCS2"/>
    <s v="Active"/>
    <d v="2026-03-13T00:00:00"/>
    <n v="1812"/>
    <n v="20116.439999999999"/>
    <x v="3"/>
    <x v="3"/>
    <x v="4"/>
    <x v="4"/>
    <s v="Ccs2"/>
    <x v="3"/>
    <x v="1"/>
    <x v="1"/>
    <x v="3"/>
    <x v="0"/>
    <x v="283"/>
    <x v="1"/>
    <x v="2"/>
    <x v="2"/>
    <x v="3"/>
  </r>
  <r>
    <s v="EV-0359"/>
    <x v="1"/>
    <s v="Ather Grid"/>
    <s v="CHAdeMO"/>
    <s v="Maintenance"/>
    <d v="2026-03-14T00:00:00"/>
    <n v="289.5"/>
    <n v="3175.27"/>
    <x v="1"/>
    <x v="1"/>
    <x v="3"/>
    <x v="3"/>
    <s v="Chademo"/>
    <x v="1"/>
    <x v="2"/>
    <x v="2"/>
    <x v="1"/>
    <x v="0"/>
    <x v="284"/>
    <x v="0"/>
    <x v="1"/>
    <x v="2"/>
    <x v="1"/>
  </r>
  <r>
    <s v="EV-0360"/>
    <x v="3"/>
    <s v="Tata Power"/>
    <s v="CCS2"/>
    <s v="Active"/>
    <d v="2025-04-10T00:00:00"/>
    <n v="6155.09"/>
    <n v="75396.97"/>
    <x v="3"/>
    <x v="3"/>
    <x v="5"/>
    <x v="5"/>
    <s v="Ccs2"/>
    <x v="3"/>
    <x v="1"/>
    <x v="1"/>
    <x v="3"/>
    <x v="0"/>
    <x v="285"/>
    <x v="1"/>
    <x v="2"/>
    <x v="0"/>
    <x v="3"/>
  </r>
  <r>
    <s v="EV-0361"/>
    <x v="0"/>
    <s v="Zeon Charging"/>
    <s v="Type2 AC"/>
    <s v="Decommissioned"/>
    <d v="2024-10-19T00:00:00"/>
    <n v="115.4"/>
    <n v="1257.78"/>
    <x v="0"/>
    <x v="0"/>
    <x v="2"/>
    <x v="2"/>
    <s v="Type2 Ac"/>
    <x v="0"/>
    <x v="0"/>
    <x v="0"/>
    <x v="0"/>
    <x v="0"/>
    <x v="286"/>
    <x v="0"/>
    <x v="0"/>
    <x v="1"/>
    <x v="0"/>
  </r>
  <r>
    <s v="EV-0362"/>
    <x v="2"/>
    <s v="Tata Power"/>
    <s v="Bharat DC-001"/>
    <s v="Inactive"/>
    <d v="2025-03-09T00:00:00"/>
    <n v="343.23"/>
    <n v="3263.77"/>
    <x v="2"/>
    <x v="2"/>
    <x v="5"/>
    <x v="5"/>
    <s v="Bharat Dc-001"/>
    <x v="2"/>
    <x v="3"/>
    <x v="3"/>
    <x v="2"/>
    <x v="0"/>
    <x v="206"/>
    <x v="1"/>
    <x v="1"/>
    <x v="0"/>
    <x v="2"/>
  </r>
  <r>
    <s v="EV-0363"/>
    <x v="0"/>
    <s v="ChargePoint"/>
    <s v="Bharat DC-001"/>
    <s v="Active"/>
    <d v="2025-12-14T00:00:00"/>
    <n v="2244.86"/>
    <n v="26009.9"/>
    <x v="0"/>
    <x v="0"/>
    <x v="0"/>
    <x v="0"/>
    <s v="Bharat Dc-001"/>
    <x v="2"/>
    <x v="1"/>
    <x v="1"/>
    <x v="0"/>
    <x v="0"/>
    <x v="287"/>
    <x v="0"/>
    <x v="1"/>
    <x v="0"/>
    <x v="2"/>
  </r>
  <r>
    <s v="EV-0364"/>
    <x v="3"/>
    <s v="ChargePoint"/>
    <s v="Type2 AC"/>
    <s v="Active"/>
    <d v="2026-01-18T00:00:00"/>
    <m/>
    <m/>
    <x v="3"/>
    <x v="3"/>
    <x v="0"/>
    <x v="0"/>
    <s v="Type2 Ac"/>
    <x v="0"/>
    <x v="1"/>
    <x v="1"/>
    <x v="3"/>
    <x v="0"/>
    <x v="288"/>
    <x v="0"/>
    <x v="0"/>
    <x v="2"/>
    <x v="0"/>
  </r>
  <r>
    <s v="EV-0365"/>
    <x v="1"/>
    <s v="Ather Grid"/>
    <s v="Bharat DC-001"/>
    <s v="Active"/>
    <d v="2026-03-13T00:00:00"/>
    <n v="11414.94"/>
    <n v="100180.12"/>
    <x v="1"/>
    <x v="1"/>
    <x v="3"/>
    <x v="3"/>
    <s v="Bharat Dc-001"/>
    <x v="2"/>
    <x v="1"/>
    <x v="1"/>
    <x v="1"/>
    <x v="0"/>
    <x v="283"/>
    <x v="0"/>
    <x v="1"/>
    <x v="2"/>
    <x v="2"/>
  </r>
  <r>
    <s v="EV-0366"/>
    <x v="0"/>
    <s v="bpcl"/>
    <s v="Bharat DC-001"/>
    <s v="Active"/>
    <d v="2025-07-23T00:00:00"/>
    <n v="1479.58"/>
    <n v="18860.98"/>
    <x v="0"/>
    <x v="0"/>
    <x v="4"/>
    <x v="4"/>
    <s v="Bharat Dc-001"/>
    <x v="2"/>
    <x v="1"/>
    <x v="1"/>
    <x v="0"/>
    <x v="0"/>
    <x v="289"/>
    <x v="1"/>
    <x v="1"/>
    <x v="0"/>
    <x v="2"/>
  </r>
  <r>
    <s v="EV-0367"/>
    <x v="1"/>
    <s v="Ather Grid"/>
    <s v="CCS2"/>
    <s v="Active"/>
    <d v="2025-11-08T00:00:00"/>
    <n v="3354.2"/>
    <n v="40760.04"/>
    <x v="1"/>
    <x v="1"/>
    <x v="3"/>
    <x v="3"/>
    <s v="Ccs2"/>
    <x v="3"/>
    <x v="1"/>
    <x v="1"/>
    <x v="1"/>
    <x v="0"/>
    <x v="72"/>
    <x v="0"/>
    <x v="2"/>
    <x v="0"/>
    <x v="3"/>
  </r>
  <r>
    <s v="EV-0368"/>
    <x v="6"/>
    <s v="Ather Grid"/>
    <s v="Type2 AC"/>
    <s v="Active"/>
    <d v="2026-01-05T00:00:00"/>
    <n v="6917.84"/>
    <n v="80859.44"/>
    <x v="6"/>
    <x v="5"/>
    <x v="3"/>
    <x v="3"/>
    <s v="Type2 Ac"/>
    <x v="0"/>
    <x v="1"/>
    <x v="1"/>
    <x v="6"/>
    <x v="0"/>
    <x v="116"/>
    <x v="0"/>
    <x v="0"/>
    <x v="2"/>
    <x v="0"/>
  </r>
  <r>
    <s v="EV-0369"/>
    <x v="9"/>
    <s v="Ather Grid"/>
    <s v="CHAdeMO"/>
    <s v="Active"/>
    <d v="2025-05-13T00:00:00"/>
    <n v="5286"/>
    <n v="53700.13"/>
    <x v="9"/>
    <x v="8"/>
    <x v="3"/>
    <x v="3"/>
    <s v="Chademo"/>
    <x v="1"/>
    <x v="1"/>
    <x v="1"/>
    <x v="11"/>
    <x v="0"/>
    <x v="290"/>
    <x v="0"/>
    <x v="1"/>
    <x v="0"/>
    <x v="1"/>
  </r>
  <r>
    <s v="EV-0370"/>
    <x v="4"/>
    <s v="Ather Grid"/>
    <s v="CCS2"/>
    <m/>
    <d v="2024-06-07T00:00:00"/>
    <n v="298.06"/>
    <n v="2844.57"/>
    <x v="4"/>
    <x v="4"/>
    <x v="3"/>
    <x v="3"/>
    <s v="Ccs2"/>
    <x v="3"/>
    <x v="4"/>
    <x v="4"/>
    <x v="4"/>
    <x v="0"/>
    <x v="291"/>
    <x v="0"/>
    <x v="2"/>
    <x v="1"/>
    <x v="3"/>
  </r>
  <r>
    <s v="EV-0371"/>
    <x v="8"/>
    <s v="Zeon Charging"/>
    <s v="Type2 AC"/>
    <s v="Decommissioned"/>
    <d v="2024-07-13T00:00:00"/>
    <n v="123.68"/>
    <n v="1841.73"/>
    <x v="8"/>
    <x v="7"/>
    <x v="2"/>
    <x v="2"/>
    <s v="Type2 Ac"/>
    <x v="0"/>
    <x v="0"/>
    <x v="0"/>
    <x v="8"/>
    <x v="0"/>
    <x v="242"/>
    <x v="0"/>
    <x v="0"/>
    <x v="1"/>
    <x v="0"/>
  </r>
  <r>
    <s v="EV-0372"/>
    <x v="4"/>
    <s v="Zeon Charging"/>
    <s v="CCS2"/>
    <s v="Active"/>
    <d v="2024-10-30T00:00:00"/>
    <n v="9420.48"/>
    <n v="78976.350000000006"/>
    <x v="4"/>
    <x v="4"/>
    <x v="2"/>
    <x v="2"/>
    <s v="Ccs2"/>
    <x v="3"/>
    <x v="1"/>
    <x v="1"/>
    <x v="9"/>
    <x v="0"/>
    <x v="292"/>
    <x v="0"/>
    <x v="2"/>
    <x v="1"/>
    <x v="3"/>
  </r>
  <r>
    <s v="EV-0373"/>
    <x v="5"/>
    <s v="Tata Power"/>
    <s v="CHAdeMO"/>
    <m/>
    <d v="2024-08-10T00:00:00"/>
    <n v="4874.3500000000004"/>
    <n v="45969.81"/>
    <x v="5"/>
    <x v="4"/>
    <x v="5"/>
    <x v="5"/>
    <s v="Chademo"/>
    <x v="1"/>
    <x v="4"/>
    <x v="4"/>
    <x v="5"/>
    <x v="0"/>
    <x v="293"/>
    <x v="1"/>
    <x v="1"/>
    <x v="1"/>
    <x v="1"/>
  </r>
  <r>
    <s v="EV-0374"/>
    <x v="2"/>
    <s v="ChargePoint"/>
    <s v="CHAdeMO"/>
    <s v="Active"/>
    <d v="2024-02-29T00:00:00"/>
    <n v="10947.8"/>
    <n v="160026.93"/>
    <x v="2"/>
    <x v="2"/>
    <x v="0"/>
    <x v="0"/>
    <s v="Chademo"/>
    <x v="1"/>
    <x v="1"/>
    <x v="1"/>
    <x v="2"/>
    <x v="0"/>
    <x v="188"/>
    <x v="0"/>
    <x v="1"/>
    <x v="1"/>
    <x v="1"/>
  </r>
  <r>
    <s v="EV-0375"/>
    <x v="4"/>
    <s v="Ather Grid"/>
    <s v="Type2 AC"/>
    <s v="Inactive"/>
    <d v="2025-08-16T00:00:00"/>
    <n v="148.68"/>
    <n v="1988.07"/>
    <x v="4"/>
    <x v="4"/>
    <x v="3"/>
    <x v="3"/>
    <s v="Type2 Ac"/>
    <x v="0"/>
    <x v="3"/>
    <x v="3"/>
    <x v="4"/>
    <x v="0"/>
    <x v="294"/>
    <x v="0"/>
    <x v="0"/>
    <x v="0"/>
    <x v="0"/>
  </r>
  <r>
    <s v="EV-0376"/>
    <x v="9"/>
    <s v="Tata Power"/>
    <s v="CHAdeMO"/>
    <s v="Active"/>
    <d v="2026-01-23T00:00:00"/>
    <n v="7268.04"/>
    <n v="97021.98"/>
    <x v="9"/>
    <x v="8"/>
    <x v="5"/>
    <x v="5"/>
    <s v="Chademo"/>
    <x v="1"/>
    <x v="1"/>
    <x v="1"/>
    <x v="11"/>
    <x v="0"/>
    <x v="295"/>
    <x v="1"/>
    <x v="1"/>
    <x v="2"/>
    <x v="1"/>
  </r>
  <r>
    <s v="EV-0377"/>
    <x v="7"/>
    <m/>
    <s v="CCS2"/>
    <s v="Decommissioned"/>
    <d v="2025-07-09T00:00:00"/>
    <n v="85.77"/>
    <n v="859.94"/>
    <x v="7"/>
    <x v="6"/>
    <x v="7"/>
    <x v="7"/>
    <s v="Ccs2"/>
    <x v="3"/>
    <x v="0"/>
    <x v="0"/>
    <x v="7"/>
    <x v="0"/>
    <x v="296"/>
    <x v="0"/>
    <x v="2"/>
    <x v="0"/>
    <x v="3"/>
  </r>
  <r>
    <s v="EV-0378"/>
    <x v="4"/>
    <s v="B.P.C.L"/>
    <s v="CHAdeMO"/>
    <s v="Maintenance"/>
    <d v="2024-03-03T00:00:00"/>
    <n v="1749.03"/>
    <n v="15461.23"/>
    <x v="4"/>
    <x v="4"/>
    <x v="8"/>
    <x v="8"/>
    <s v="Chademo"/>
    <x v="1"/>
    <x v="2"/>
    <x v="2"/>
    <x v="4"/>
    <x v="0"/>
    <x v="254"/>
    <x v="0"/>
    <x v="1"/>
    <x v="1"/>
    <x v="1"/>
  </r>
  <r>
    <s v="EV-0379"/>
    <x v="7"/>
    <s v="Zeon Charging"/>
    <s v="CCS2"/>
    <s v="Active"/>
    <d v="2026-02-04T00:00:00"/>
    <n v="1192.6500000000001"/>
    <n v="13693.65"/>
    <x v="7"/>
    <x v="6"/>
    <x v="2"/>
    <x v="2"/>
    <s v="Ccs2"/>
    <x v="3"/>
    <x v="1"/>
    <x v="1"/>
    <x v="7"/>
    <x v="0"/>
    <x v="297"/>
    <x v="0"/>
    <x v="2"/>
    <x v="2"/>
    <x v="3"/>
  </r>
  <r>
    <s v="EV-0380"/>
    <x v="9"/>
    <s v="ChargePoint"/>
    <s v="CCS2"/>
    <s v="Active"/>
    <d v="2024-11-17T00:00:00"/>
    <n v="11541.25"/>
    <n v="127122.08"/>
    <x v="9"/>
    <x v="8"/>
    <x v="0"/>
    <x v="0"/>
    <s v="Ccs2"/>
    <x v="3"/>
    <x v="1"/>
    <x v="1"/>
    <x v="11"/>
    <x v="0"/>
    <x v="298"/>
    <x v="0"/>
    <x v="2"/>
    <x v="1"/>
    <x v="3"/>
  </r>
  <r>
    <s v="EV-0381"/>
    <x v="4"/>
    <s v="bpcl"/>
    <s v="CHAdeMO"/>
    <s v="Maintenance"/>
    <d v="2024-02-28T00:00:00"/>
    <n v="387.78"/>
    <n v="3452.91"/>
    <x v="4"/>
    <x v="4"/>
    <x v="4"/>
    <x v="4"/>
    <s v="Chademo"/>
    <x v="1"/>
    <x v="2"/>
    <x v="2"/>
    <x v="4"/>
    <x v="0"/>
    <x v="299"/>
    <x v="1"/>
    <x v="1"/>
    <x v="1"/>
    <x v="1"/>
  </r>
  <r>
    <s v="EV-0382"/>
    <x v="2"/>
    <s v="ChargePoint"/>
    <s v="Type2 AC"/>
    <s v="Inactive"/>
    <d v="2024-02-21T00:00:00"/>
    <n v="381.37"/>
    <n v="4472.74"/>
    <x v="2"/>
    <x v="2"/>
    <x v="0"/>
    <x v="0"/>
    <s v="Type2 Ac"/>
    <x v="0"/>
    <x v="3"/>
    <x v="3"/>
    <x v="2"/>
    <x v="0"/>
    <x v="268"/>
    <x v="0"/>
    <x v="0"/>
    <x v="1"/>
    <x v="0"/>
  </r>
  <r>
    <s v="EV-0383"/>
    <x v="3"/>
    <s v="Zeon Charging"/>
    <s v="Bharat DC-001"/>
    <s v="Active"/>
    <d v="2025-08-21T00:00:00"/>
    <n v="7693.42"/>
    <n v="73939.73"/>
    <x v="3"/>
    <x v="3"/>
    <x v="2"/>
    <x v="2"/>
    <s v="Bharat Dc-001"/>
    <x v="2"/>
    <x v="1"/>
    <x v="1"/>
    <x v="3"/>
    <x v="0"/>
    <x v="300"/>
    <x v="0"/>
    <x v="1"/>
    <x v="0"/>
    <x v="2"/>
  </r>
  <r>
    <s v="EV-0384"/>
    <x v="6"/>
    <s v="Zeon Charging"/>
    <s v="CHAdeMO"/>
    <s v="Active"/>
    <d v="2025-05-03T00:00:00"/>
    <n v="3543.43"/>
    <n v="42206.02"/>
    <x v="6"/>
    <x v="5"/>
    <x v="2"/>
    <x v="2"/>
    <s v="Chademo"/>
    <x v="1"/>
    <x v="1"/>
    <x v="1"/>
    <x v="6"/>
    <x v="0"/>
    <x v="301"/>
    <x v="0"/>
    <x v="1"/>
    <x v="0"/>
    <x v="1"/>
  </r>
  <r>
    <s v="EV-0385"/>
    <x v="2"/>
    <s v="Tata Power"/>
    <s v="CCS2"/>
    <s v="Inactive"/>
    <d v="2025-05-29T00:00:00"/>
    <n v="40.590000000000003"/>
    <n v="514.53"/>
    <x v="2"/>
    <x v="2"/>
    <x v="5"/>
    <x v="5"/>
    <s v="Ccs2"/>
    <x v="3"/>
    <x v="3"/>
    <x v="3"/>
    <x v="2"/>
    <x v="0"/>
    <x v="302"/>
    <x v="1"/>
    <x v="2"/>
    <x v="0"/>
    <x v="3"/>
  </r>
  <r>
    <s v="EV-0386"/>
    <x v="7"/>
    <s v="Ather Grid"/>
    <s v="CCS2"/>
    <s v="Active"/>
    <d v="2025-06-27T00:00:00"/>
    <n v="3258.45"/>
    <n v="34145.85"/>
    <x v="7"/>
    <x v="6"/>
    <x v="3"/>
    <x v="3"/>
    <s v="Ccs2"/>
    <x v="3"/>
    <x v="1"/>
    <x v="1"/>
    <x v="7"/>
    <x v="0"/>
    <x v="178"/>
    <x v="0"/>
    <x v="2"/>
    <x v="0"/>
    <x v="3"/>
  </r>
  <r>
    <s v="EV-0387"/>
    <x v="9"/>
    <m/>
    <s v="CHAdeMO"/>
    <s v="Maintenance"/>
    <d v="2024-06-10T00:00:00"/>
    <n v="1700.78"/>
    <n v="18333.55"/>
    <x v="9"/>
    <x v="8"/>
    <x v="7"/>
    <x v="7"/>
    <s v="Chademo"/>
    <x v="1"/>
    <x v="2"/>
    <x v="2"/>
    <x v="11"/>
    <x v="0"/>
    <x v="162"/>
    <x v="0"/>
    <x v="1"/>
    <x v="1"/>
    <x v="1"/>
  </r>
  <r>
    <s v="EV-0388"/>
    <x v="4"/>
    <s v="ChargePoint"/>
    <s v="Type2 AC"/>
    <s v="Active"/>
    <d v="2024-02-28T00:00:00"/>
    <n v="2300.13"/>
    <n v="30348.58"/>
    <x v="4"/>
    <x v="4"/>
    <x v="0"/>
    <x v="0"/>
    <s v="Type2 Ac"/>
    <x v="0"/>
    <x v="1"/>
    <x v="1"/>
    <x v="4"/>
    <x v="0"/>
    <x v="299"/>
    <x v="0"/>
    <x v="0"/>
    <x v="1"/>
    <x v="0"/>
  </r>
  <r>
    <s v="EV-0389"/>
    <x v="7"/>
    <s v="bpcl"/>
    <s v="Type2 AC"/>
    <s v="Active"/>
    <d v="2025-06-04T00:00:00"/>
    <n v="5197.95"/>
    <n v="57455.73"/>
    <x v="7"/>
    <x v="6"/>
    <x v="4"/>
    <x v="4"/>
    <s v="Type2 Ac"/>
    <x v="0"/>
    <x v="1"/>
    <x v="1"/>
    <x v="7"/>
    <x v="0"/>
    <x v="303"/>
    <x v="1"/>
    <x v="0"/>
    <x v="0"/>
    <x v="0"/>
  </r>
  <r>
    <s v="EV-0390"/>
    <x v="7"/>
    <s v="Zeon Charging"/>
    <s v="CCS2"/>
    <s v="Maintenance"/>
    <d v="2024-03-23T00:00:00"/>
    <n v="2099.1799999999998"/>
    <n v="23549.19"/>
    <x v="7"/>
    <x v="6"/>
    <x v="2"/>
    <x v="2"/>
    <s v="Ccs2"/>
    <x v="3"/>
    <x v="2"/>
    <x v="2"/>
    <x v="7"/>
    <x v="0"/>
    <x v="304"/>
    <x v="0"/>
    <x v="2"/>
    <x v="1"/>
    <x v="3"/>
  </r>
  <r>
    <s v="EV-0391"/>
    <x v="1"/>
    <s v="ChargePoint"/>
    <s v="CCS2"/>
    <s v="Active"/>
    <d v="2024-07-09T00:00:00"/>
    <n v="5903.99"/>
    <n v="50449.82"/>
    <x v="1"/>
    <x v="1"/>
    <x v="0"/>
    <x v="0"/>
    <s v="Ccs2"/>
    <x v="3"/>
    <x v="1"/>
    <x v="1"/>
    <x v="1"/>
    <x v="0"/>
    <x v="305"/>
    <x v="0"/>
    <x v="2"/>
    <x v="1"/>
    <x v="3"/>
  </r>
  <r>
    <s v="EV-0392"/>
    <x v="0"/>
    <s v="Zeon Charging"/>
    <s v="Type2 AC"/>
    <s v="Active"/>
    <d v="2024-03-11T00:00:00"/>
    <n v="875.36"/>
    <n v="8921.17"/>
    <x v="0"/>
    <x v="0"/>
    <x v="2"/>
    <x v="2"/>
    <s v="Type2 Ac"/>
    <x v="0"/>
    <x v="1"/>
    <x v="1"/>
    <x v="0"/>
    <x v="0"/>
    <x v="194"/>
    <x v="0"/>
    <x v="0"/>
    <x v="1"/>
    <x v="0"/>
  </r>
  <r>
    <s v="EV-0393"/>
    <x v="0"/>
    <s v="ChargePoint"/>
    <s v="Bharat DC-001"/>
    <s v="Active"/>
    <d v="2025-09-01T00:00:00"/>
    <n v="3813.21"/>
    <n v="41964.34"/>
    <x v="0"/>
    <x v="0"/>
    <x v="0"/>
    <x v="0"/>
    <s v="Bharat Dc-001"/>
    <x v="2"/>
    <x v="1"/>
    <x v="1"/>
    <x v="0"/>
    <x v="0"/>
    <x v="306"/>
    <x v="0"/>
    <x v="1"/>
    <x v="0"/>
    <x v="2"/>
  </r>
  <r>
    <s v="EV-0394"/>
    <x v="11"/>
    <s v="Tata Power"/>
    <s v="CHAdeMO"/>
    <s v="Active"/>
    <d v="2024-03-10T00:00:00"/>
    <m/>
    <m/>
    <x v="11"/>
    <x v="6"/>
    <x v="5"/>
    <x v="5"/>
    <s v="Chademo"/>
    <x v="1"/>
    <x v="1"/>
    <x v="1"/>
    <x v="12"/>
    <x v="0"/>
    <x v="228"/>
    <x v="1"/>
    <x v="1"/>
    <x v="1"/>
    <x v="1"/>
  </r>
  <r>
    <s v="EV-0395"/>
    <x v="9"/>
    <s v="Ather Grid"/>
    <s v="CCS2"/>
    <s v="Active"/>
    <d v="2025-11-22T00:00:00"/>
    <n v="10385.48"/>
    <n v="129621.09"/>
    <x v="9"/>
    <x v="8"/>
    <x v="3"/>
    <x v="3"/>
    <s v="Ccs2"/>
    <x v="3"/>
    <x v="1"/>
    <x v="1"/>
    <x v="11"/>
    <x v="0"/>
    <x v="307"/>
    <x v="0"/>
    <x v="2"/>
    <x v="0"/>
    <x v="3"/>
  </r>
  <r>
    <s v="EV-0396"/>
    <x v="1"/>
    <s v="ChargePoint"/>
    <s v="CCS2"/>
    <s v="Active"/>
    <d v="2024-08-28T00:00:00"/>
    <n v="1318.57"/>
    <n v="13220.78"/>
    <x v="1"/>
    <x v="1"/>
    <x v="0"/>
    <x v="0"/>
    <s v="Ccs2"/>
    <x v="3"/>
    <x v="1"/>
    <x v="1"/>
    <x v="1"/>
    <x v="0"/>
    <x v="308"/>
    <x v="0"/>
    <x v="2"/>
    <x v="1"/>
    <x v="3"/>
  </r>
  <r>
    <s v="EV-0397"/>
    <x v="6"/>
    <s v="ZeonCharging"/>
    <s v="Type2 AC"/>
    <s v="Active"/>
    <d v="2025-02-17T00:00:00"/>
    <n v="3184.37"/>
    <n v="34503.370000000003"/>
    <x v="6"/>
    <x v="5"/>
    <x v="9"/>
    <x v="9"/>
    <s v="Type2 Ac"/>
    <x v="0"/>
    <x v="1"/>
    <x v="1"/>
    <x v="6"/>
    <x v="0"/>
    <x v="309"/>
    <x v="0"/>
    <x v="0"/>
    <x v="0"/>
    <x v="0"/>
  </r>
  <r>
    <s v="EV-0398"/>
    <x v="0"/>
    <s v="Tata Power"/>
    <s v="CHAdeMO"/>
    <s v="Inactive"/>
    <d v="2024-05-02T00:00:00"/>
    <n v="132.28"/>
    <n v="1952.9"/>
    <x v="0"/>
    <x v="0"/>
    <x v="5"/>
    <x v="5"/>
    <s v="Chademo"/>
    <x v="1"/>
    <x v="3"/>
    <x v="3"/>
    <x v="0"/>
    <x v="0"/>
    <x v="310"/>
    <x v="1"/>
    <x v="1"/>
    <x v="1"/>
    <x v="1"/>
  </r>
  <r>
    <s v="EV-0399"/>
    <x v="8"/>
    <s v="ChargePoint"/>
    <s v="Type2 AC"/>
    <s v="Active"/>
    <d v="2025-08-06T00:00:00"/>
    <m/>
    <m/>
    <x v="8"/>
    <x v="7"/>
    <x v="0"/>
    <x v="0"/>
    <s v="Type2 Ac"/>
    <x v="0"/>
    <x v="1"/>
    <x v="1"/>
    <x v="8"/>
    <x v="0"/>
    <x v="311"/>
    <x v="0"/>
    <x v="0"/>
    <x v="0"/>
    <x v="0"/>
  </r>
  <r>
    <s v="EV-0400"/>
    <x v="7"/>
    <s v="bpcl"/>
    <s v="CHAdeMO"/>
    <s v="Active"/>
    <d v="2024-09-09T00:00:00"/>
    <n v="7282.58"/>
    <n v="106568.18"/>
    <x v="7"/>
    <x v="6"/>
    <x v="4"/>
    <x v="4"/>
    <s v="Chademo"/>
    <x v="1"/>
    <x v="1"/>
    <x v="1"/>
    <x v="9"/>
    <x v="0"/>
    <x v="126"/>
    <x v="1"/>
    <x v="1"/>
    <x v="1"/>
    <x v="1"/>
  </r>
  <r>
    <s v="EV-0401"/>
    <x v="4"/>
    <s v="Ather Grid"/>
    <s v="CHAdeMO"/>
    <m/>
    <d v="2025-08-15T00:00:00"/>
    <n v="9744.92"/>
    <n v="109344.61"/>
    <x v="4"/>
    <x v="4"/>
    <x v="3"/>
    <x v="3"/>
    <s v="Chademo"/>
    <x v="1"/>
    <x v="4"/>
    <x v="4"/>
    <x v="4"/>
    <x v="0"/>
    <x v="312"/>
    <x v="0"/>
    <x v="1"/>
    <x v="0"/>
    <x v="1"/>
  </r>
  <r>
    <s v="EV-0402"/>
    <x v="6"/>
    <s v="ChargePoint"/>
    <s v="CHAdeMO"/>
    <s v="Maintenance"/>
    <d v="2025-08-31T00:00:00"/>
    <n v="673.68"/>
    <n v="8641.48"/>
    <x v="6"/>
    <x v="5"/>
    <x v="0"/>
    <x v="0"/>
    <s v="Chademo"/>
    <x v="1"/>
    <x v="2"/>
    <x v="2"/>
    <x v="6"/>
    <x v="0"/>
    <x v="313"/>
    <x v="0"/>
    <x v="1"/>
    <x v="0"/>
    <x v="1"/>
  </r>
  <r>
    <s v="EV-0403"/>
    <x v="0"/>
    <s v="Tata Power"/>
    <s v="CCS2"/>
    <s v="Inactive"/>
    <d v="2024-02-10T00:00:00"/>
    <n v="57.39"/>
    <n v="604.49"/>
    <x v="0"/>
    <x v="0"/>
    <x v="5"/>
    <x v="5"/>
    <s v="Ccs2"/>
    <x v="3"/>
    <x v="3"/>
    <x v="3"/>
    <x v="0"/>
    <x v="0"/>
    <x v="314"/>
    <x v="1"/>
    <x v="2"/>
    <x v="1"/>
    <x v="3"/>
  </r>
  <r>
    <s v="EV-0404"/>
    <x v="7"/>
    <s v="bpcl"/>
    <s v="Bharat DC-001"/>
    <s v="Active"/>
    <d v="2025-09-26T00:00:00"/>
    <n v="3085.31"/>
    <n v="34114.22"/>
    <x v="7"/>
    <x v="6"/>
    <x v="4"/>
    <x v="4"/>
    <s v="Bharat Dc-001"/>
    <x v="2"/>
    <x v="1"/>
    <x v="1"/>
    <x v="7"/>
    <x v="0"/>
    <x v="315"/>
    <x v="1"/>
    <x v="1"/>
    <x v="0"/>
    <x v="2"/>
  </r>
  <r>
    <s v="EV-0405"/>
    <x v="9"/>
    <s v="Tata Power"/>
    <s v="Type2 AC"/>
    <s v="Active"/>
    <d v="2024-03-24T00:00:00"/>
    <n v="2213.38"/>
    <n v="19347.25"/>
    <x v="9"/>
    <x v="8"/>
    <x v="5"/>
    <x v="5"/>
    <s v="Type2 Ac"/>
    <x v="0"/>
    <x v="1"/>
    <x v="1"/>
    <x v="11"/>
    <x v="0"/>
    <x v="316"/>
    <x v="1"/>
    <x v="0"/>
    <x v="1"/>
    <x v="0"/>
  </r>
  <r>
    <s v="EV-0406"/>
    <x v="6"/>
    <s v="Tata Power"/>
    <s v="Bharat DC-001"/>
    <s v="Active"/>
    <d v="2025-03-05T00:00:00"/>
    <n v="3554.77"/>
    <n v="39279.269999999997"/>
    <x v="6"/>
    <x v="5"/>
    <x v="5"/>
    <x v="5"/>
    <s v="Bharat Dc-001"/>
    <x v="2"/>
    <x v="1"/>
    <x v="1"/>
    <x v="6"/>
    <x v="0"/>
    <x v="317"/>
    <x v="1"/>
    <x v="1"/>
    <x v="0"/>
    <x v="2"/>
  </r>
  <r>
    <s v="EV-0407"/>
    <x v="0"/>
    <s v="bpcl"/>
    <s v="Type2 AC"/>
    <s v="Inactive"/>
    <d v="2025-11-04T00:00:00"/>
    <n v="71.12"/>
    <n v="768.32"/>
    <x v="0"/>
    <x v="0"/>
    <x v="4"/>
    <x v="4"/>
    <s v="Type2 Ac"/>
    <x v="0"/>
    <x v="3"/>
    <x v="3"/>
    <x v="0"/>
    <x v="0"/>
    <x v="318"/>
    <x v="1"/>
    <x v="0"/>
    <x v="0"/>
    <x v="0"/>
  </r>
  <r>
    <s v="EV-0408"/>
    <x v="4"/>
    <s v="Tata Power"/>
    <s v="CHAdeMO"/>
    <m/>
    <d v="2025-08-20T00:00:00"/>
    <m/>
    <n v="2333.87"/>
    <x v="4"/>
    <x v="4"/>
    <x v="5"/>
    <x v="5"/>
    <s v="Chademo"/>
    <x v="1"/>
    <x v="4"/>
    <x v="4"/>
    <x v="4"/>
    <x v="0"/>
    <x v="132"/>
    <x v="1"/>
    <x v="1"/>
    <x v="0"/>
    <x v="1"/>
  </r>
  <r>
    <s v="EV-0409"/>
    <x v="6"/>
    <s v="bpcl"/>
    <s v="CCS2"/>
    <s v="Inactive"/>
    <d v="2025-08-01T00:00:00"/>
    <n v="396.31"/>
    <n v="5585.46"/>
    <x v="6"/>
    <x v="5"/>
    <x v="4"/>
    <x v="4"/>
    <s v="Ccs2"/>
    <x v="3"/>
    <x v="3"/>
    <x v="3"/>
    <x v="6"/>
    <x v="0"/>
    <x v="319"/>
    <x v="1"/>
    <x v="2"/>
    <x v="0"/>
    <x v="3"/>
  </r>
  <r>
    <s v="EV-0410"/>
    <x v="4"/>
    <s v="ChargePoint"/>
    <s v="Bharat DC-001"/>
    <s v="Maintenance"/>
    <d v="2025-06-19T00:00:00"/>
    <n v="1825.63"/>
    <n v="24135.99"/>
    <x v="4"/>
    <x v="4"/>
    <x v="0"/>
    <x v="0"/>
    <s v="Bharat Dc-001"/>
    <x v="2"/>
    <x v="2"/>
    <x v="2"/>
    <x v="4"/>
    <x v="0"/>
    <x v="320"/>
    <x v="0"/>
    <x v="1"/>
    <x v="0"/>
    <x v="2"/>
  </r>
  <r>
    <s v="EV-0411"/>
    <x v="9"/>
    <s v="bpcl"/>
    <s v="CCS2"/>
    <s v="Inactive"/>
    <d v="2024-11-19T00:00:00"/>
    <n v="412.12"/>
    <n v="3936.16"/>
    <x v="9"/>
    <x v="8"/>
    <x v="4"/>
    <x v="4"/>
    <s v="Ccs2"/>
    <x v="3"/>
    <x v="3"/>
    <x v="3"/>
    <x v="11"/>
    <x v="0"/>
    <x v="112"/>
    <x v="1"/>
    <x v="2"/>
    <x v="1"/>
    <x v="3"/>
  </r>
  <r>
    <s v="EV-0412"/>
    <x v="1"/>
    <s v="bpcl"/>
    <s v="Type2 AC"/>
    <s v="Active"/>
    <d v="2024-09-24T00:00:00"/>
    <n v="11093.71"/>
    <n v="149252.82999999999"/>
    <x v="1"/>
    <x v="1"/>
    <x v="4"/>
    <x v="4"/>
    <s v="Type2 Ac"/>
    <x v="0"/>
    <x v="1"/>
    <x v="1"/>
    <x v="1"/>
    <x v="0"/>
    <x v="321"/>
    <x v="1"/>
    <x v="0"/>
    <x v="1"/>
    <x v="0"/>
  </r>
  <r>
    <s v="EV-0413"/>
    <x v="1"/>
    <s v="Ather Grid"/>
    <s v="CCS2"/>
    <s v="Active"/>
    <d v="2024-07-28T00:00:00"/>
    <n v="5550.26"/>
    <n v="47369.56"/>
    <x v="1"/>
    <x v="1"/>
    <x v="3"/>
    <x v="3"/>
    <s v="Ccs2"/>
    <x v="3"/>
    <x v="1"/>
    <x v="1"/>
    <x v="1"/>
    <x v="0"/>
    <x v="322"/>
    <x v="0"/>
    <x v="2"/>
    <x v="1"/>
    <x v="3"/>
  </r>
  <r>
    <s v="EV-0414"/>
    <x v="3"/>
    <s v="bpcl"/>
    <s v="CCS2"/>
    <s v="Active"/>
    <d v="2025-11-16T00:00:00"/>
    <n v="5890.03"/>
    <n v="73228.23"/>
    <x v="3"/>
    <x v="3"/>
    <x v="4"/>
    <x v="4"/>
    <s v="Ccs2"/>
    <x v="3"/>
    <x v="1"/>
    <x v="1"/>
    <x v="3"/>
    <x v="0"/>
    <x v="233"/>
    <x v="1"/>
    <x v="2"/>
    <x v="0"/>
    <x v="3"/>
  </r>
  <r>
    <s v="EV-0415"/>
    <x v="2"/>
    <s v="bpcl"/>
    <s v="Bharat DC-001"/>
    <s v="Active"/>
    <d v="2026-01-03T00:00:00"/>
    <n v="3997.05"/>
    <n v="46822.38"/>
    <x v="2"/>
    <x v="2"/>
    <x v="4"/>
    <x v="4"/>
    <s v="Bharat Dc-001"/>
    <x v="2"/>
    <x v="1"/>
    <x v="1"/>
    <x v="2"/>
    <x v="0"/>
    <x v="26"/>
    <x v="1"/>
    <x v="1"/>
    <x v="2"/>
    <x v="2"/>
  </r>
  <r>
    <s v="EV-0416"/>
    <x v="0"/>
    <s v="ChargePoint"/>
    <s v="CHAdeMO"/>
    <s v="Maintenance"/>
    <d v="2024-11-17T00:00:00"/>
    <n v="1267.27"/>
    <n v="11858.26"/>
    <x v="0"/>
    <x v="0"/>
    <x v="0"/>
    <x v="0"/>
    <s v="Chademo"/>
    <x v="1"/>
    <x v="2"/>
    <x v="2"/>
    <x v="0"/>
    <x v="0"/>
    <x v="298"/>
    <x v="0"/>
    <x v="1"/>
    <x v="1"/>
    <x v="1"/>
  </r>
  <r>
    <s v="EV-0417"/>
    <x v="9"/>
    <s v="Ather Grid"/>
    <s v="CCS2"/>
    <s v="Active"/>
    <d v="2024-09-01T00:00:00"/>
    <n v="3630.83"/>
    <n v="48775.11"/>
    <x v="9"/>
    <x v="8"/>
    <x v="3"/>
    <x v="3"/>
    <s v="Ccs2"/>
    <x v="3"/>
    <x v="1"/>
    <x v="1"/>
    <x v="11"/>
    <x v="0"/>
    <x v="323"/>
    <x v="0"/>
    <x v="2"/>
    <x v="1"/>
    <x v="3"/>
  </r>
  <r>
    <s v="EV-0418"/>
    <x v="9"/>
    <s v="Zeon Charging"/>
    <s v="CHAdeMO"/>
    <s v="Active"/>
    <d v="2024-09-28T00:00:00"/>
    <n v="6709.79"/>
    <n v="70168.960000000006"/>
    <x v="9"/>
    <x v="8"/>
    <x v="2"/>
    <x v="2"/>
    <s v="Chademo"/>
    <x v="1"/>
    <x v="1"/>
    <x v="1"/>
    <x v="11"/>
    <x v="0"/>
    <x v="125"/>
    <x v="0"/>
    <x v="1"/>
    <x v="1"/>
    <x v="1"/>
  </r>
  <r>
    <s v="EV-0419"/>
    <x v="8"/>
    <s v="ChargePoint"/>
    <s v="Type2 AC"/>
    <s v="Active"/>
    <d v="2025-02-09T00:00:00"/>
    <n v="5534.23"/>
    <n v="81395.039999999994"/>
    <x v="8"/>
    <x v="7"/>
    <x v="0"/>
    <x v="0"/>
    <s v="Type2 Ac"/>
    <x v="0"/>
    <x v="1"/>
    <x v="1"/>
    <x v="8"/>
    <x v="0"/>
    <x v="121"/>
    <x v="0"/>
    <x v="0"/>
    <x v="0"/>
    <x v="0"/>
  </r>
  <r>
    <s v="EV-0420"/>
    <x v="7"/>
    <s v="ChargePoint"/>
    <s v="CCS2"/>
    <s v="Active"/>
    <d v="2024-05-14T00:00:00"/>
    <n v="7377.42"/>
    <n v="92351.29"/>
    <x v="7"/>
    <x v="6"/>
    <x v="0"/>
    <x v="0"/>
    <s v="Ccs2"/>
    <x v="3"/>
    <x v="1"/>
    <x v="1"/>
    <x v="9"/>
    <x v="0"/>
    <x v="324"/>
    <x v="0"/>
    <x v="2"/>
    <x v="1"/>
    <x v="3"/>
  </r>
  <r>
    <s v="EV-0421"/>
    <x v="7"/>
    <s v="Zeon Charging"/>
    <s v="Bharat DC-001"/>
    <s v="Active"/>
    <d v="2025-11-18T00:00:00"/>
    <n v="10728.36"/>
    <n v="96918.17"/>
    <x v="7"/>
    <x v="6"/>
    <x v="2"/>
    <x v="2"/>
    <s v="Bharat Dc-001"/>
    <x v="2"/>
    <x v="1"/>
    <x v="1"/>
    <x v="7"/>
    <x v="0"/>
    <x v="211"/>
    <x v="0"/>
    <x v="1"/>
    <x v="0"/>
    <x v="2"/>
  </r>
  <r>
    <s v="EV-0422"/>
    <x v="7"/>
    <s v="bpcl"/>
    <s v="Type2 AC"/>
    <s v="Active"/>
    <d v="2025-10-22T00:00:00"/>
    <n v="8947.14"/>
    <n v="78015.77"/>
    <x v="7"/>
    <x v="6"/>
    <x v="4"/>
    <x v="4"/>
    <s v="Type2 Ac"/>
    <x v="0"/>
    <x v="1"/>
    <x v="1"/>
    <x v="7"/>
    <x v="0"/>
    <x v="325"/>
    <x v="1"/>
    <x v="0"/>
    <x v="0"/>
    <x v="0"/>
  </r>
  <r>
    <s v="EV-0423"/>
    <x v="4"/>
    <s v="Tata Power"/>
    <s v="Type2 AC"/>
    <s v="Active"/>
    <d v="2024-11-03T00:00:00"/>
    <n v="7442.71"/>
    <n v="72877.36"/>
    <x v="4"/>
    <x v="4"/>
    <x v="5"/>
    <x v="5"/>
    <s v="Type2 Ac"/>
    <x v="0"/>
    <x v="1"/>
    <x v="1"/>
    <x v="4"/>
    <x v="0"/>
    <x v="326"/>
    <x v="1"/>
    <x v="0"/>
    <x v="1"/>
    <x v="0"/>
  </r>
  <r>
    <s v="EV-0424"/>
    <x v="0"/>
    <s v="Ather Grid"/>
    <s v="Bharat DC-001"/>
    <s v="Active"/>
    <d v="2025-04-13T00:00:00"/>
    <n v="797.45"/>
    <n v="7348.1"/>
    <x v="0"/>
    <x v="0"/>
    <x v="3"/>
    <x v="3"/>
    <s v="Bharat Dc-001"/>
    <x v="2"/>
    <x v="1"/>
    <x v="1"/>
    <x v="0"/>
    <x v="0"/>
    <x v="327"/>
    <x v="0"/>
    <x v="1"/>
    <x v="0"/>
    <x v="2"/>
  </r>
  <r>
    <s v="EV-0425"/>
    <x v="4"/>
    <s v="Tata Power"/>
    <s v="CCS2"/>
    <s v="Active"/>
    <d v="2024-11-19T00:00:00"/>
    <m/>
    <m/>
    <x v="4"/>
    <x v="4"/>
    <x v="5"/>
    <x v="5"/>
    <s v="Ccs2"/>
    <x v="3"/>
    <x v="1"/>
    <x v="1"/>
    <x v="4"/>
    <x v="0"/>
    <x v="112"/>
    <x v="1"/>
    <x v="2"/>
    <x v="1"/>
    <x v="3"/>
  </r>
  <r>
    <s v="EV-0426"/>
    <x v="3"/>
    <s v="Zeon Charging"/>
    <s v="CCS2"/>
    <s v="Active"/>
    <d v="2026-02-08T00:00:00"/>
    <n v="8254.43"/>
    <n v="109900.03"/>
    <x v="3"/>
    <x v="3"/>
    <x v="2"/>
    <x v="2"/>
    <s v="Ccs2"/>
    <x v="3"/>
    <x v="1"/>
    <x v="1"/>
    <x v="3"/>
    <x v="0"/>
    <x v="328"/>
    <x v="0"/>
    <x v="2"/>
    <x v="2"/>
    <x v="3"/>
  </r>
  <r>
    <s v="EV-0427"/>
    <x v="0"/>
    <s v="ChargePoint"/>
    <s v="Type2 AC"/>
    <s v="Active"/>
    <d v="2024-03-15T00:00:00"/>
    <n v="10395.94"/>
    <n v="88651.1"/>
    <x v="0"/>
    <x v="0"/>
    <x v="0"/>
    <x v="0"/>
    <s v="Type2 Ac"/>
    <x v="0"/>
    <x v="1"/>
    <x v="1"/>
    <x v="0"/>
    <x v="0"/>
    <x v="329"/>
    <x v="0"/>
    <x v="0"/>
    <x v="1"/>
    <x v="0"/>
  </r>
  <r>
    <s v="EV-0428"/>
    <x v="6"/>
    <s v="ChargePoint"/>
    <s v="CCS2"/>
    <s v="Active"/>
    <d v="2024-01-10T00:00:00"/>
    <n v="7251.91"/>
    <n v="106306.07"/>
    <x v="6"/>
    <x v="5"/>
    <x v="0"/>
    <x v="0"/>
    <s v="Ccs2"/>
    <x v="3"/>
    <x v="1"/>
    <x v="1"/>
    <x v="6"/>
    <x v="0"/>
    <x v="330"/>
    <x v="0"/>
    <x v="2"/>
    <x v="1"/>
    <x v="3"/>
  </r>
  <r>
    <s v="EV-0429"/>
    <x v="9"/>
    <s v="Ather Grid"/>
    <s v="CHAdeMO"/>
    <s v="Active"/>
    <d v="2025-04-14T00:00:00"/>
    <n v="738.57"/>
    <n v="9155.0499999999993"/>
    <x v="9"/>
    <x v="8"/>
    <x v="3"/>
    <x v="3"/>
    <s v="Chademo"/>
    <x v="1"/>
    <x v="1"/>
    <x v="1"/>
    <x v="11"/>
    <x v="0"/>
    <x v="123"/>
    <x v="0"/>
    <x v="1"/>
    <x v="0"/>
    <x v="1"/>
  </r>
  <r>
    <s v="EV-0430"/>
    <x v="4"/>
    <s v="ChargePoint"/>
    <s v="Bharat DC-001"/>
    <s v="Inactive"/>
    <d v="2025-09-28T00:00:00"/>
    <n v="382.38"/>
    <n v="4300.88"/>
    <x v="4"/>
    <x v="4"/>
    <x v="0"/>
    <x v="0"/>
    <s v="Bharat Dc-001"/>
    <x v="2"/>
    <x v="3"/>
    <x v="3"/>
    <x v="4"/>
    <x v="0"/>
    <x v="331"/>
    <x v="0"/>
    <x v="1"/>
    <x v="0"/>
    <x v="2"/>
  </r>
  <r>
    <s v="EV-0431"/>
    <x v="4"/>
    <s v="ChargePoint"/>
    <s v="CHAdeMO"/>
    <s v="Active"/>
    <d v="2025-07-30T00:00:00"/>
    <n v="9946.34"/>
    <n v="118820.45"/>
    <x v="4"/>
    <x v="4"/>
    <x v="0"/>
    <x v="0"/>
    <s v="Chademo"/>
    <x v="1"/>
    <x v="1"/>
    <x v="1"/>
    <x v="4"/>
    <x v="0"/>
    <x v="332"/>
    <x v="0"/>
    <x v="1"/>
    <x v="0"/>
    <x v="1"/>
  </r>
  <r>
    <s v="EV-0432"/>
    <x v="7"/>
    <s v="Ather Grid"/>
    <s v="CCS2"/>
    <s v="Active"/>
    <d v="2024-04-12T00:00:00"/>
    <n v="7126.84"/>
    <n v="85923.15"/>
    <x v="7"/>
    <x v="6"/>
    <x v="3"/>
    <x v="3"/>
    <s v="Ccs2"/>
    <x v="3"/>
    <x v="1"/>
    <x v="1"/>
    <x v="7"/>
    <x v="0"/>
    <x v="333"/>
    <x v="0"/>
    <x v="2"/>
    <x v="1"/>
    <x v="3"/>
  </r>
  <r>
    <s v="EV-0433"/>
    <x v="3"/>
    <s v="Ather Grid"/>
    <s v="Type2 AC"/>
    <s v="Inactive"/>
    <d v="2024-03-16T00:00:00"/>
    <n v="381.55"/>
    <n v="4871.6099999999997"/>
    <x v="3"/>
    <x v="3"/>
    <x v="3"/>
    <x v="3"/>
    <s v="Type2 Ac"/>
    <x v="0"/>
    <x v="3"/>
    <x v="3"/>
    <x v="3"/>
    <x v="0"/>
    <x v="334"/>
    <x v="0"/>
    <x v="0"/>
    <x v="1"/>
    <x v="0"/>
  </r>
  <r>
    <s v="EV-0434"/>
    <x v="4"/>
    <s v="Zeon Charging"/>
    <s v="Bharat DC-001"/>
    <s v="Active"/>
    <d v="2025-07-04T00:00:00"/>
    <n v="2514.69"/>
    <n v="35644.06"/>
    <x v="4"/>
    <x v="4"/>
    <x v="2"/>
    <x v="2"/>
    <s v="Bharat Dc-001"/>
    <x v="2"/>
    <x v="1"/>
    <x v="1"/>
    <x v="4"/>
    <x v="0"/>
    <x v="335"/>
    <x v="0"/>
    <x v="1"/>
    <x v="0"/>
    <x v="2"/>
  </r>
  <r>
    <s v="EV-0435"/>
    <x v="4"/>
    <s v="ChargePoint"/>
    <s v="CCS2"/>
    <s v="Active"/>
    <d v="2024-08-06T00:00:00"/>
    <m/>
    <n v="80857.100000000006"/>
    <x v="4"/>
    <x v="4"/>
    <x v="0"/>
    <x v="0"/>
    <s v="Ccs2"/>
    <x v="3"/>
    <x v="1"/>
    <x v="1"/>
    <x v="4"/>
    <x v="0"/>
    <x v="278"/>
    <x v="0"/>
    <x v="2"/>
    <x v="1"/>
    <x v="3"/>
  </r>
  <r>
    <s v="EV-0436"/>
    <x v="2"/>
    <s v="ChargePoint"/>
    <s v="CCS2"/>
    <s v="Maintenance"/>
    <d v="2025-06-02T00:00:00"/>
    <n v="1382.47"/>
    <n v="20606.72"/>
    <x v="2"/>
    <x v="2"/>
    <x v="0"/>
    <x v="0"/>
    <s v="Ccs2"/>
    <x v="3"/>
    <x v="2"/>
    <x v="2"/>
    <x v="2"/>
    <x v="0"/>
    <x v="336"/>
    <x v="0"/>
    <x v="2"/>
    <x v="0"/>
    <x v="3"/>
  </r>
  <r>
    <s v="EV-0437"/>
    <x v="4"/>
    <s v="Zeon Charging"/>
    <s v="Type2 AC"/>
    <s v="Active"/>
    <d v="2024-09-28T00:00:00"/>
    <n v="3698.8"/>
    <n v="37958.78"/>
    <x v="4"/>
    <x v="4"/>
    <x v="2"/>
    <x v="2"/>
    <s v="Type2 Ac"/>
    <x v="0"/>
    <x v="1"/>
    <x v="1"/>
    <x v="4"/>
    <x v="0"/>
    <x v="125"/>
    <x v="0"/>
    <x v="0"/>
    <x v="1"/>
    <x v="0"/>
  </r>
  <r>
    <s v="EV-0438"/>
    <x v="7"/>
    <s v="bpcl"/>
    <s v="Type2 AC"/>
    <s v="Active"/>
    <d v="2024-05-15T00:00:00"/>
    <n v="11964.87"/>
    <n v="177041.93"/>
    <x v="7"/>
    <x v="6"/>
    <x v="4"/>
    <x v="4"/>
    <s v="Type2 Ac"/>
    <x v="0"/>
    <x v="1"/>
    <x v="1"/>
    <x v="7"/>
    <x v="0"/>
    <x v="235"/>
    <x v="1"/>
    <x v="0"/>
    <x v="1"/>
    <x v="0"/>
  </r>
  <r>
    <s v="EV-0439"/>
    <x v="2"/>
    <s v="bpcl"/>
    <s v="CHAdeMO"/>
    <s v="Maintenance"/>
    <d v="2024-12-23T00:00:00"/>
    <n v="1364.07"/>
    <n v="13931.21"/>
    <x v="2"/>
    <x v="2"/>
    <x v="4"/>
    <x v="4"/>
    <s v="Chademo"/>
    <x v="1"/>
    <x v="2"/>
    <x v="2"/>
    <x v="2"/>
    <x v="0"/>
    <x v="337"/>
    <x v="1"/>
    <x v="1"/>
    <x v="1"/>
    <x v="1"/>
  </r>
  <r>
    <s v="EV-0440"/>
    <x v="4"/>
    <s v="bpcl"/>
    <s v="Bharat DC-001"/>
    <s v="Inactive"/>
    <m/>
    <n v="407.12"/>
    <n v="4510.21"/>
    <x v="4"/>
    <x v="4"/>
    <x v="4"/>
    <x v="4"/>
    <s v="Bharat Dc-001"/>
    <x v="2"/>
    <x v="3"/>
    <x v="3"/>
    <x v="4"/>
    <x v="1"/>
    <x v="4"/>
    <x v="1"/>
    <x v="1"/>
    <x v="3"/>
    <x v="2"/>
  </r>
  <r>
    <s v="EV-0441"/>
    <x v="4"/>
    <s v="Zeon Charging"/>
    <s v="Bharat DC-001"/>
    <s v="Active"/>
    <d v="2024-09-07T00:00:00"/>
    <n v="11644.14"/>
    <n v="131374.39999999999"/>
    <x v="4"/>
    <x v="4"/>
    <x v="2"/>
    <x v="2"/>
    <s v="Bharat Dc-001"/>
    <x v="2"/>
    <x v="1"/>
    <x v="1"/>
    <x v="4"/>
    <x v="0"/>
    <x v="5"/>
    <x v="0"/>
    <x v="1"/>
    <x v="1"/>
    <x v="2"/>
  </r>
  <r>
    <s v="EV-0442"/>
    <x v="1"/>
    <s v="ChargePoint"/>
    <s v="Type2 AC"/>
    <s v="Active"/>
    <d v="2025-01-13T00:00:00"/>
    <m/>
    <m/>
    <x v="1"/>
    <x v="1"/>
    <x v="0"/>
    <x v="0"/>
    <s v="Type2 Ac"/>
    <x v="0"/>
    <x v="1"/>
    <x v="1"/>
    <x v="1"/>
    <x v="0"/>
    <x v="338"/>
    <x v="0"/>
    <x v="0"/>
    <x v="0"/>
    <x v="0"/>
  </r>
  <r>
    <s v="EV-0443"/>
    <x v="0"/>
    <s v="Zeon Charging"/>
    <s v="CHAdeMO"/>
    <s v="Active"/>
    <d v="2024-10-18T00:00:00"/>
    <n v="5196"/>
    <n v="70532.100000000006"/>
    <x v="0"/>
    <x v="0"/>
    <x v="2"/>
    <x v="2"/>
    <s v="Chademo"/>
    <x v="1"/>
    <x v="1"/>
    <x v="1"/>
    <x v="0"/>
    <x v="0"/>
    <x v="339"/>
    <x v="0"/>
    <x v="1"/>
    <x v="1"/>
    <x v="1"/>
  </r>
  <r>
    <s v="EV-0444"/>
    <x v="8"/>
    <s v="Zeon Charging"/>
    <s v="Bharat DC-001"/>
    <s v="Active"/>
    <d v="2024-06-10T00:00:00"/>
    <n v="4192.17"/>
    <n v="50892.69"/>
    <x v="8"/>
    <x v="7"/>
    <x v="2"/>
    <x v="2"/>
    <s v="Bharat Dc-001"/>
    <x v="2"/>
    <x v="1"/>
    <x v="1"/>
    <x v="8"/>
    <x v="0"/>
    <x v="162"/>
    <x v="0"/>
    <x v="1"/>
    <x v="1"/>
    <x v="2"/>
  </r>
  <r>
    <s v="EV-0445"/>
    <x v="7"/>
    <s v="bpcl"/>
    <s v="Type2 AC"/>
    <s v="Active"/>
    <d v="2025-03-24T00:00:00"/>
    <n v="1702.9"/>
    <n v="17818.46"/>
    <x v="7"/>
    <x v="6"/>
    <x v="4"/>
    <x v="4"/>
    <s v="Type2 Ac"/>
    <x v="0"/>
    <x v="1"/>
    <x v="1"/>
    <x v="9"/>
    <x v="0"/>
    <x v="212"/>
    <x v="1"/>
    <x v="0"/>
    <x v="0"/>
    <x v="0"/>
  </r>
  <r>
    <s v="EV-0446"/>
    <x v="1"/>
    <s v="Tata Power"/>
    <s v="CCS2"/>
    <s v="Active"/>
    <d v="2026-05-03T00:00:00"/>
    <n v="2349.4899999999998"/>
    <n v="20016.09"/>
    <x v="1"/>
    <x v="1"/>
    <x v="5"/>
    <x v="5"/>
    <s v="Ccs2"/>
    <x v="3"/>
    <x v="1"/>
    <x v="1"/>
    <x v="1"/>
    <x v="0"/>
    <x v="340"/>
    <x v="1"/>
    <x v="2"/>
    <x v="2"/>
    <x v="3"/>
  </r>
  <r>
    <s v="EV-0447"/>
    <x v="1"/>
    <s v="ChargePoint"/>
    <s v="Bharat DC-001"/>
    <s v="Active"/>
    <d v="2025-07-10T00:00:00"/>
    <n v="5233.92"/>
    <n v="58788.42"/>
    <x v="1"/>
    <x v="1"/>
    <x v="0"/>
    <x v="0"/>
    <s v="Bharat Dc-001"/>
    <x v="2"/>
    <x v="1"/>
    <x v="1"/>
    <x v="1"/>
    <x v="0"/>
    <x v="341"/>
    <x v="0"/>
    <x v="1"/>
    <x v="0"/>
    <x v="2"/>
  </r>
  <r>
    <s v="EV-0448"/>
    <x v="11"/>
    <s v="bpcl"/>
    <s v="CHAdeMO"/>
    <s v="Active"/>
    <d v="2025-12-21T00:00:00"/>
    <n v="6197.89"/>
    <n v="51214.720000000001"/>
    <x v="11"/>
    <x v="6"/>
    <x v="4"/>
    <x v="4"/>
    <s v="Chademo"/>
    <x v="1"/>
    <x v="1"/>
    <x v="1"/>
    <x v="12"/>
    <x v="0"/>
    <x v="342"/>
    <x v="1"/>
    <x v="1"/>
    <x v="0"/>
    <x v="1"/>
  </r>
  <r>
    <s v="EV-0449"/>
    <x v="0"/>
    <s v="Tata Power"/>
    <s v="CHAdeMO"/>
    <s v="Maintenance"/>
    <d v="2024-11-05T00:00:00"/>
    <n v="2021.49"/>
    <n v="21389.72"/>
    <x v="0"/>
    <x v="0"/>
    <x v="5"/>
    <x v="5"/>
    <s v="Chademo"/>
    <x v="1"/>
    <x v="2"/>
    <x v="2"/>
    <x v="0"/>
    <x v="0"/>
    <x v="343"/>
    <x v="1"/>
    <x v="1"/>
    <x v="1"/>
    <x v="1"/>
  </r>
  <r>
    <s v="EV-0450"/>
    <x v="4"/>
    <m/>
    <s v="CHAdeMO"/>
    <s v="Inactive"/>
    <d v="2025-09-18T00:00:00"/>
    <n v="200.23"/>
    <n v="2004.21"/>
    <x v="4"/>
    <x v="4"/>
    <x v="7"/>
    <x v="7"/>
    <s v="Chademo"/>
    <x v="1"/>
    <x v="3"/>
    <x v="3"/>
    <x v="4"/>
    <x v="0"/>
    <x v="344"/>
    <x v="0"/>
    <x v="1"/>
    <x v="0"/>
    <x v="1"/>
  </r>
  <r>
    <s v="EV-0451"/>
    <x v="7"/>
    <s v="Ather Grid"/>
    <s v="CCS2"/>
    <s v="Active"/>
    <d v="2026-04-06T00:00:00"/>
    <n v="9245.75"/>
    <n v="115688.98"/>
    <x v="7"/>
    <x v="6"/>
    <x v="3"/>
    <x v="3"/>
    <s v="Ccs2"/>
    <x v="3"/>
    <x v="1"/>
    <x v="1"/>
    <x v="7"/>
    <x v="0"/>
    <x v="53"/>
    <x v="0"/>
    <x v="2"/>
    <x v="2"/>
    <x v="3"/>
  </r>
  <r>
    <s v="EV-0452"/>
    <x v="3"/>
    <s v="ChargePoint"/>
    <s v="Bharat DC-001"/>
    <s v="Active"/>
    <d v="2025-10-31T00:00:00"/>
    <n v="922.02"/>
    <n v="13684.23"/>
    <x v="3"/>
    <x v="3"/>
    <x v="0"/>
    <x v="0"/>
    <s v="Bharat Dc-001"/>
    <x v="2"/>
    <x v="1"/>
    <x v="1"/>
    <x v="3"/>
    <x v="0"/>
    <x v="251"/>
    <x v="0"/>
    <x v="1"/>
    <x v="0"/>
    <x v="2"/>
  </r>
  <r>
    <s v="EV-0453"/>
    <x v="0"/>
    <s v="Tata Power"/>
    <s v="Bharat DC-001"/>
    <s v="Active"/>
    <d v="2025-06-25T00:00:00"/>
    <n v="1512.69"/>
    <n v="13057.65"/>
    <x v="0"/>
    <x v="0"/>
    <x v="5"/>
    <x v="5"/>
    <s v="Bharat Dc-001"/>
    <x v="2"/>
    <x v="1"/>
    <x v="1"/>
    <x v="0"/>
    <x v="0"/>
    <x v="150"/>
    <x v="1"/>
    <x v="1"/>
    <x v="0"/>
    <x v="2"/>
  </r>
  <r>
    <s v="EV-0454"/>
    <x v="6"/>
    <s v="Bharat Petroleum"/>
    <s v="CCS2"/>
    <s v="Active"/>
    <d v="2024-01-09T00:00:00"/>
    <n v="3402.59"/>
    <n v="41370.589999999997"/>
    <x v="6"/>
    <x v="5"/>
    <x v="6"/>
    <x v="6"/>
    <s v="Ccs2"/>
    <x v="3"/>
    <x v="1"/>
    <x v="1"/>
    <x v="6"/>
    <x v="0"/>
    <x v="345"/>
    <x v="0"/>
    <x v="2"/>
    <x v="1"/>
    <x v="3"/>
  </r>
  <r>
    <s v="EV-0455"/>
    <x v="4"/>
    <s v="Ather Grid"/>
    <s v="Bharat DC-001"/>
    <s v="Inactive"/>
    <d v="2025-11-14T00:00:00"/>
    <n v="57.96"/>
    <n v="619.66999999999996"/>
    <x v="4"/>
    <x v="4"/>
    <x v="3"/>
    <x v="3"/>
    <s v="Bharat Dc-001"/>
    <x v="2"/>
    <x v="3"/>
    <x v="3"/>
    <x v="4"/>
    <x v="0"/>
    <x v="346"/>
    <x v="0"/>
    <x v="1"/>
    <x v="0"/>
    <x v="2"/>
  </r>
  <r>
    <s v="EV-0456"/>
    <x v="0"/>
    <s v="ChargePoint"/>
    <s v="CCS2"/>
    <s v="Active"/>
    <d v="2026-04-16T00:00:00"/>
    <n v="9384.2999999999993"/>
    <n v="113196.3"/>
    <x v="0"/>
    <x v="0"/>
    <x v="0"/>
    <x v="0"/>
    <s v="Ccs2"/>
    <x v="3"/>
    <x v="1"/>
    <x v="1"/>
    <x v="0"/>
    <x v="0"/>
    <x v="347"/>
    <x v="0"/>
    <x v="2"/>
    <x v="2"/>
    <x v="3"/>
  </r>
  <r>
    <s v="EV-0457"/>
    <x v="4"/>
    <s v="ZeonCharging"/>
    <s v="CCS2"/>
    <s v="Active"/>
    <d v="2025-07-21T00:00:00"/>
    <n v="10446.469999999999"/>
    <n v="153350.21"/>
    <x v="4"/>
    <x v="4"/>
    <x v="9"/>
    <x v="9"/>
    <s v="Ccs2"/>
    <x v="3"/>
    <x v="1"/>
    <x v="1"/>
    <x v="4"/>
    <x v="0"/>
    <x v="221"/>
    <x v="0"/>
    <x v="2"/>
    <x v="0"/>
    <x v="3"/>
  </r>
  <r>
    <s v="EV-0458"/>
    <x v="0"/>
    <s v="bpcl"/>
    <s v="CCS2"/>
    <s v="Active"/>
    <d v="2024-11-02T00:00:00"/>
    <n v="9986.66"/>
    <n v="131548.75"/>
    <x v="0"/>
    <x v="0"/>
    <x v="4"/>
    <x v="4"/>
    <s v="Ccs2"/>
    <x v="3"/>
    <x v="1"/>
    <x v="1"/>
    <x v="0"/>
    <x v="0"/>
    <x v="348"/>
    <x v="1"/>
    <x v="2"/>
    <x v="1"/>
    <x v="3"/>
  </r>
  <r>
    <s v="EV-0459"/>
    <x v="4"/>
    <s v="Tata Power"/>
    <s v="CHAdeMO"/>
    <s v="Active"/>
    <d v="2025-11-10T00:00:00"/>
    <n v="513.24"/>
    <n v="4253.3"/>
    <x v="4"/>
    <x v="4"/>
    <x v="5"/>
    <x v="5"/>
    <s v="Chademo"/>
    <x v="1"/>
    <x v="1"/>
    <x v="1"/>
    <x v="4"/>
    <x v="0"/>
    <x v="349"/>
    <x v="1"/>
    <x v="1"/>
    <x v="0"/>
    <x v="1"/>
  </r>
  <r>
    <s v="EV-0460"/>
    <x v="4"/>
    <s v="Tata Power"/>
    <s v="Bharat DC-001"/>
    <s v="Active"/>
    <d v="2024-04-16T00:00:00"/>
    <n v="10497.73"/>
    <n v="150782.57"/>
    <x v="4"/>
    <x v="4"/>
    <x v="5"/>
    <x v="5"/>
    <s v="Bharat Dc-001"/>
    <x v="2"/>
    <x v="1"/>
    <x v="1"/>
    <x v="4"/>
    <x v="0"/>
    <x v="350"/>
    <x v="1"/>
    <x v="1"/>
    <x v="1"/>
    <x v="2"/>
  </r>
  <r>
    <s v="EV-0461"/>
    <x v="4"/>
    <s v="bpcl"/>
    <s v="CCS2"/>
    <s v="Active"/>
    <d v="2024-05-17T00:00:00"/>
    <n v="5812.73"/>
    <n v="69762.039999999994"/>
    <x v="4"/>
    <x v="4"/>
    <x v="4"/>
    <x v="4"/>
    <s v="Ccs2"/>
    <x v="3"/>
    <x v="1"/>
    <x v="1"/>
    <x v="4"/>
    <x v="0"/>
    <x v="351"/>
    <x v="1"/>
    <x v="2"/>
    <x v="1"/>
    <x v="3"/>
  </r>
  <r>
    <s v="EV-0462"/>
    <x v="2"/>
    <s v="Tata Power"/>
    <s v="Bharat DC-001"/>
    <s v="Decommissioned"/>
    <d v="2024-09-27T00:00:00"/>
    <n v="10.84"/>
    <m/>
    <x v="2"/>
    <x v="2"/>
    <x v="5"/>
    <x v="5"/>
    <s v="Bharat Dc-001"/>
    <x v="2"/>
    <x v="0"/>
    <x v="0"/>
    <x v="2"/>
    <x v="0"/>
    <x v="52"/>
    <x v="1"/>
    <x v="1"/>
    <x v="1"/>
    <x v="2"/>
  </r>
  <r>
    <s v="EV-0463"/>
    <x v="2"/>
    <s v="Ather Grid"/>
    <s v="CHAdeMO"/>
    <s v="Active"/>
    <d v="2024-04-28T00:00:00"/>
    <n v="6462.05"/>
    <n v="79063.45"/>
    <x v="2"/>
    <x v="2"/>
    <x v="3"/>
    <x v="3"/>
    <s v="Chademo"/>
    <x v="1"/>
    <x v="1"/>
    <x v="1"/>
    <x v="2"/>
    <x v="0"/>
    <x v="352"/>
    <x v="0"/>
    <x v="1"/>
    <x v="1"/>
    <x v="1"/>
  </r>
  <r>
    <s v="EV-0464"/>
    <x v="3"/>
    <s v="ChargePoint"/>
    <s v="CCS2"/>
    <s v="Active"/>
    <d v="2024-04-19T00:00:00"/>
    <n v="7660.29"/>
    <n v="88166.65"/>
    <x v="3"/>
    <x v="3"/>
    <x v="0"/>
    <x v="0"/>
    <s v="Ccs2"/>
    <x v="3"/>
    <x v="1"/>
    <x v="1"/>
    <x v="3"/>
    <x v="0"/>
    <x v="353"/>
    <x v="0"/>
    <x v="2"/>
    <x v="1"/>
    <x v="3"/>
  </r>
  <r>
    <s v="EV-0465"/>
    <x v="1"/>
    <s v="Ather Grid"/>
    <s v="Type2 AC"/>
    <s v="Active"/>
    <m/>
    <n v="6232.67"/>
    <n v="91645.53"/>
    <x v="1"/>
    <x v="1"/>
    <x v="3"/>
    <x v="3"/>
    <s v="Type2 Ac"/>
    <x v="0"/>
    <x v="1"/>
    <x v="1"/>
    <x v="1"/>
    <x v="1"/>
    <x v="4"/>
    <x v="0"/>
    <x v="0"/>
    <x v="3"/>
    <x v="0"/>
  </r>
  <r>
    <s v="EV-0466"/>
    <x v="0"/>
    <s v="Tata Power"/>
    <s v="CHAdeMO"/>
    <s v="Active"/>
    <d v="2025-07-20T00:00:00"/>
    <n v="5583.47"/>
    <n v="62276.14"/>
    <x v="0"/>
    <x v="0"/>
    <x v="5"/>
    <x v="5"/>
    <s v="Chademo"/>
    <x v="1"/>
    <x v="1"/>
    <x v="1"/>
    <x v="0"/>
    <x v="0"/>
    <x v="152"/>
    <x v="1"/>
    <x v="1"/>
    <x v="0"/>
    <x v="1"/>
  </r>
  <r>
    <s v="EV-0467"/>
    <x v="9"/>
    <s v="Zeon Charging"/>
    <s v="Type2 AC"/>
    <s v="Decommissioned"/>
    <d v="2024-06-08T00:00:00"/>
    <n v="10.32"/>
    <n v="141.13999999999999"/>
    <x v="9"/>
    <x v="8"/>
    <x v="2"/>
    <x v="2"/>
    <s v="Type2 Ac"/>
    <x v="0"/>
    <x v="0"/>
    <x v="0"/>
    <x v="11"/>
    <x v="0"/>
    <x v="41"/>
    <x v="0"/>
    <x v="0"/>
    <x v="1"/>
    <x v="0"/>
  </r>
  <r>
    <s v="EV-0468"/>
    <x v="6"/>
    <s v="ChargePoint"/>
    <s v="Bharat DC-001"/>
    <s v="Active"/>
    <d v="2024-10-05T00:00:00"/>
    <n v="3571.15"/>
    <n v="49502"/>
    <x v="6"/>
    <x v="5"/>
    <x v="0"/>
    <x v="0"/>
    <s v="Bharat Dc-001"/>
    <x v="2"/>
    <x v="1"/>
    <x v="1"/>
    <x v="6"/>
    <x v="0"/>
    <x v="354"/>
    <x v="0"/>
    <x v="1"/>
    <x v="1"/>
    <x v="2"/>
  </r>
  <r>
    <s v="EV-0469"/>
    <x v="9"/>
    <s v="ChargePoint"/>
    <s v="Bharat DC-001"/>
    <s v="Inactive"/>
    <d v="2024-10-15T00:00:00"/>
    <n v="65.510000000000005"/>
    <n v="974.57"/>
    <x v="9"/>
    <x v="8"/>
    <x v="0"/>
    <x v="0"/>
    <s v="Bharat Dc-001"/>
    <x v="2"/>
    <x v="3"/>
    <x v="3"/>
    <x v="11"/>
    <x v="0"/>
    <x v="355"/>
    <x v="0"/>
    <x v="1"/>
    <x v="1"/>
    <x v="2"/>
  </r>
  <r>
    <s v="EV-0470"/>
    <x v="1"/>
    <s v="bpcl"/>
    <s v="CHAdeMO"/>
    <s v="Active"/>
    <d v="2025-09-11T00:00:00"/>
    <n v="3812.34"/>
    <n v="32749.16"/>
    <x v="1"/>
    <x v="1"/>
    <x v="4"/>
    <x v="4"/>
    <s v="Chademo"/>
    <x v="1"/>
    <x v="1"/>
    <x v="1"/>
    <x v="1"/>
    <x v="0"/>
    <x v="356"/>
    <x v="1"/>
    <x v="1"/>
    <x v="0"/>
    <x v="1"/>
  </r>
  <r>
    <s v="EV-0471"/>
    <x v="13"/>
    <s v="bpcl"/>
    <s v="Bharat DC-001"/>
    <s v="Active"/>
    <d v="2024-08-03T00:00:00"/>
    <n v="10629.74"/>
    <n v="133115.06"/>
    <x v="13"/>
    <x v="4"/>
    <x v="4"/>
    <x v="4"/>
    <s v="Bharat Dc-001"/>
    <x v="2"/>
    <x v="1"/>
    <x v="1"/>
    <x v="14"/>
    <x v="0"/>
    <x v="357"/>
    <x v="1"/>
    <x v="1"/>
    <x v="1"/>
    <x v="2"/>
  </r>
  <r>
    <s v="EV-0472"/>
    <x v="1"/>
    <s v="Zeon Charging"/>
    <s v="Type2 AC"/>
    <s v="Active"/>
    <d v="2026-01-04T00:00:00"/>
    <n v="6074.19"/>
    <n v="50257.82"/>
    <x v="1"/>
    <x v="1"/>
    <x v="2"/>
    <x v="2"/>
    <s v="Type2 Ac"/>
    <x v="0"/>
    <x v="1"/>
    <x v="1"/>
    <x v="1"/>
    <x v="0"/>
    <x v="358"/>
    <x v="0"/>
    <x v="0"/>
    <x v="2"/>
    <x v="0"/>
  </r>
  <r>
    <s v="EV-0473"/>
    <x v="4"/>
    <s v="ChargePoint"/>
    <s v="CCS2"/>
    <s v="Maintenance"/>
    <d v="2024-12-17T00:00:00"/>
    <n v="183.72"/>
    <n v="2379.79"/>
    <x v="4"/>
    <x v="4"/>
    <x v="0"/>
    <x v="0"/>
    <s v="Ccs2"/>
    <x v="3"/>
    <x v="2"/>
    <x v="2"/>
    <x v="4"/>
    <x v="0"/>
    <x v="359"/>
    <x v="0"/>
    <x v="2"/>
    <x v="1"/>
    <x v="3"/>
  </r>
  <r>
    <s v="EV-0474"/>
    <x v="6"/>
    <s v="Zeon Charging"/>
    <s v="CCS2"/>
    <s v="Active"/>
    <d v="2024-07-27T00:00:00"/>
    <n v="7745.26"/>
    <n v="115690.19"/>
    <x v="6"/>
    <x v="5"/>
    <x v="2"/>
    <x v="2"/>
    <s v="Ccs2"/>
    <x v="3"/>
    <x v="1"/>
    <x v="1"/>
    <x v="6"/>
    <x v="0"/>
    <x v="360"/>
    <x v="0"/>
    <x v="2"/>
    <x v="1"/>
    <x v="3"/>
  </r>
  <r>
    <s v="EV-0475"/>
    <x v="3"/>
    <s v="bpcl"/>
    <s v="CCS2"/>
    <s v="Active"/>
    <d v="2025-12-04T00:00:00"/>
    <n v="9692.11"/>
    <n v="113092.19"/>
    <x v="3"/>
    <x v="3"/>
    <x v="4"/>
    <x v="4"/>
    <s v="Ccs2"/>
    <x v="3"/>
    <x v="1"/>
    <x v="1"/>
    <x v="3"/>
    <x v="0"/>
    <x v="361"/>
    <x v="1"/>
    <x v="2"/>
    <x v="0"/>
    <x v="3"/>
  </r>
  <r>
    <s v="EV-0476"/>
    <x v="1"/>
    <s v="bpcl"/>
    <s v="CHAdeMO"/>
    <s v="Decommissioned"/>
    <d v="2025-10-11T00:00:00"/>
    <n v="141.96"/>
    <n v="1741.66"/>
    <x v="1"/>
    <x v="1"/>
    <x v="4"/>
    <x v="4"/>
    <s v="Chademo"/>
    <x v="1"/>
    <x v="0"/>
    <x v="0"/>
    <x v="1"/>
    <x v="0"/>
    <x v="362"/>
    <x v="1"/>
    <x v="1"/>
    <x v="0"/>
    <x v="1"/>
  </r>
  <r>
    <s v="EV-0477"/>
    <x v="4"/>
    <s v="ChargePoint"/>
    <s v="Bharat DC-001"/>
    <s v="Active"/>
    <d v="2024-09-27T00:00:00"/>
    <n v="4073.63"/>
    <n v="42965.74"/>
    <x v="4"/>
    <x v="4"/>
    <x v="0"/>
    <x v="0"/>
    <s v="Bharat Dc-001"/>
    <x v="2"/>
    <x v="1"/>
    <x v="1"/>
    <x v="4"/>
    <x v="0"/>
    <x v="52"/>
    <x v="0"/>
    <x v="1"/>
    <x v="1"/>
    <x v="2"/>
  </r>
  <r>
    <s v="EV-0478"/>
    <x v="3"/>
    <s v="Ather Grid"/>
    <s v="Type2 AC"/>
    <s v="Active"/>
    <d v="2025-06-01T00:00:00"/>
    <m/>
    <m/>
    <x v="3"/>
    <x v="3"/>
    <x v="3"/>
    <x v="3"/>
    <s v="Type2 Ac"/>
    <x v="0"/>
    <x v="1"/>
    <x v="1"/>
    <x v="3"/>
    <x v="0"/>
    <x v="21"/>
    <x v="0"/>
    <x v="0"/>
    <x v="0"/>
    <x v="0"/>
  </r>
  <r>
    <s v="EV-0479"/>
    <x v="1"/>
    <s v="Tata Power"/>
    <s v="Bharat DC-001"/>
    <s v="Active"/>
    <d v="2025-05-15T00:00:00"/>
    <m/>
    <n v="55615.09"/>
    <x v="1"/>
    <x v="1"/>
    <x v="5"/>
    <x v="5"/>
    <s v="Bharat Dc-001"/>
    <x v="2"/>
    <x v="1"/>
    <x v="1"/>
    <x v="1"/>
    <x v="0"/>
    <x v="182"/>
    <x v="1"/>
    <x v="1"/>
    <x v="0"/>
    <x v="2"/>
  </r>
  <r>
    <s v="EV-0480"/>
    <x v="3"/>
    <s v="bpcl"/>
    <s v="Bharat DC-001"/>
    <s v="Decommissioned"/>
    <d v="2024-09-14T00:00:00"/>
    <n v="44.94"/>
    <n v="603.15"/>
    <x v="3"/>
    <x v="3"/>
    <x v="4"/>
    <x v="4"/>
    <s v="Bharat Dc-001"/>
    <x v="2"/>
    <x v="0"/>
    <x v="0"/>
    <x v="3"/>
    <x v="0"/>
    <x v="151"/>
    <x v="1"/>
    <x v="1"/>
    <x v="1"/>
    <x v="2"/>
  </r>
  <r>
    <s v="EV-0481"/>
    <x v="3"/>
    <s v="bpcl"/>
    <s v="Bharat DC-001"/>
    <s v="Active"/>
    <d v="2026-05-16T00:00:00"/>
    <n v="10176.17"/>
    <n v="129769.41"/>
    <x v="3"/>
    <x v="3"/>
    <x v="4"/>
    <x v="4"/>
    <s v="Bharat Dc-001"/>
    <x v="2"/>
    <x v="1"/>
    <x v="1"/>
    <x v="3"/>
    <x v="0"/>
    <x v="363"/>
    <x v="1"/>
    <x v="1"/>
    <x v="2"/>
    <x v="2"/>
  </r>
  <r>
    <s v="EV-0482"/>
    <x v="2"/>
    <s v="Ather Grid"/>
    <s v="CCS2"/>
    <s v="Inactive"/>
    <d v="2024-02-22T00:00:00"/>
    <n v="56.73"/>
    <n v="474.63"/>
    <x v="2"/>
    <x v="2"/>
    <x v="3"/>
    <x v="3"/>
    <s v="Ccs2"/>
    <x v="3"/>
    <x v="3"/>
    <x v="3"/>
    <x v="2"/>
    <x v="0"/>
    <x v="364"/>
    <x v="0"/>
    <x v="2"/>
    <x v="1"/>
    <x v="3"/>
  </r>
  <r>
    <s v="EV-0483"/>
    <x v="0"/>
    <s v="Ather Grid"/>
    <s v="Type2 AC"/>
    <s v="Inactive"/>
    <d v="2024-04-04T00:00:00"/>
    <n v="473.53"/>
    <n v="5879.45"/>
    <x v="0"/>
    <x v="0"/>
    <x v="3"/>
    <x v="3"/>
    <s v="Type2 Ac"/>
    <x v="0"/>
    <x v="3"/>
    <x v="3"/>
    <x v="0"/>
    <x v="0"/>
    <x v="45"/>
    <x v="0"/>
    <x v="0"/>
    <x v="1"/>
    <x v="0"/>
  </r>
  <r>
    <s v="EV-0484"/>
    <x v="3"/>
    <s v="Zeon Charging"/>
    <s v="Type2 AC"/>
    <s v="Active"/>
    <d v="2025-10-11T00:00:00"/>
    <n v="7948.66"/>
    <n v="82209.38"/>
    <x v="3"/>
    <x v="3"/>
    <x v="2"/>
    <x v="2"/>
    <s v="Type2 Ac"/>
    <x v="0"/>
    <x v="1"/>
    <x v="1"/>
    <x v="3"/>
    <x v="0"/>
    <x v="362"/>
    <x v="0"/>
    <x v="0"/>
    <x v="0"/>
    <x v="0"/>
  </r>
  <r>
    <s v="EV-0485"/>
    <x v="3"/>
    <s v="Zeon Charging"/>
    <s v="Bharat DC-001"/>
    <s v="Inactive"/>
    <d v="2025-03-09T00:00:00"/>
    <n v="76.989999999999995"/>
    <n v="793.6"/>
    <x v="3"/>
    <x v="3"/>
    <x v="2"/>
    <x v="2"/>
    <s v="Bharat Dc-001"/>
    <x v="2"/>
    <x v="3"/>
    <x v="3"/>
    <x v="3"/>
    <x v="0"/>
    <x v="206"/>
    <x v="0"/>
    <x v="1"/>
    <x v="0"/>
    <x v="2"/>
  </r>
  <r>
    <s v="EV-0486"/>
    <x v="6"/>
    <s v="Tata Power"/>
    <s v="CCS2"/>
    <s v="Active"/>
    <d v="2026-04-29T00:00:00"/>
    <n v="11225.51"/>
    <n v="133648.03"/>
    <x v="6"/>
    <x v="5"/>
    <x v="5"/>
    <x v="5"/>
    <s v="Ccs2"/>
    <x v="3"/>
    <x v="1"/>
    <x v="1"/>
    <x v="6"/>
    <x v="0"/>
    <x v="63"/>
    <x v="1"/>
    <x v="2"/>
    <x v="2"/>
    <x v="3"/>
  </r>
  <r>
    <s v="EV-0487"/>
    <x v="4"/>
    <s v="Tata Power"/>
    <s v="CCS2"/>
    <s v="Active"/>
    <d v="2024-10-10T00:00:00"/>
    <n v="3856.41"/>
    <n v="41286.53"/>
    <x v="4"/>
    <x v="4"/>
    <x v="5"/>
    <x v="5"/>
    <s v="Ccs2"/>
    <x v="3"/>
    <x v="1"/>
    <x v="1"/>
    <x v="4"/>
    <x v="0"/>
    <x v="365"/>
    <x v="1"/>
    <x v="2"/>
    <x v="1"/>
    <x v="3"/>
  </r>
  <r>
    <s v="EV-0488"/>
    <x v="9"/>
    <s v="ChargePoint"/>
    <s v="Type2 AC"/>
    <s v="Inactive"/>
    <d v="2024-02-15T00:00:00"/>
    <n v="352.71"/>
    <n v="3443.85"/>
    <x v="9"/>
    <x v="8"/>
    <x v="0"/>
    <x v="0"/>
    <s v="Type2 Ac"/>
    <x v="0"/>
    <x v="3"/>
    <x v="3"/>
    <x v="11"/>
    <x v="0"/>
    <x v="366"/>
    <x v="0"/>
    <x v="0"/>
    <x v="1"/>
    <x v="0"/>
  </r>
  <r>
    <s v="EV-0489"/>
    <x v="1"/>
    <s v="Zeon Charging"/>
    <s v="CCS2"/>
    <s v="Maintenance"/>
    <d v="2024-01-04T00:00:00"/>
    <n v="1304.92"/>
    <m/>
    <x v="1"/>
    <x v="1"/>
    <x v="2"/>
    <x v="2"/>
    <s v="Ccs2"/>
    <x v="3"/>
    <x v="2"/>
    <x v="2"/>
    <x v="1"/>
    <x v="0"/>
    <x v="163"/>
    <x v="0"/>
    <x v="2"/>
    <x v="1"/>
    <x v="3"/>
  </r>
  <r>
    <s v="EV-0490"/>
    <x v="6"/>
    <s v="bpcl"/>
    <s v="CCS2"/>
    <s v="Active"/>
    <d v="2024-12-07T00:00:00"/>
    <n v="6048.75"/>
    <n v="89224.33"/>
    <x v="6"/>
    <x v="5"/>
    <x v="4"/>
    <x v="4"/>
    <s v="Ccs2"/>
    <x v="3"/>
    <x v="1"/>
    <x v="1"/>
    <x v="6"/>
    <x v="0"/>
    <x v="367"/>
    <x v="1"/>
    <x v="2"/>
    <x v="1"/>
    <x v="3"/>
  </r>
  <r>
    <s v="EV-0491"/>
    <x v="0"/>
    <s v="Zeon Charging"/>
    <s v="CCS2"/>
    <s v="Active"/>
    <d v="2026-02-28T00:00:00"/>
    <n v="5930.53"/>
    <n v="72464.59"/>
    <x v="0"/>
    <x v="0"/>
    <x v="2"/>
    <x v="2"/>
    <s v="Ccs2"/>
    <x v="3"/>
    <x v="1"/>
    <x v="1"/>
    <x v="0"/>
    <x v="0"/>
    <x v="368"/>
    <x v="0"/>
    <x v="2"/>
    <x v="2"/>
    <x v="3"/>
  </r>
  <r>
    <s v="EV-0492"/>
    <x v="3"/>
    <s v="B.P.C.L"/>
    <s v="CHAdeMO"/>
    <s v="Active"/>
    <d v="2024-05-13T00:00:00"/>
    <n v="5753.04"/>
    <n v="52080.05"/>
    <x v="3"/>
    <x v="3"/>
    <x v="8"/>
    <x v="8"/>
    <s v="Chademo"/>
    <x v="1"/>
    <x v="1"/>
    <x v="1"/>
    <x v="3"/>
    <x v="0"/>
    <x v="369"/>
    <x v="0"/>
    <x v="1"/>
    <x v="1"/>
    <x v="1"/>
  </r>
  <r>
    <s v="EV-0493"/>
    <x v="9"/>
    <s v="Ather Grid"/>
    <s v="Bharat DC-001"/>
    <s v="Active"/>
    <d v="2025-10-14T00:00:00"/>
    <n v="2163.38"/>
    <m/>
    <x v="9"/>
    <x v="8"/>
    <x v="3"/>
    <x v="3"/>
    <s v="Bharat Dc-001"/>
    <x v="2"/>
    <x v="1"/>
    <x v="1"/>
    <x v="11"/>
    <x v="0"/>
    <x v="370"/>
    <x v="0"/>
    <x v="1"/>
    <x v="0"/>
    <x v="2"/>
  </r>
  <r>
    <s v="EV-0494"/>
    <x v="9"/>
    <s v="Zeon Charging"/>
    <s v="Type2 AC"/>
    <s v="Active"/>
    <d v="2024-09-25T00:00:00"/>
    <n v="2692.02"/>
    <n v="34041.360000000001"/>
    <x v="9"/>
    <x v="8"/>
    <x v="2"/>
    <x v="2"/>
    <s v="Type2 Ac"/>
    <x v="0"/>
    <x v="1"/>
    <x v="1"/>
    <x v="11"/>
    <x v="0"/>
    <x v="371"/>
    <x v="0"/>
    <x v="0"/>
    <x v="1"/>
    <x v="0"/>
  </r>
  <r>
    <s v="EV-0495"/>
    <x v="0"/>
    <s v="Ather Grid"/>
    <s v="Type2 AC"/>
    <s v="Active"/>
    <d v="2024-06-14T00:00:00"/>
    <n v="7392.84"/>
    <n v="106584.24"/>
    <x v="0"/>
    <x v="0"/>
    <x v="3"/>
    <x v="3"/>
    <s v="Type2 Ac"/>
    <x v="0"/>
    <x v="1"/>
    <x v="1"/>
    <x v="0"/>
    <x v="0"/>
    <x v="175"/>
    <x v="0"/>
    <x v="0"/>
    <x v="1"/>
    <x v="0"/>
  </r>
  <r>
    <s v="EV-0496"/>
    <x v="9"/>
    <s v="Tata Power"/>
    <s v="CHAdeMO"/>
    <s v="Active"/>
    <d v="2026-01-29T00:00:00"/>
    <m/>
    <m/>
    <x v="9"/>
    <x v="8"/>
    <x v="5"/>
    <x v="5"/>
    <s v="Chademo"/>
    <x v="1"/>
    <x v="1"/>
    <x v="1"/>
    <x v="11"/>
    <x v="0"/>
    <x v="3"/>
    <x v="1"/>
    <x v="1"/>
    <x v="2"/>
    <x v="1"/>
  </r>
  <r>
    <s v="EV-0497"/>
    <x v="3"/>
    <s v="Tata Power"/>
    <s v="Bharat DC-001"/>
    <s v="Active"/>
    <d v="2025-03-28T00:00:00"/>
    <n v="2069.85"/>
    <n v="26064.34"/>
    <x v="3"/>
    <x v="3"/>
    <x v="5"/>
    <x v="5"/>
    <s v="Bharat Dc-001"/>
    <x v="2"/>
    <x v="1"/>
    <x v="1"/>
    <x v="3"/>
    <x v="0"/>
    <x v="372"/>
    <x v="1"/>
    <x v="1"/>
    <x v="0"/>
    <x v="2"/>
  </r>
  <r>
    <s v="EV-0498"/>
    <x v="4"/>
    <s v="ChargePoint"/>
    <s v="Type2 AC"/>
    <s v="Active"/>
    <d v="2025-07-18T00:00:00"/>
    <n v="1302.82"/>
    <n v="16461.060000000001"/>
    <x v="4"/>
    <x v="4"/>
    <x v="0"/>
    <x v="0"/>
    <s v="Type2 Ac"/>
    <x v="0"/>
    <x v="1"/>
    <x v="1"/>
    <x v="4"/>
    <x v="0"/>
    <x v="373"/>
    <x v="0"/>
    <x v="0"/>
    <x v="0"/>
    <x v="0"/>
  </r>
  <r>
    <s v="EV-0499"/>
    <x v="1"/>
    <s v="Zeon Charging"/>
    <s v="CCS2"/>
    <s v="Active"/>
    <d v="2025-12-23T00:00:00"/>
    <n v="9385.76"/>
    <n v="83558.25"/>
    <x v="1"/>
    <x v="1"/>
    <x v="2"/>
    <x v="2"/>
    <s v="Ccs2"/>
    <x v="3"/>
    <x v="1"/>
    <x v="1"/>
    <x v="1"/>
    <x v="0"/>
    <x v="374"/>
    <x v="0"/>
    <x v="2"/>
    <x v="0"/>
    <x v="3"/>
  </r>
  <r>
    <s v="EV-0500"/>
    <x v="1"/>
    <s v="Ather Grid"/>
    <s v="Type2 AC"/>
    <s v="Active"/>
    <d v="2025-03-13T00:00:00"/>
    <n v="10325.74"/>
    <n v="133840.57"/>
    <x v="1"/>
    <x v="1"/>
    <x v="3"/>
    <x v="3"/>
    <s v="Type2 Ac"/>
    <x v="0"/>
    <x v="1"/>
    <x v="1"/>
    <x v="1"/>
    <x v="0"/>
    <x v="375"/>
    <x v="0"/>
    <x v="0"/>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EV-0253"/>
    <x v="0"/>
    <x v="0"/>
    <x v="0"/>
    <x v="0"/>
    <x v="0"/>
    <x v="0"/>
    <n v="34220"/>
    <x v="0"/>
    <x v="0"/>
    <x v="0"/>
    <x v="0"/>
    <n v="12.31"/>
    <x v="0"/>
  </r>
  <r>
    <s v="EV-0312"/>
    <x v="1"/>
    <x v="1"/>
    <x v="1"/>
    <x v="1"/>
    <x v="0"/>
    <x v="1"/>
    <n v="86"/>
    <x v="0"/>
    <x v="1"/>
    <x v="0"/>
    <x v="1"/>
    <n v="10.01"/>
    <x v="0"/>
  </r>
  <r>
    <s v="EV-0452"/>
    <x v="2"/>
    <x v="2"/>
    <x v="0"/>
    <x v="1"/>
    <x v="1"/>
    <x v="2"/>
    <n v="13684"/>
    <x v="1"/>
    <x v="1"/>
    <x v="0"/>
    <x v="1"/>
    <n v="14.84"/>
    <x v="1"/>
  </r>
  <r>
    <s v="EV-0402"/>
    <x v="0"/>
    <x v="2"/>
    <x v="2"/>
    <x v="2"/>
    <x v="2"/>
    <x v="3"/>
    <n v="8641"/>
    <x v="1"/>
    <x v="1"/>
    <x v="0"/>
    <x v="1"/>
    <n v="12.83"/>
    <x v="2"/>
  </r>
  <r>
    <s v="EV-0284"/>
    <x v="1"/>
    <x v="2"/>
    <x v="0"/>
    <x v="3"/>
    <x v="2"/>
    <x v="4"/>
    <n v="44303"/>
    <x v="1"/>
    <x v="0"/>
    <x v="1"/>
    <x v="2"/>
    <n v="6.06"/>
    <x v="2"/>
  </r>
  <r>
    <s v="EV-0018"/>
    <x v="2"/>
    <x v="0"/>
    <x v="0"/>
    <x v="4"/>
    <x v="1"/>
    <x v="5"/>
    <n v="44173"/>
    <x v="1"/>
    <x v="1"/>
    <x v="1"/>
    <x v="0"/>
    <n v="9.67"/>
    <x v="1"/>
  </r>
  <r>
    <s v="EV-0097"/>
    <x v="2"/>
    <x v="3"/>
    <x v="0"/>
    <x v="5"/>
    <x v="2"/>
    <x v="6"/>
    <n v="57891"/>
    <x v="1"/>
    <x v="0"/>
    <x v="0"/>
    <x v="0"/>
    <n v="13.89"/>
    <x v="2"/>
  </r>
  <r>
    <s v="EV-0372"/>
    <x v="1"/>
    <x v="3"/>
    <x v="0"/>
    <x v="6"/>
    <x v="0"/>
    <x v="7"/>
    <n v="78976"/>
    <x v="0"/>
    <x v="1"/>
    <x v="1"/>
    <x v="2"/>
    <n v="8.3800000000000008"/>
    <x v="0"/>
  </r>
  <r>
    <s v="EV-0095"/>
    <x v="3"/>
    <x v="1"/>
    <x v="0"/>
    <x v="7"/>
    <x v="0"/>
    <x v="8"/>
    <n v="36855"/>
    <x v="0"/>
    <x v="0"/>
    <x v="1"/>
    <x v="0"/>
    <n v="14.73"/>
    <x v="0"/>
  </r>
  <r>
    <s v="EV-0182"/>
    <x v="1"/>
    <x v="4"/>
    <x v="0"/>
    <x v="7"/>
    <x v="2"/>
    <x v="9"/>
    <n v="5986"/>
    <x v="1"/>
    <x v="0"/>
    <x v="1"/>
    <x v="1"/>
    <n v="8.26"/>
    <x v="2"/>
  </r>
  <r>
    <s v="EV-0345"/>
    <x v="4"/>
    <x v="1"/>
    <x v="2"/>
    <x v="8"/>
    <x v="0"/>
    <x v="10"/>
    <n v="3024"/>
    <x v="0"/>
    <x v="1"/>
    <x v="1"/>
    <x v="1"/>
    <n v="11.71"/>
    <x v="0"/>
  </r>
  <r>
    <s v="EV-0431"/>
    <x v="1"/>
    <x v="2"/>
    <x v="0"/>
    <x v="9"/>
    <x v="2"/>
    <x v="11"/>
    <n v="118820"/>
    <x v="1"/>
    <x v="0"/>
    <x v="0"/>
    <x v="2"/>
    <n v="11.95"/>
    <x v="2"/>
  </r>
  <r>
    <s v="EV-0103"/>
    <x v="5"/>
    <x v="2"/>
    <x v="0"/>
    <x v="10"/>
    <x v="2"/>
    <x v="12"/>
    <n v="44215"/>
    <x v="1"/>
    <x v="0"/>
    <x v="0"/>
    <x v="0"/>
    <n v="10.51"/>
    <x v="2"/>
  </r>
  <r>
    <s v="EV-0319"/>
    <x v="1"/>
    <x v="4"/>
    <x v="0"/>
    <x v="11"/>
    <x v="0"/>
    <x v="13"/>
    <n v="46540"/>
    <x v="0"/>
    <x v="0"/>
    <x v="2"/>
    <x v="0"/>
    <n v="10.45"/>
    <x v="0"/>
  </r>
  <r>
    <s v="EV-0014"/>
    <x v="1"/>
    <x v="3"/>
    <x v="0"/>
    <x v="12"/>
    <x v="2"/>
    <x v="14"/>
    <n v="10202"/>
    <x v="1"/>
    <x v="0"/>
    <x v="1"/>
    <x v="1"/>
    <n v="10.64"/>
    <x v="2"/>
  </r>
  <r>
    <s v="EV-0092"/>
    <x v="6"/>
    <x v="2"/>
    <x v="3"/>
    <x v="13"/>
    <x v="0"/>
    <x v="15"/>
    <n v="1944"/>
    <x v="0"/>
    <x v="0"/>
    <x v="1"/>
    <x v="1"/>
    <n v="14.62"/>
    <x v="0"/>
  </r>
  <r>
    <s v="EV-0179"/>
    <x v="7"/>
    <x v="2"/>
    <x v="0"/>
    <x v="14"/>
    <x v="0"/>
    <x v="16"/>
    <n v="62460"/>
    <x v="0"/>
    <x v="0"/>
    <x v="0"/>
    <x v="0"/>
    <n v="12.54"/>
    <x v="0"/>
  </r>
  <r>
    <s v="EV-0338"/>
    <x v="6"/>
    <x v="3"/>
    <x v="0"/>
    <x v="15"/>
    <x v="0"/>
    <x v="17"/>
    <n v="93396"/>
    <x v="0"/>
    <x v="0"/>
    <x v="0"/>
    <x v="2"/>
    <n v="9.27"/>
    <x v="0"/>
  </r>
  <r>
    <s v="EV-0235"/>
    <x v="5"/>
    <x v="0"/>
    <x v="0"/>
    <x v="16"/>
    <x v="0"/>
    <x v="18"/>
    <n v="80803"/>
    <x v="0"/>
    <x v="0"/>
    <x v="0"/>
    <x v="0"/>
    <n v="13.59"/>
    <x v="0"/>
  </r>
  <r>
    <s v="EV-0385"/>
    <x v="6"/>
    <x v="0"/>
    <x v="1"/>
    <x v="17"/>
    <x v="0"/>
    <x v="19"/>
    <n v="515"/>
    <x v="0"/>
    <x v="0"/>
    <x v="0"/>
    <x v="1"/>
    <n v="12.68"/>
    <x v="0"/>
  </r>
  <r>
    <s v="EV-0068"/>
    <x v="3"/>
    <x v="1"/>
    <x v="2"/>
    <x v="18"/>
    <x v="0"/>
    <x v="20"/>
    <n v="3571"/>
    <x v="0"/>
    <x v="1"/>
    <x v="2"/>
    <x v="1"/>
    <n v="8.1999999999999993"/>
    <x v="0"/>
  </r>
  <r>
    <s v="EV-0486"/>
    <x v="0"/>
    <x v="0"/>
    <x v="0"/>
    <x v="18"/>
    <x v="0"/>
    <x v="21"/>
    <n v="133648"/>
    <x v="0"/>
    <x v="1"/>
    <x v="2"/>
    <x v="2"/>
    <n v="11.91"/>
    <x v="0"/>
  </r>
  <r>
    <s v="EV-0294"/>
    <x v="4"/>
    <x v="4"/>
    <x v="0"/>
    <x v="16"/>
    <x v="3"/>
    <x v="22"/>
    <n v="79210"/>
    <x v="2"/>
    <x v="0"/>
    <x v="0"/>
    <x v="0"/>
    <n v="12.81"/>
    <x v="3"/>
  </r>
  <r>
    <s v="EV-0297"/>
    <x v="3"/>
    <x v="0"/>
    <x v="1"/>
    <x v="16"/>
    <x v="0"/>
    <x v="23"/>
    <n v="1525"/>
    <x v="0"/>
    <x v="0"/>
    <x v="0"/>
    <x v="1"/>
    <n v="8.6"/>
    <x v="0"/>
  </r>
  <r>
    <s v="EV-0333"/>
    <x v="1"/>
    <x v="2"/>
    <x v="0"/>
    <x v="19"/>
    <x v="0"/>
    <x v="24"/>
    <n v="30184"/>
    <x v="0"/>
    <x v="0"/>
    <x v="0"/>
    <x v="0"/>
    <n v="7.28"/>
    <x v="0"/>
  </r>
  <r>
    <s v="EV-0225"/>
    <x v="5"/>
    <x v="2"/>
    <x v="0"/>
    <x v="20"/>
    <x v="3"/>
    <x v="25"/>
    <n v="138563"/>
    <x v="2"/>
    <x v="1"/>
    <x v="1"/>
    <x v="2"/>
    <n v="12.1"/>
    <x v="3"/>
  </r>
  <r>
    <s v="EV-0374"/>
    <x v="6"/>
    <x v="2"/>
    <x v="0"/>
    <x v="20"/>
    <x v="2"/>
    <x v="26"/>
    <n v="160027"/>
    <x v="1"/>
    <x v="0"/>
    <x v="1"/>
    <x v="2"/>
    <n v="14.62"/>
    <x v="2"/>
  </r>
  <r>
    <s v="EV-0004"/>
    <x v="2"/>
    <x v="3"/>
    <x v="0"/>
    <x v="21"/>
    <x v="2"/>
    <x v="27"/>
    <n v="67726"/>
    <x v="1"/>
    <x v="0"/>
    <x v="2"/>
    <x v="2"/>
    <n v="8.02"/>
    <x v="2"/>
  </r>
  <r>
    <s v="EV-0031"/>
    <x v="2"/>
    <x v="5"/>
    <x v="3"/>
    <x v="21"/>
    <x v="3"/>
    <x v="28"/>
    <n v="1390"/>
    <x v="2"/>
    <x v="0"/>
    <x v="2"/>
    <x v="1"/>
    <n v="8.8800000000000008"/>
    <x v="3"/>
  </r>
  <r>
    <s v="EV-0147"/>
    <x v="2"/>
    <x v="0"/>
    <x v="0"/>
    <x v="21"/>
    <x v="0"/>
    <x v="24"/>
    <n v="41763"/>
    <x v="0"/>
    <x v="0"/>
    <x v="2"/>
    <x v="0"/>
    <n v="10.07"/>
    <x v="0"/>
  </r>
  <r>
    <s v="EV-0496"/>
    <x v="5"/>
    <x v="0"/>
    <x v="0"/>
    <x v="21"/>
    <x v="2"/>
    <x v="6"/>
    <n v="44303"/>
    <x v="1"/>
    <x v="1"/>
    <x v="2"/>
    <x v="0"/>
    <n v="10.63"/>
    <x v="2"/>
  </r>
  <r>
    <s v="EV-0168"/>
    <x v="5"/>
    <x v="1"/>
    <x v="0"/>
    <x v="22"/>
    <x v="1"/>
    <x v="29"/>
    <n v="114163"/>
    <x v="1"/>
    <x v="0"/>
    <x v="0"/>
    <x v="2"/>
    <n v="10.6"/>
    <x v="1"/>
  </r>
  <r>
    <s v="EV-0305"/>
    <x v="6"/>
    <x v="2"/>
    <x v="0"/>
    <x v="23"/>
    <x v="1"/>
    <x v="30"/>
    <n v="41568"/>
    <x v="1"/>
    <x v="0"/>
    <x v="1"/>
    <x v="0"/>
    <n v="12.69"/>
    <x v="1"/>
  </r>
  <r>
    <s v="EV-0115"/>
    <x v="6"/>
    <x v="2"/>
    <x v="3"/>
    <x v="24"/>
    <x v="3"/>
    <x v="31"/>
    <n v="2633"/>
    <x v="2"/>
    <x v="1"/>
    <x v="1"/>
    <x v="1"/>
    <n v="13.83"/>
    <x v="3"/>
  </r>
  <r>
    <s v="EV-0430"/>
    <x v="1"/>
    <x v="2"/>
    <x v="1"/>
    <x v="25"/>
    <x v="1"/>
    <x v="32"/>
    <n v="4301"/>
    <x v="1"/>
    <x v="0"/>
    <x v="0"/>
    <x v="1"/>
    <n v="11.25"/>
    <x v="1"/>
  </r>
  <r>
    <s v="EV-0139"/>
    <x v="4"/>
    <x v="4"/>
    <x v="0"/>
    <x v="26"/>
    <x v="1"/>
    <x v="33"/>
    <n v="82583"/>
    <x v="1"/>
    <x v="1"/>
    <x v="1"/>
    <x v="0"/>
    <n v="14.14"/>
    <x v="1"/>
  </r>
  <r>
    <s v="EV-0243"/>
    <x v="0"/>
    <x v="2"/>
    <x v="0"/>
    <x v="26"/>
    <x v="3"/>
    <x v="34"/>
    <n v="86363"/>
    <x v="2"/>
    <x v="1"/>
    <x v="1"/>
    <x v="2"/>
    <n v="9.86"/>
    <x v="3"/>
  </r>
  <r>
    <s v="EV-0357"/>
    <x v="1"/>
    <x v="0"/>
    <x v="2"/>
    <x v="26"/>
    <x v="2"/>
    <x v="35"/>
    <n v="22276"/>
    <x v="1"/>
    <x v="1"/>
    <x v="1"/>
    <x v="0"/>
    <n v="8.57"/>
    <x v="2"/>
  </r>
  <r>
    <s v="EV-0418"/>
    <x v="5"/>
    <x v="3"/>
    <x v="0"/>
    <x v="26"/>
    <x v="2"/>
    <x v="36"/>
    <n v="70169"/>
    <x v="1"/>
    <x v="0"/>
    <x v="1"/>
    <x v="0"/>
    <n v="10.46"/>
    <x v="2"/>
  </r>
  <r>
    <s v="EV-0437"/>
    <x v="1"/>
    <x v="3"/>
    <x v="0"/>
    <x v="26"/>
    <x v="3"/>
    <x v="37"/>
    <n v="37959"/>
    <x v="2"/>
    <x v="1"/>
    <x v="1"/>
    <x v="0"/>
    <n v="10.26"/>
    <x v="3"/>
  </r>
  <r>
    <s v="EV-0440"/>
    <x v="1"/>
    <x v="1"/>
    <x v="1"/>
    <x v="26"/>
    <x v="1"/>
    <x v="38"/>
    <n v="4510"/>
    <x v="1"/>
    <x v="0"/>
    <x v="1"/>
    <x v="1"/>
    <n v="11.08"/>
    <x v="1"/>
  </r>
  <r>
    <s v="EV-0396"/>
    <x v="7"/>
    <x v="2"/>
    <x v="0"/>
    <x v="27"/>
    <x v="0"/>
    <x v="39"/>
    <n v="13221"/>
    <x v="0"/>
    <x v="0"/>
    <x v="1"/>
    <x v="1"/>
    <n v="10.029999999999999"/>
    <x v="0"/>
  </r>
  <r>
    <s v="EV-0025"/>
    <x v="4"/>
    <x v="2"/>
    <x v="0"/>
    <x v="28"/>
    <x v="0"/>
    <x v="40"/>
    <n v="25272"/>
    <x v="0"/>
    <x v="0"/>
    <x v="0"/>
    <x v="0"/>
    <n v="10.67"/>
    <x v="0"/>
  </r>
  <r>
    <s v="EV-0143"/>
    <x v="4"/>
    <x v="0"/>
    <x v="2"/>
    <x v="28"/>
    <x v="3"/>
    <x v="41"/>
    <n v="4454"/>
    <x v="2"/>
    <x v="0"/>
    <x v="0"/>
    <x v="1"/>
    <n v="9.15"/>
    <x v="3"/>
  </r>
  <r>
    <s v="EV-0413"/>
    <x v="7"/>
    <x v="4"/>
    <x v="0"/>
    <x v="29"/>
    <x v="0"/>
    <x v="42"/>
    <n v="47370"/>
    <x v="0"/>
    <x v="1"/>
    <x v="1"/>
    <x v="0"/>
    <n v="8.5299999999999994"/>
    <x v="0"/>
  </r>
  <r>
    <s v="EV-0463"/>
    <x v="6"/>
    <x v="4"/>
    <x v="0"/>
    <x v="30"/>
    <x v="2"/>
    <x v="43"/>
    <n v="79063"/>
    <x v="1"/>
    <x v="0"/>
    <x v="1"/>
    <x v="0"/>
    <n v="12.24"/>
    <x v="2"/>
  </r>
  <r>
    <s v="EV-0497"/>
    <x v="2"/>
    <x v="0"/>
    <x v="0"/>
    <x v="31"/>
    <x v="1"/>
    <x v="44"/>
    <n v="26064"/>
    <x v="1"/>
    <x v="0"/>
    <x v="0"/>
    <x v="0"/>
    <n v="12.59"/>
    <x v="1"/>
  </r>
  <r>
    <s v="EV-0229"/>
    <x v="0"/>
    <x v="1"/>
    <x v="0"/>
    <x v="32"/>
    <x v="3"/>
    <x v="45"/>
    <n v="13020"/>
    <x v="2"/>
    <x v="1"/>
    <x v="1"/>
    <x v="1"/>
    <n v="13.52"/>
    <x v="3"/>
  </r>
  <r>
    <s v="EV-0491"/>
    <x v="4"/>
    <x v="3"/>
    <x v="0"/>
    <x v="33"/>
    <x v="0"/>
    <x v="46"/>
    <n v="72465"/>
    <x v="0"/>
    <x v="0"/>
    <x v="2"/>
    <x v="0"/>
    <n v="12.22"/>
    <x v="0"/>
  </r>
  <r>
    <s v="EV-0381"/>
    <x v="1"/>
    <x v="1"/>
    <x v="2"/>
    <x v="34"/>
    <x v="2"/>
    <x v="47"/>
    <n v="3453"/>
    <x v="1"/>
    <x v="0"/>
    <x v="1"/>
    <x v="1"/>
    <n v="8.9"/>
    <x v="2"/>
  </r>
  <r>
    <s v="EV-0388"/>
    <x v="1"/>
    <x v="2"/>
    <x v="0"/>
    <x v="34"/>
    <x v="3"/>
    <x v="48"/>
    <n v="30349"/>
    <x v="2"/>
    <x v="1"/>
    <x v="1"/>
    <x v="0"/>
    <n v="13.19"/>
    <x v="3"/>
  </r>
  <r>
    <s v="EV-0012"/>
    <x v="7"/>
    <x v="0"/>
    <x v="0"/>
    <x v="35"/>
    <x v="2"/>
    <x v="49"/>
    <n v="115978"/>
    <x v="1"/>
    <x v="1"/>
    <x v="2"/>
    <x v="2"/>
    <n v="10.33"/>
    <x v="2"/>
  </r>
  <r>
    <s v="EV-0024"/>
    <x v="1"/>
    <x v="0"/>
    <x v="2"/>
    <x v="36"/>
    <x v="1"/>
    <x v="50"/>
    <n v="11321"/>
    <x v="1"/>
    <x v="1"/>
    <x v="1"/>
    <x v="1"/>
    <n v="14.39"/>
    <x v="1"/>
  </r>
  <r>
    <s v="EV-0164"/>
    <x v="2"/>
    <x v="0"/>
    <x v="1"/>
    <x v="37"/>
    <x v="3"/>
    <x v="51"/>
    <n v="2913"/>
    <x v="2"/>
    <x v="1"/>
    <x v="0"/>
    <x v="1"/>
    <n v="13.24"/>
    <x v="3"/>
  </r>
  <r>
    <s v="EV-0176"/>
    <x v="1"/>
    <x v="3"/>
    <x v="0"/>
    <x v="37"/>
    <x v="1"/>
    <x v="52"/>
    <n v="72921"/>
    <x v="1"/>
    <x v="0"/>
    <x v="0"/>
    <x v="0"/>
    <n v="12.45"/>
    <x v="1"/>
  </r>
  <r>
    <s v="EV-0216"/>
    <x v="5"/>
    <x v="1"/>
    <x v="0"/>
    <x v="38"/>
    <x v="3"/>
    <x v="53"/>
    <n v="54663"/>
    <x v="2"/>
    <x v="1"/>
    <x v="1"/>
    <x v="0"/>
    <n v="12.48"/>
    <x v="3"/>
  </r>
  <r>
    <s v="EV-0028"/>
    <x v="2"/>
    <x v="0"/>
    <x v="1"/>
    <x v="39"/>
    <x v="1"/>
    <x v="54"/>
    <n v="2590"/>
    <x v="1"/>
    <x v="1"/>
    <x v="0"/>
    <x v="1"/>
    <n v="12.56"/>
    <x v="1"/>
  </r>
  <r>
    <s v="EV-0257"/>
    <x v="7"/>
    <x v="0"/>
    <x v="0"/>
    <x v="39"/>
    <x v="3"/>
    <x v="55"/>
    <n v="86126"/>
    <x v="2"/>
    <x v="0"/>
    <x v="0"/>
    <x v="2"/>
    <n v="10.11"/>
    <x v="3"/>
  </r>
  <r>
    <s v="EV-0067"/>
    <x v="1"/>
    <x v="1"/>
    <x v="2"/>
    <x v="40"/>
    <x v="2"/>
    <x v="6"/>
    <n v="29827"/>
    <x v="1"/>
    <x v="1"/>
    <x v="1"/>
    <x v="0"/>
    <n v="7.16"/>
    <x v="2"/>
  </r>
  <r>
    <s v="EV-0187"/>
    <x v="3"/>
    <x v="2"/>
    <x v="0"/>
    <x v="40"/>
    <x v="1"/>
    <x v="56"/>
    <n v="42175"/>
    <x v="1"/>
    <x v="0"/>
    <x v="1"/>
    <x v="0"/>
    <n v="10.72"/>
    <x v="1"/>
  </r>
  <r>
    <s v="EV-0057"/>
    <x v="1"/>
    <x v="3"/>
    <x v="2"/>
    <x v="41"/>
    <x v="0"/>
    <x v="57"/>
    <n v="1736"/>
    <x v="0"/>
    <x v="0"/>
    <x v="1"/>
    <x v="1"/>
    <n v="9.64"/>
    <x v="0"/>
  </r>
  <r>
    <s v="EV-0462"/>
    <x v="6"/>
    <x v="0"/>
    <x v="3"/>
    <x v="41"/>
    <x v="1"/>
    <x v="58"/>
    <n v="101"/>
    <x v="1"/>
    <x v="0"/>
    <x v="1"/>
    <x v="1"/>
    <n v="9.32"/>
    <x v="1"/>
  </r>
  <r>
    <s v="EV-0477"/>
    <x v="1"/>
    <x v="2"/>
    <x v="0"/>
    <x v="41"/>
    <x v="1"/>
    <x v="59"/>
    <n v="42966"/>
    <x v="1"/>
    <x v="0"/>
    <x v="1"/>
    <x v="0"/>
    <n v="10.55"/>
    <x v="1"/>
  </r>
  <r>
    <s v="EV-0015"/>
    <x v="5"/>
    <x v="2"/>
    <x v="0"/>
    <x v="42"/>
    <x v="0"/>
    <x v="24"/>
    <n v="67053"/>
    <x v="0"/>
    <x v="0"/>
    <x v="0"/>
    <x v="0"/>
    <n v="16.16"/>
    <x v="0"/>
  </r>
  <r>
    <s v="EV-0125"/>
    <x v="5"/>
    <x v="3"/>
    <x v="0"/>
    <x v="42"/>
    <x v="3"/>
    <x v="60"/>
    <n v="136476"/>
    <x v="2"/>
    <x v="1"/>
    <x v="0"/>
    <x v="2"/>
    <n v="12.77"/>
    <x v="3"/>
  </r>
  <r>
    <s v="EV-0474"/>
    <x v="0"/>
    <x v="3"/>
    <x v="0"/>
    <x v="43"/>
    <x v="0"/>
    <x v="61"/>
    <n v="115690"/>
    <x v="0"/>
    <x v="1"/>
    <x v="1"/>
    <x v="2"/>
    <n v="14.94"/>
    <x v="0"/>
  </r>
  <r>
    <s v="EV-0213"/>
    <x v="6"/>
    <x v="4"/>
    <x v="0"/>
    <x v="44"/>
    <x v="1"/>
    <x v="62"/>
    <n v="48080"/>
    <x v="1"/>
    <x v="1"/>
    <x v="0"/>
    <x v="0"/>
    <n v="13.77"/>
    <x v="1"/>
  </r>
  <r>
    <s v="EV-0386"/>
    <x v="3"/>
    <x v="4"/>
    <x v="0"/>
    <x v="44"/>
    <x v="0"/>
    <x v="63"/>
    <n v="34146"/>
    <x v="0"/>
    <x v="0"/>
    <x v="0"/>
    <x v="0"/>
    <n v="10.48"/>
    <x v="0"/>
  </r>
  <r>
    <s v="EV-0195"/>
    <x v="5"/>
    <x v="0"/>
    <x v="0"/>
    <x v="45"/>
    <x v="0"/>
    <x v="64"/>
    <n v="76949"/>
    <x v="0"/>
    <x v="0"/>
    <x v="0"/>
    <x v="0"/>
    <n v="12.58"/>
    <x v="0"/>
  </r>
  <r>
    <s v="EV-0178"/>
    <x v="4"/>
    <x v="2"/>
    <x v="0"/>
    <x v="46"/>
    <x v="3"/>
    <x v="65"/>
    <n v="130085"/>
    <x v="2"/>
    <x v="0"/>
    <x v="1"/>
    <x v="2"/>
    <n v="12.91"/>
    <x v="3"/>
  </r>
  <r>
    <s v="EV-0119"/>
    <x v="0"/>
    <x v="2"/>
    <x v="0"/>
    <x v="47"/>
    <x v="3"/>
    <x v="66"/>
    <n v="29876"/>
    <x v="2"/>
    <x v="1"/>
    <x v="1"/>
    <x v="0"/>
    <n v="13.61"/>
    <x v="3"/>
  </r>
  <r>
    <s v="EV-0404"/>
    <x v="3"/>
    <x v="1"/>
    <x v="0"/>
    <x v="48"/>
    <x v="1"/>
    <x v="67"/>
    <n v="34114"/>
    <x v="1"/>
    <x v="1"/>
    <x v="0"/>
    <x v="0"/>
    <n v="11.06"/>
    <x v="1"/>
  </r>
  <r>
    <s v="EV-0145"/>
    <x v="5"/>
    <x v="1"/>
    <x v="0"/>
    <x v="49"/>
    <x v="3"/>
    <x v="68"/>
    <n v="96539"/>
    <x v="2"/>
    <x v="0"/>
    <x v="1"/>
    <x v="0"/>
    <n v="14.61"/>
    <x v="3"/>
  </r>
  <r>
    <s v="EV-0194"/>
    <x v="6"/>
    <x v="4"/>
    <x v="0"/>
    <x v="49"/>
    <x v="0"/>
    <x v="69"/>
    <n v="153690"/>
    <x v="0"/>
    <x v="1"/>
    <x v="1"/>
    <x v="2"/>
    <n v="14.2"/>
    <x v="0"/>
  </r>
  <r>
    <s v="EV-0034"/>
    <x v="7"/>
    <x v="2"/>
    <x v="1"/>
    <x v="50"/>
    <x v="0"/>
    <x v="70"/>
    <n v="3198"/>
    <x v="0"/>
    <x v="0"/>
    <x v="0"/>
    <x v="1"/>
    <n v="8.6999999999999993"/>
    <x v="0"/>
  </r>
  <r>
    <s v="EV-0021"/>
    <x v="2"/>
    <x v="3"/>
    <x v="0"/>
    <x v="51"/>
    <x v="2"/>
    <x v="71"/>
    <n v="127233"/>
    <x v="1"/>
    <x v="0"/>
    <x v="1"/>
    <x v="2"/>
    <n v="10.88"/>
    <x v="2"/>
  </r>
  <r>
    <s v="EV-0082"/>
    <x v="2"/>
    <x v="4"/>
    <x v="0"/>
    <x v="51"/>
    <x v="2"/>
    <x v="72"/>
    <n v="92625"/>
    <x v="1"/>
    <x v="0"/>
    <x v="1"/>
    <x v="2"/>
    <n v="12.08"/>
    <x v="2"/>
  </r>
  <r>
    <s v="EV-0134"/>
    <x v="5"/>
    <x v="3"/>
    <x v="0"/>
    <x v="52"/>
    <x v="1"/>
    <x v="73"/>
    <n v="153485"/>
    <x v="1"/>
    <x v="0"/>
    <x v="0"/>
    <x v="2"/>
    <n v="14.37"/>
    <x v="1"/>
  </r>
  <r>
    <s v="EV-0138"/>
    <x v="6"/>
    <x v="2"/>
    <x v="2"/>
    <x v="53"/>
    <x v="3"/>
    <x v="74"/>
    <n v="28607"/>
    <x v="2"/>
    <x v="0"/>
    <x v="1"/>
    <x v="0"/>
    <n v="13.51"/>
    <x v="3"/>
  </r>
  <r>
    <s v="EV-0183"/>
    <x v="0"/>
    <x v="2"/>
    <x v="0"/>
    <x v="54"/>
    <x v="0"/>
    <x v="75"/>
    <n v="159110"/>
    <x v="0"/>
    <x v="0"/>
    <x v="2"/>
    <x v="2"/>
    <n v="14.97"/>
    <x v="0"/>
  </r>
  <r>
    <s v="EV-0003"/>
    <x v="6"/>
    <x v="2"/>
    <x v="2"/>
    <x v="55"/>
    <x v="3"/>
    <x v="76"/>
    <n v="28038"/>
    <x v="2"/>
    <x v="0"/>
    <x v="1"/>
    <x v="0"/>
    <n v="9.8699999999999992"/>
    <x v="3"/>
  </r>
  <r>
    <s v="EV-0275"/>
    <x v="2"/>
    <x v="2"/>
    <x v="0"/>
    <x v="56"/>
    <x v="0"/>
    <x v="77"/>
    <n v="22739"/>
    <x v="0"/>
    <x v="1"/>
    <x v="0"/>
    <x v="0"/>
    <n v="10.06"/>
    <x v="0"/>
  </r>
  <r>
    <s v="EV-0098"/>
    <x v="4"/>
    <x v="3"/>
    <x v="0"/>
    <x v="57"/>
    <x v="2"/>
    <x v="78"/>
    <n v="102037"/>
    <x v="1"/>
    <x v="0"/>
    <x v="0"/>
    <x v="2"/>
    <n v="10.11"/>
    <x v="2"/>
  </r>
  <r>
    <s v="EV-0070"/>
    <x v="7"/>
    <x v="4"/>
    <x v="1"/>
    <x v="58"/>
    <x v="0"/>
    <x v="79"/>
    <n v="798"/>
    <x v="0"/>
    <x v="0"/>
    <x v="0"/>
    <x v="1"/>
    <n v="8.39"/>
    <x v="0"/>
  </r>
  <r>
    <s v="EV-0494"/>
    <x v="5"/>
    <x v="3"/>
    <x v="0"/>
    <x v="59"/>
    <x v="3"/>
    <x v="80"/>
    <n v="34041"/>
    <x v="2"/>
    <x v="0"/>
    <x v="1"/>
    <x v="0"/>
    <n v="12.65"/>
    <x v="3"/>
  </r>
  <r>
    <s v="EV-0268"/>
    <x v="6"/>
    <x v="2"/>
    <x v="0"/>
    <x v="60"/>
    <x v="0"/>
    <x v="81"/>
    <n v="5834"/>
    <x v="0"/>
    <x v="0"/>
    <x v="0"/>
    <x v="1"/>
    <n v="9.0399999999999991"/>
    <x v="0"/>
  </r>
  <r>
    <s v="EV-0271"/>
    <x v="3"/>
    <x v="4"/>
    <x v="0"/>
    <x v="60"/>
    <x v="0"/>
    <x v="82"/>
    <n v="47370"/>
    <x v="0"/>
    <x v="1"/>
    <x v="0"/>
    <x v="0"/>
    <n v="8.64"/>
    <x v="0"/>
  </r>
  <r>
    <s v="EV-0172"/>
    <x v="1"/>
    <x v="0"/>
    <x v="0"/>
    <x v="61"/>
    <x v="2"/>
    <x v="83"/>
    <n v="32961"/>
    <x v="1"/>
    <x v="1"/>
    <x v="0"/>
    <x v="0"/>
    <n v="14.6"/>
    <x v="2"/>
  </r>
  <r>
    <s v="EV-0453"/>
    <x v="4"/>
    <x v="0"/>
    <x v="0"/>
    <x v="61"/>
    <x v="1"/>
    <x v="84"/>
    <n v="13058"/>
    <x v="1"/>
    <x v="0"/>
    <x v="0"/>
    <x v="1"/>
    <n v="8.6300000000000008"/>
    <x v="1"/>
  </r>
  <r>
    <s v="EV-0117"/>
    <x v="3"/>
    <x v="4"/>
    <x v="1"/>
    <x v="62"/>
    <x v="1"/>
    <x v="85"/>
    <n v="2085"/>
    <x v="1"/>
    <x v="0"/>
    <x v="2"/>
    <x v="0"/>
    <n v="0.57999999999999996"/>
    <x v="1"/>
  </r>
  <r>
    <s v="EV-0310"/>
    <x v="5"/>
    <x v="1"/>
    <x v="2"/>
    <x v="63"/>
    <x v="2"/>
    <x v="86"/>
    <n v="31190"/>
    <x v="1"/>
    <x v="1"/>
    <x v="1"/>
    <x v="0"/>
    <n v="14.41"/>
    <x v="2"/>
  </r>
  <r>
    <s v="EV-0169"/>
    <x v="1"/>
    <x v="4"/>
    <x v="1"/>
    <x v="64"/>
    <x v="3"/>
    <x v="87"/>
    <n v="513"/>
    <x v="2"/>
    <x v="0"/>
    <x v="0"/>
    <x v="1"/>
    <n v="12.72"/>
    <x v="3"/>
  </r>
  <r>
    <s v="EV-0412"/>
    <x v="7"/>
    <x v="1"/>
    <x v="0"/>
    <x v="65"/>
    <x v="3"/>
    <x v="88"/>
    <n v="149253"/>
    <x v="2"/>
    <x v="0"/>
    <x v="1"/>
    <x v="2"/>
    <n v="13.45"/>
    <x v="3"/>
  </r>
  <r>
    <s v="EV-0112"/>
    <x v="1"/>
    <x v="1"/>
    <x v="1"/>
    <x v="66"/>
    <x v="0"/>
    <x v="89"/>
    <n v="4918"/>
    <x v="0"/>
    <x v="1"/>
    <x v="0"/>
    <x v="1"/>
    <n v="14.82"/>
    <x v="0"/>
  </r>
  <r>
    <s v="EV-0252"/>
    <x v="4"/>
    <x v="0"/>
    <x v="2"/>
    <x v="67"/>
    <x v="1"/>
    <x v="90"/>
    <n v="27031"/>
    <x v="1"/>
    <x v="1"/>
    <x v="1"/>
    <x v="0"/>
    <n v="9.5500000000000007"/>
    <x v="1"/>
  </r>
  <r>
    <s v="EV-0244"/>
    <x v="4"/>
    <x v="0"/>
    <x v="0"/>
    <x v="68"/>
    <x v="2"/>
    <x v="91"/>
    <n v="83937"/>
    <x v="1"/>
    <x v="0"/>
    <x v="0"/>
    <x v="2"/>
    <n v="8.89"/>
    <x v="2"/>
  </r>
  <r>
    <s v="EV-0102"/>
    <x v="6"/>
    <x v="0"/>
    <x v="1"/>
    <x v="69"/>
    <x v="1"/>
    <x v="92"/>
    <n v="3236"/>
    <x v="1"/>
    <x v="0"/>
    <x v="1"/>
    <x v="1"/>
    <n v="10.67"/>
    <x v="1"/>
  </r>
  <r>
    <s v="EV-0171"/>
    <x v="6"/>
    <x v="0"/>
    <x v="0"/>
    <x v="70"/>
    <x v="2"/>
    <x v="93"/>
    <n v="60511"/>
    <x v="1"/>
    <x v="1"/>
    <x v="0"/>
    <x v="0"/>
    <n v="12.34"/>
    <x v="2"/>
  </r>
  <r>
    <s v="EV-0002"/>
    <x v="7"/>
    <x v="2"/>
    <x v="0"/>
    <x v="71"/>
    <x v="2"/>
    <x v="94"/>
    <n v="24143"/>
    <x v="1"/>
    <x v="0"/>
    <x v="1"/>
    <x v="1"/>
    <n v="13.51"/>
    <x v="2"/>
  </r>
  <r>
    <s v="EV-0186"/>
    <x v="6"/>
    <x v="4"/>
    <x v="3"/>
    <x v="71"/>
    <x v="3"/>
    <x v="95"/>
    <n v="2218"/>
    <x v="2"/>
    <x v="0"/>
    <x v="1"/>
    <x v="1"/>
    <n v="11.76"/>
    <x v="3"/>
  </r>
  <r>
    <s v="EV-0219"/>
    <x v="6"/>
    <x v="4"/>
    <x v="0"/>
    <x v="71"/>
    <x v="2"/>
    <x v="96"/>
    <n v="118216"/>
    <x v="1"/>
    <x v="1"/>
    <x v="1"/>
    <x v="2"/>
    <n v="10.33"/>
    <x v="2"/>
  </r>
  <r>
    <s v="EV-0465"/>
    <x v="7"/>
    <x v="4"/>
    <x v="0"/>
    <x v="71"/>
    <x v="3"/>
    <x v="97"/>
    <n v="91646"/>
    <x v="2"/>
    <x v="1"/>
    <x v="1"/>
    <x v="0"/>
    <n v="14.7"/>
    <x v="3"/>
  </r>
  <r>
    <s v="EV-0259"/>
    <x v="2"/>
    <x v="0"/>
    <x v="0"/>
    <x v="72"/>
    <x v="2"/>
    <x v="98"/>
    <n v="68777"/>
    <x v="1"/>
    <x v="0"/>
    <x v="0"/>
    <x v="2"/>
    <n v="8.2200000000000006"/>
    <x v="2"/>
  </r>
  <r>
    <s v="EV-0445"/>
    <x v="3"/>
    <x v="1"/>
    <x v="0"/>
    <x v="72"/>
    <x v="3"/>
    <x v="99"/>
    <n v="17818"/>
    <x v="2"/>
    <x v="1"/>
    <x v="0"/>
    <x v="1"/>
    <n v="10.46"/>
    <x v="3"/>
  </r>
  <r>
    <s v="EV-0405"/>
    <x v="5"/>
    <x v="0"/>
    <x v="0"/>
    <x v="73"/>
    <x v="3"/>
    <x v="100"/>
    <n v="19347"/>
    <x v="2"/>
    <x v="1"/>
    <x v="1"/>
    <x v="0"/>
    <n v="8.74"/>
    <x v="3"/>
  </r>
  <r>
    <s v="EV-0307"/>
    <x v="2"/>
    <x v="0"/>
    <x v="0"/>
    <x v="74"/>
    <x v="1"/>
    <x v="101"/>
    <n v="97177"/>
    <x v="1"/>
    <x v="0"/>
    <x v="0"/>
    <x v="0"/>
    <n v="14.12"/>
    <x v="1"/>
  </r>
  <r>
    <s v="EV-0009"/>
    <x v="2"/>
    <x v="3"/>
    <x v="0"/>
    <x v="75"/>
    <x v="1"/>
    <x v="102"/>
    <n v="76505"/>
    <x v="1"/>
    <x v="0"/>
    <x v="2"/>
    <x v="0"/>
    <n v="14.06"/>
    <x v="1"/>
  </r>
  <r>
    <s v="EV-0051"/>
    <x v="7"/>
    <x v="1"/>
    <x v="0"/>
    <x v="76"/>
    <x v="2"/>
    <x v="103"/>
    <n v="137883"/>
    <x v="1"/>
    <x v="1"/>
    <x v="0"/>
    <x v="2"/>
    <n v="14.68"/>
    <x v="2"/>
  </r>
  <r>
    <s v="EV-0084"/>
    <x v="1"/>
    <x v="0"/>
    <x v="0"/>
    <x v="76"/>
    <x v="1"/>
    <x v="104"/>
    <n v="24098"/>
    <x v="1"/>
    <x v="1"/>
    <x v="0"/>
    <x v="1"/>
    <n v="12.47"/>
    <x v="1"/>
  </r>
  <r>
    <s v="EV-0499"/>
    <x v="7"/>
    <x v="3"/>
    <x v="0"/>
    <x v="77"/>
    <x v="0"/>
    <x v="105"/>
    <n v="83558"/>
    <x v="0"/>
    <x v="0"/>
    <x v="0"/>
    <x v="2"/>
    <n v="8.9"/>
    <x v="0"/>
  </r>
  <r>
    <s v="EV-0439"/>
    <x v="6"/>
    <x v="1"/>
    <x v="2"/>
    <x v="78"/>
    <x v="2"/>
    <x v="106"/>
    <n v="13931"/>
    <x v="1"/>
    <x v="1"/>
    <x v="1"/>
    <x v="1"/>
    <n v="10.210000000000001"/>
    <x v="2"/>
  </r>
  <r>
    <s v="EV-0011"/>
    <x v="1"/>
    <x v="3"/>
    <x v="0"/>
    <x v="79"/>
    <x v="0"/>
    <x v="107"/>
    <n v="53461"/>
    <x v="0"/>
    <x v="0"/>
    <x v="0"/>
    <x v="0"/>
    <n v="11.39"/>
    <x v="0"/>
  </r>
  <r>
    <s v="EV-0313"/>
    <x v="1"/>
    <x v="0"/>
    <x v="0"/>
    <x v="80"/>
    <x v="3"/>
    <x v="108"/>
    <n v="39564"/>
    <x v="2"/>
    <x v="0"/>
    <x v="0"/>
    <x v="0"/>
    <n v="10.19"/>
    <x v="3"/>
  </r>
  <r>
    <s v="EV-0080"/>
    <x v="1"/>
    <x v="1"/>
    <x v="0"/>
    <x v="81"/>
    <x v="0"/>
    <x v="109"/>
    <n v="145868"/>
    <x v="0"/>
    <x v="1"/>
    <x v="1"/>
    <x v="2"/>
    <n v="12.78"/>
    <x v="0"/>
  </r>
  <r>
    <s v="EV-0270"/>
    <x v="5"/>
    <x v="4"/>
    <x v="0"/>
    <x v="82"/>
    <x v="0"/>
    <x v="110"/>
    <n v="75920"/>
    <x v="0"/>
    <x v="0"/>
    <x v="1"/>
    <x v="0"/>
    <n v="12.37"/>
    <x v="0"/>
  </r>
  <r>
    <s v="EV-0366"/>
    <x v="4"/>
    <x v="1"/>
    <x v="0"/>
    <x v="83"/>
    <x v="1"/>
    <x v="111"/>
    <n v="18861"/>
    <x v="1"/>
    <x v="0"/>
    <x v="0"/>
    <x v="1"/>
    <n v="12.75"/>
    <x v="1"/>
  </r>
  <r>
    <s v="EV-0326"/>
    <x v="6"/>
    <x v="2"/>
    <x v="0"/>
    <x v="84"/>
    <x v="1"/>
    <x v="112"/>
    <n v="117604"/>
    <x v="1"/>
    <x v="0"/>
    <x v="1"/>
    <x v="2"/>
    <n v="13.37"/>
    <x v="1"/>
  </r>
  <r>
    <s v="EV-0308"/>
    <x v="5"/>
    <x v="3"/>
    <x v="0"/>
    <x v="85"/>
    <x v="3"/>
    <x v="113"/>
    <n v="47611"/>
    <x v="2"/>
    <x v="1"/>
    <x v="0"/>
    <x v="0"/>
    <n v="14.59"/>
    <x v="3"/>
  </r>
  <r>
    <s v="EV-0390"/>
    <x v="3"/>
    <x v="3"/>
    <x v="2"/>
    <x v="86"/>
    <x v="0"/>
    <x v="114"/>
    <n v="23549"/>
    <x v="0"/>
    <x v="0"/>
    <x v="1"/>
    <x v="0"/>
    <n v="11.22"/>
    <x v="0"/>
  </r>
  <r>
    <s v="EV-0236"/>
    <x v="6"/>
    <x v="4"/>
    <x v="0"/>
    <x v="87"/>
    <x v="2"/>
    <x v="6"/>
    <n v="15921"/>
    <x v="1"/>
    <x v="1"/>
    <x v="2"/>
    <x v="0"/>
    <n v="3.82"/>
    <x v="2"/>
  </r>
  <r>
    <s v="EV-0376"/>
    <x v="5"/>
    <x v="0"/>
    <x v="0"/>
    <x v="88"/>
    <x v="2"/>
    <x v="115"/>
    <n v="97022"/>
    <x v="1"/>
    <x v="0"/>
    <x v="2"/>
    <x v="2"/>
    <n v="13.35"/>
    <x v="2"/>
  </r>
  <r>
    <s v="EV-0108"/>
    <x v="3"/>
    <x v="3"/>
    <x v="0"/>
    <x v="89"/>
    <x v="1"/>
    <x v="116"/>
    <n v="124272"/>
    <x v="1"/>
    <x v="1"/>
    <x v="0"/>
    <x v="2"/>
    <n v="10.77"/>
    <x v="1"/>
  </r>
  <r>
    <s v="EV-0354"/>
    <x v="1"/>
    <x v="4"/>
    <x v="1"/>
    <x v="89"/>
    <x v="2"/>
    <x v="117"/>
    <n v="1548"/>
    <x v="1"/>
    <x v="1"/>
    <x v="0"/>
    <x v="1"/>
    <n v="9.09"/>
    <x v="2"/>
  </r>
  <r>
    <s v="EV-0074"/>
    <x v="3"/>
    <x v="1"/>
    <x v="1"/>
    <x v="90"/>
    <x v="3"/>
    <x v="118"/>
    <n v="4389"/>
    <x v="2"/>
    <x v="1"/>
    <x v="0"/>
    <x v="1"/>
    <n v="10.88"/>
    <x v="3"/>
  </r>
  <r>
    <s v="EV-0395"/>
    <x v="5"/>
    <x v="4"/>
    <x v="0"/>
    <x v="91"/>
    <x v="0"/>
    <x v="119"/>
    <n v="129621"/>
    <x v="0"/>
    <x v="0"/>
    <x v="0"/>
    <x v="2"/>
    <n v="12.48"/>
    <x v="0"/>
  </r>
  <r>
    <s v="EV-0422"/>
    <x v="3"/>
    <x v="1"/>
    <x v="0"/>
    <x v="92"/>
    <x v="3"/>
    <x v="120"/>
    <n v="78016"/>
    <x v="2"/>
    <x v="1"/>
    <x v="0"/>
    <x v="2"/>
    <n v="8.7200000000000006"/>
    <x v="3"/>
  </r>
  <r>
    <s v="EV-0120"/>
    <x v="2"/>
    <x v="1"/>
    <x v="0"/>
    <x v="93"/>
    <x v="3"/>
    <x v="121"/>
    <n v="9833"/>
    <x v="2"/>
    <x v="1"/>
    <x v="1"/>
    <x v="1"/>
    <n v="9.5299999999999994"/>
    <x v="3"/>
  </r>
  <r>
    <s v="EV-0278"/>
    <x v="6"/>
    <x v="1"/>
    <x v="0"/>
    <x v="93"/>
    <x v="2"/>
    <x v="122"/>
    <n v="108146"/>
    <x v="1"/>
    <x v="1"/>
    <x v="1"/>
    <x v="2"/>
    <n v="13.55"/>
    <x v="2"/>
  </r>
  <r>
    <s v="EV-0026"/>
    <x v="3"/>
    <x v="1"/>
    <x v="0"/>
    <x v="94"/>
    <x v="2"/>
    <x v="123"/>
    <n v="144694"/>
    <x v="1"/>
    <x v="1"/>
    <x v="1"/>
    <x v="2"/>
    <n v="14.92"/>
    <x v="2"/>
  </r>
  <r>
    <s v="EV-0206"/>
    <x v="1"/>
    <x v="1"/>
    <x v="0"/>
    <x v="94"/>
    <x v="3"/>
    <x v="124"/>
    <n v="115541"/>
    <x v="2"/>
    <x v="0"/>
    <x v="1"/>
    <x v="2"/>
    <n v="10.57"/>
    <x v="3"/>
  </r>
  <r>
    <s v="EV-0008"/>
    <x v="0"/>
    <x v="3"/>
    <x v="0"/>
    <x v="95"/>
    <x v="1"/>
    <x v="125"/>
    <n v="86495"/>
    <x v="1"/>
    <x v="0"/>
    <x v="1"/>
    <x v="0"/>
    <n v="12.62"/>
    <x v="1"/>
  </r>
  <r>
    <s v="EV-0140"/>
    <x v="7"/>
    <x v="0"/>
    <x v="1"/>
    <x v="95"/>
    <x v="3"/>
    <x v="126"/>
    <n v="2943"/>
    <x v="2"/>
    <x v="1"/>
    <x v="1"/>
    <x v="1"/>
    <n v="10.56"/>
    <x v="3"/>
  </r>
  <r>
    <s v="EV-0159"/>
    <x v="5"/>
    <x v="4"/>
    <x v="0"/>
    <x v="96"/>
    <x v="1"/>
    <x v="127"/>
    <n v="87689"/>
    <x v="1"/>
    <x v="1"/>
    <x v="1"/>
    <x v="2"/>
    <n v="8.6300000000000008"/>
    <x v="1"/>
  </r>
  <r>
    <s v="EV-0163"/>
    <x v="6"/>
    <x v="3"/>
    <x v="0"/>
    <x v="97"/>
    <x v="3"/>
    <x v="128"/>
    <n v="34399"/>
    <x v="2"/>
    <x v="1"/>
    <x v="2"/>
    <x v="0"/>
    <n v="10.58"/>
    <x v="3"/>
  </r>
  <r>
    <s v="EV-0081"/>
    <x v="0"/>
    <x v="1"/>
    <x v="0"/>
    <x v="98"/>
    <x v="3"/>
    <x v="113"/>
    <n v="127341"/>
    <x v="2"/>
    <x v="1"/>
    <x v="1"/>
    <x v="0"/>
    <n v="39.020000000000003"/>
    <x v="3"/>
  </r>
  <r>
    <s v="EV-0482"/>
    <x v="6"/>
    <x v="4"/>
    <x v="1"/>
    <x v="99"/>
    <x v="0"/>
    <x v="129"/>
    <n v="475"/>
    <x v="0"/>
    <x v="0"/>
    <x v="1"/>
    <x v="1"/>
    <n v="8.3699999999999992"/>
    <x v="0"/>
  </r>
  <r>
    <s v="EV-0064"/>
    <x v="5"/>
    <x v="0"/>
    <x v="3"/>
    <x v="100"/>
    <x v="1"/>
    <x v="130"/>
    <n v="894"/>
    <x v="1"/>
    <x v="1"/>
    <x v="0"/>
    <x v="1"/>
    <n v="12.93"/>
    <x v="1"/>
  </r>
  <r>
    <s v="EV-0267"/>
    <x v="1"/>
    <x v="1"/>
    <x v="0"/>
    <x v="101"/>
    <x v="1"/>
    <x v="131"/>
    <n v="81492"/>
    <x v="1"/>
    <x v="0"/>
    <x v="1"/>
    <x v="2"/>
    <n v="10.25"/>
    <x v="1"/>
  </r>
  <r>
    <s v="EV-0448"/>
    <x v="3"/>
    <x v="1"/>
    <x v="0"/>
    <x v="102"/>
    <x v="2"/>
    <x v="132"/>
    <n v="51215"/>
    <x v="1"/>
    <x v="1"/>
    <x v="0"/>
    <x v="0"/>
    <n v="8.26"/>
    <x v="2"/>
  </r>
  <r>
    <s v="EV-0383"/>
    <x v="2"/>
    <x v="3"/>
    <x v="0"/>
    <x v="103"/>
    <x v="1"/>
    <x v="133"/>
    <n v="73940"/>
    <x v="1"/>
    <x v="0"/>
    <x v="0"/>
    <x v="2"/>
    <n v="9.61"/>
    <x v="1"/>
  </r>
  <r>
    <s v="EV-0078"/>
    <x v="1"/>
    <x v="3"/>
    <x v="1"/>
    <x v="104"/>
    <x v="0"/>
    <x v="134"/>
    <n v="1208"/>
    <x v="0"/>
    <x v="0"/>
    <x v="1"/>
    <x v="1"/>
    <n v="12.27"/>
    <x v="0"/>
  </r>
  <r>
    <s v="EV-0269"/>
    <x v="5"/>
    <x v="3"/>
    <x v="1"/>
    <x v="105"/>
    <x v="2"/>
    <x v="135"/>
    <n v="1866"/>
    <x v="1"/>
    <x v="0"/>
    <x v="0"/>
    <x v="1"/>
    <n v="8.8800000000000008"/>
    <x v="2"/>
  </r>
  <r>
    <s v="EV-0457"/>
    <x v="1"/>
    <x v="3"/>
    <x v="0"/>
    <x v="105"/>
    <x v="0"/>
    <x v="136"/>
    <n v="153350"/>
    <x v="0"/>
    <x v="1"/>
    <x v="0"/>
    <x v="2"/>
    <n v="14.68"/>
    <x v="0"/>
  </r>
  <r>
    <s v="EV-0153"/>
    <x v="1"/>
    <x v="0"/>
    <x v="0"/>
    <x v="106"/>
    <x v="1"/>
    <x v="85"/>
    <n v="104691"/>
    <x v="1"/>
    <x v="0"/>
    <x v="1"/>
    <x v="0"/>
    <n v="29.32"/>
    <x v="1"/>
  </r>
  <r>
    <s v="EV-0121"/>
    <x v="3"/>
    <x v="1"/>
    <x v="0"/>
    <x v="107"/>
    <x v="1"/>
    <x v="137"/>
    <n v="110247"/>
    <x v="1"/>
    <x v="0"/>
    <x v="2"/>
    <x v="2"/>
    <n v="9.33"/>
    <x v="1"/>
  </r>
  <r>
    <s v="EV-0320"/>
    <x v="5"/>
    <x v="3"/>
    <x v="2"/>
    <x v="108"/>
    <x v="3"/>
    <x v="138"/>
    <n v="35565"/>
    <x v="2"/>
    <x v="0"/>
    <x v="1"/>
    <x v="0"/>
    <n v="11.89"/>
    <x v="3"/>
  </r>
  <r>
    <s v="EV-0188"/>
    <x v="2"/>
    <x v="4"/>
    <x v="2"/>
    <x v="109"/>
    <x v="2"/>
    <x v="139"/>
    <n v="13045"/>
    <x v="1"/>
    <x v="1"/>
    <x v="0"/>
    <x v="1"/>
    <n v="10.6"/>
    <x v="2"/>
  </r>
  <r>
    <s v="EV-0065"/>
    <x v="5"/>
    <x v="0"/>
    <x v="0"/>
    <x v="110"/>
    <x v="0"/>
    <x v="140"/>
    <n v="83066"/>
    <x v="0"/>
    <x v="1"/>
    <x v="1"/>
    <x v="2"/>
    <n v="8.6999999999999993"/>
    <x v="0"/>
  </r>
  <r>
    <s v="EV-0228"/>
    <x v="4"/>
    <x v="0"/>
    <x v="0"/>
    <x v="110"/>
    <x v="0"/>
    <x v="141"/>
    <n v="154455"/>
    <x v="0"/>
    <x v="1"/>
    <x v="1"/>
    <x v="2"/>
    <n v="13.42"/>
    <x v="0"/>
  </r>
  <r>
    <s v="EV-0337"/>
    <x v="0"/>
    <x v="4"/>
    <x v="0"/>
    <x v="111"/>
    <x v="3"/>
    <x v="142"/>
    <n v="123142"/>
    <x v="2"/>
    <x v="0"/>
    <x v="1"/>
    <x v="2"/>
    <n v="10.46"/>
    <x v="3"/>
  </r>
  <r>
    <s v="EV-0382"/>
    <x v="6"/>
    <x v="2"/>
    <x v="1"/>
    <x v="111"/>
    <x v="3"/>
    <x v="143"/>
    <n v="4473"/>
    <x v="2"/>
    <x v="0"/>
    <x v="1"/>
    <x v="1"/>
    <n v="11.73"/>
    <x v="3"/>
  </r>
  <r>
    <s v="EV-0311"/>
    <x v="4"/>
    <x v="1"/>
    <x v="3"/>
    <x v="112"/>
    <x v="2"/>
    <x v="144"/>
    <n v="749"/>
    <x v="1"/>
    <x v="1"/>
    <x v="0"/>
    <x v="1"/>
    <n v="8.36"/>
    <x v="2"/>
  </r>
  <r>
    <s v="EV-0136"/>
    <x v="5"/>
    <x v="2"/>
    <x v="0"/>
    <x v="113"/>
    <x v="1"/>
    <x v="85"/>
    <n v="42966"/>
    <x v="1"/>
    <x v="0"/>
    <x v="0"/>
    <x v="0"/>
    <n v="12.03"/>
    <x v="1"/>
  </r>
  <r>
    <s v="EV-0149"/>
    <x v="1"/>
    <x v="2"/>
    <x v="3"/>
    <x v="114"/>
    <x v="2"/>
    <x v="145"/>
    <n v="1206"/>
    <x v="1"/>
    <x v="1"/>
    <x v="0"/>
    <x v="1"/>
    <n v="13.63"/>
    <x v="2"/>
  </r>
  <r>
    <s v="EV-0408"/>
    <x v="1"/>
    <x v="0"/>
    <x v="0"/>
    <x v="114"/>
    <x v="2"/>
    <x v="6"/>
    <n v="2334"/>
    <x v="1"/>
    <x v="1"/>
    <x v="0"/>
    <x v="0"/>
    <n v="0.56000000000000005"/>
    <x v="2"/>
  </r>
  <r>
    <s v="EV-0174"/>
    <x v="5"/>
    <x v="1"/>
    <x v="0"/>
    <x v="115"/>
    <x v="3"/>
    <x v="146"/>
    <n v="64678"/>
    <x v="2"/>
    <x v="0"/>
    <x v="0"/>
    <x v="0"/>
    <n v="12.27"/>
    <x v="3"/>
  </r>
  <r>
    <s v="EV-0466"/>
    <x v="4"/>
    <x v="0"/>
    <x v="0"/>
    <x v="115"/>
    <x v="2"/>
    <x v="147"/>
    <n v="62276"/>
    <x v="1"/>
    <x v="0"/>
    <x v="0"/>
    <x v="0"/>
    <n v="11.15"/>
    <x v="2"/>
  </r>
  <r>
    <s v="EV-0155"/>
    <x v="1"/>
    <x v="2"/>
    <x v="0"/>
    <x v="116"/>
    <x v="0"/>
    <x v="148"/>
    <n v="29644"/>
    <x v="0"/>
    <x v="0"/>
    <x v="0"/>
    <x v="0"/>
    <n v="12.72"/>
    <x v="0"/>
  </r>
  <r>
    <s v="EV-0047"/>
    <x v="5"/>
    <x v="3"/>
    <x v="0"/>
    <x v="117"/>
    <x v="2"/>
    <x v="149"/>
    <n v="69272"/>
    <x v="1"/>
    <x v="0"/>
    <x v="2"/>
    <x v="2"/>
    <n v="8.56"/>
    <x v="2"/>
  </r>
  <r>
    <s v="EV-0299"/>
    <x v="2"/>
    <x v="0"/>
    <x v="1"/>
    <x v="118"/>
    <x v="0"/>
    <x v="150"/>
    <n v="1847"/>
    <x v="0"/>
    <x v="1"/>
    <x v="0"/>
    <x v="1"/>
    <n v="13.21"/>
    <x v="0"/>
  </r>
  <r>
    <s v="EV-0347"/>
    <x v="6"/>
    <x v="1"/>
    <x v="0"/>
    <x v="118"/>
    <x v="0"/>
    <x v="151"/>
    <n v="126921"/>
    <x v="0"/>
    <x v="0"/>
    <x v="0"/>
    <x v="2"/>
    <n v="11.18"/>
    <x v="0"/>
  </r>
  <r>
    <s v="EV-0218"/>
    <x v="6"/>
    <x v="3"/>
    <x v="0"/>
    <x v="119"/>
    <x v="3"/>
    <x v="152"/>
    <n v="30910"/>
    <x v="2"/>
    <x v="0"/>
    <x v="1"/>
    <x v="0"/>
    <n v="8.35"/>
    <x v="3"/>
  </r>
  <r>
    <s v="EV-0029"/>
    <x v="2"/>
    <x v="2"/>
    <x v="0"/>
    <x v="120"/>
    <x v="3"/>
    <x v="153"/>
    <n v="23230"/>
    <x v="2"/>
    <x v="0"/>
    <x v="0"/>
    <x v="0"/>
    <n v="9.06"/>
    <x v="3"/>
  </r>
  <r>
    <s v="EV-0096"/>
    <x v="4"/>
    <x v="2"/>
    <x v="0"/>
    <x v="120"/>
    <x v="1"/>
    <x v="154"/>
    <n v="90399"/>
    <x v="1"/>
    <x v="0"/>
    <x v="0"/>
    <x v="2"/>
    <n v="12.83"/>
    <x v="1"/>
  </r>
  <r>
    <s v="EV-0124"/>
    <x v="1"/>
    <x v="2"/>
    <x v="0"/>
    <x v="121"/>
    <x v="2"/>
    <x v="155"/>
    <n v="76721"/>
    <x v="1"/>
    <x v="0"/>
    <x v="1"/>
    <x v="0"/>
    <n v="13.37"/>
    <x v="2"/>
  </r>
  <r>
    <s v="EV-0411"/>
    <x v="5"/>
    <x v="1"/>
    <x v="1"/>
    <x v="121"/>
    <x v="0"/>
    <x v="156"/>
    <n v="3936"/>
    <x v="0"/>
    <x v="1"/>
    <x v="1"/>
    <x v="1"/>
    <n v="9.5500000000000007"/>
    <x v="0"/>
  </r>
  <r>
    <s v="EV-0425"/>
    <x v="1"/>
    <x v="0"/>
    <x v="0"/>
    <x v="121"/>
    <x v="0"/>
    <x v="24"/>
    <n v="47370"/>
    <x v="0"/>
    <x v="0"/>
    <x v="1"/>
    <x v="0"/>
    <n v="11.42"/>
    <x v="0"/>
  </r>
  <r>
    <s v="EV-0361"/>
    <x v="4"/>
    <x v="3"/>
    <x v="3"/>
    <x v="122"/>
    <x v="3"/>
    <x v="157"/>
    <n v="1258"/>
    <x v="2"/>
    <x v="1"/>
    <x v="1"/>
    <x v="1"/>
    <n v="10.9"/>
    <x v="3"/>
  </r>
  <r>
    <s v="EV-0066"/>
    <x v="2"/>
    <x v="0"/>
    <x v="1"/>
    <x v="123"/>
    <x v="2"/>
    <x v="158"/>
    <n v="2000"/>
    <x v="1"/>
    <x v="1"/>
    <x v="0"/>
    <x v="1"/>
    <n v="9.16"/>
    <x v="2"/>
  </r>
  <r>
    <s v="EV-0410"/>
    <x v="1"/>
    <x v="2"/>
    <x v="2"/>
    <x v="124"/>
    <x v="1"/>
    <x v="159"/>
    <n v="24136"/>
    <x v="1"/>
    <x v="1"/>
    <x v="0"/>
    <x v="1"/>
    <n v="13.22"/>
    <x v="1"/>
  </r>
  <r>
    <s v="EV-0346"/>
    <x v="1"/>
    <x v="1"/>
    <x v="2"/>
    <x v="125"/>
    <x v="0"/>
    <x v="160"/>
    <n v="10072"/>
    <x v="0"/>
    <x v="0"/>
    <x v="1"/>
    <x v="1"/>
    <n v="10.63"/>
    <x v="0"/>
  </r>
  <r>
    <s v="EV-0344"/>
    <x v="4"/>
    <x v="0"/>
    <x v="2"/>
    <x v="126"/>
    <x v="2"/>
    <x v="161"/>
    <n v="2005"/>
    <x v="1"/>
    <x v="1"/>
    <x v="2"/>
    <x v="1"/>
    <n v="8.64"/>
    <x v="2"/>
  </r>
  <r>
    <s v="EV-0464"/>
    <x v="2"/>
    <x v="2"/>
    <x v="0"/>
    <x v="127"/>
    <x v="0"/>
    <x v="162"/>
    <n v="88167"/>
    <x v="0"/>
    <x v="0"/>
    <x v="1"/>
    <x v="2"/>
    <n v="11.51"/>
    <x v="0"/>
  </r>
  <r>
    <s v="EV-0196"/>
    <x v="5"/>
    <x v="2"/>
    <x v="0"/>
    <x v="128"/>
    <x v="3"/>
    <x v="163"/>
    <n v="50345"/>
    <x v="2"/>
    <x v="0"/>
    <x v="2"/>
    <x v="0"/>
    <n v="13.84"/>
    <x v="3"/>
  </r>
  <r>
    <s v="EV-0209"/>
    <x v="1"/>
    <x v="2"/>
    <x v="1"/>
    <x v="128"/>
    <x v="0"/>
    <x v="164"/>
    <n v="354"/>
    <x v="0"/>
    <x v="0"/>
    <x v="2"/>
    <x v="1"/>
    <n v="8.42"/>
    <x v="0"/>
  </r>
  <r>
    <s v="EV-0230"/>
    <x v="6"/>
    <x v="0"/>
    <x v="0"/>
    <x v="129"/>
    <x v="1"/>
    <x v="165"/>
    <n v="10429"/>
    <x v="1"/>
    <x v="1"/>
    <x v="2"/>
    <x v="1"/>
    <n v="12.17"/>
    <x v="1"/>
  </r>
  <r>
    <s v="EV-0055"/>
    <x v="2"/>
    <x v="2"/>
    <x v="2"/>
    <x v="130"/>
    <x v="2"/>
    <x v="166"/>
    <n v="30017"/>
    <x v="1"/>
    <x v="0"/>
    <x v="1"/>
    <x v="0"/>
    <n v="11.79"/>
    <x v="2"/>
  </r>
  <r>
    <s v="EV-0256"/>
    <x v="2"/>
    <x v="4"/>
    <x v="3"/>
    <x v="131"/>
    <x v="0"/>
    <x v="167"/>
    <n v="613"/>
    <x v="0"/>
    <x v="1"/>
    <x v="0"/>
    <x v="1"/>
    <n v="12.61"/>
    <x v="0"/>
  </r>
  <r>
    <s v="EV-0421"/>
    <x v="3"/>
    <x v="3"/>
    <x v="0"/>
    <x v="131"/>
    <x v="1"/>
    <x v="168"/>
    <n v="96918"/>
    <x v="1"/>
    <x v="1"/>
    <x v="0"/>
    <x v="2"/>
    <n v="9.0299999999999994"/>
    <x v="1"/>
  </r>
  <r>
    <s v="EV-0131"/>
    <x v="4"/>
    <x v="0"/>
    <x v="0"/>
    <x v="132"/>
    <x v="1"/>
    <x v="169"/>
    <n v="69225"/>
    <x v="1"/>
    <x v="0"/>
    <x v="1"/>
    <x v="2"/>
    <n v="8.23"/>
    <x v="1"/>
  </r>
  <r>
    <s v="EV-0184"/>
    <x v="1"/>
    <x v="2"/>
    <x v="2"/>
    <x v="133"/>
    <x v="3"/>
    <x v="170"/>
    <n v="15594"/>
    <x v="2"/>
    <x v="0"/>
    <x v="0"/>
    <x v="1"/>
    <n v="8.81"/>
    <x v="3"/>
  </r>
  <r>
    <s v="EV-0443"/>
    <x v="4"/>
    <x v="3"/>
    <x v="0"/>
    <x v="134"/>
    <x v="2"/>
    <x v="171"/>
    <n v="70532"/>
    <x v="1"/>
    <x v="0"/>
    <x v="1"/>
    <x v="0"/>
    <n v="13.57"/>
    <x v="2"/>
  </r>
  <r>
    <s v="EV-0450"/>
    <x v="1"/>
    <x v="2"/>
    <x v="1"/>
    <x v="135"/>
    <x v="2"/>
    <x v="172"/>
    <n v="2004"/>
    <x v="1"/>
    <x v="0"/>
    <x v="0"/>
    <x v="1"/>
    <n v="10.01"/>
    <x v="2"/>
  </r>
  <r>
    <s v="EV-0264"/>
    <x v="2"/>
    <x v="2"/>
    <x v="0"/>
    <x v="136"/>
    <x v="3"/>
    <x v="173"/>
    <n v="86058"/>
    <x v="2"/>
    <x v="0"/>
    <x v="1"/>
    <x v="0"/>
    <n v="12.99"/>
    <x v="3"/>
  </r>
  <r>
    <s v="EV-0498"/>
    <x v="1"/>
    <x v="2"/>
    <x v="0"/>
    <x v="137"/>
    <x v="3"/>
    <x v="174"/>
    <n v="16461"/>
    <x v="2"/>
    <x v="0"/>
    <x v="0"/>
    <x v="1"/>
    <n v="12.63"/>
    <x v="3"/>
  </r>
  <r>
    <s v="EV-0242"/>
    <x v="7"/>
    <x v="4"/>
    <x v="3"/>
    <x v="138"/>
    <x v="2"/>
    <x v="175"/>
    <n v="1563"/>
    <x v="1"/>
    <x v="0"/>
    <x v="1"/>
    <x v="1"/>
    <n v="8.11"/>
    <x v="2"/>
  </r>
  <r>
    <s v="EV-0107"/>
    <x v="4"/>
    <x v="0"/>
    <x v="0"/>
    <x v="139"/>
    <x v="0"/>
    <x v="176"/>
    <n v="132965"/>
    <x v="0"/>
    <x v="0"/>
    <x v="0"/>
    <x v="2"/>
    <n v="13.81"/>
    <x v="0"/>
  </r>
  <r>
    <s v="EV-0330"/>
    <x v="5"/>
    <x v="3"/>
    <x v="0"/>
    <x v="139"/>
    <x v="0"/>
    <x v="177"/>
    <n v="103461"/>
    <x v="0"/>
    <x v="1"/>
    <x v="0"/>
    <x v="2"/>
    <n v="12.26"/>
    <x v="0"/>
  </r>
  <r>
    <s v="EV-0199"/>
    <x v="0"/>
    <x v="2"/>
    <x v="0"/>
    <x v="140"/>
    <x v="1"/>
    <x v="85"/>
    <n v="81578"/>
    <x v="1"/>
    <x v="0"/>
    <x v="1"/>
    <x v="0"/>
    <n v="22.84"/>
    <x v="1"/>
  </r>
  <r>
    <s v="EV-0332"/>
    <x v="3"/>
    <x v="0"/>
    <x v="0"/>
    <x v="141"/>
    <x v="0"/>
    <x v="178"/>
    <n v="115611"/>
    <x v="0"/>
    <x v="0"/>
    <x v="1"/>
    <x v="2"/>
    <n v="12.85"/>
    <x v="0"/>
  </r>
  <r>
    <s v="EV-0158"/>
    <x v="3"/>
    <x v="3"/>
    <x v="0"/>
    <x v="142"/>
    <x v="3"/>
    <x v="179"/>
    <n v="108841"/>
    <x v="2"/>
    <x v="0"/>
    <x v="1"/>
    <x v="2"/>
    <n v="11.9"/>
    <x v="3"/>
  </r>
  <r>
    <s v="EV-0364"/>
    <x v="2"/>
    <x v="2"/>
    <x v="0"/>
    <x v="143"/>
    <x v="3"/>
    <x v="113"/>
    <n v="35034"/>
    <x v="2"/>
    <x v="0"/>
    <x v="2"/>
    <x v="0"/>
    <n v="10.73"/>
    <x v="3"/>
  </r>
  <r>
    <s v="EV-0473"/>
    <x v="1"/>
    <x v="2"/>
    <x v="2"/>
    <x v="144"/>
    <x v="0"/>
    <x v="180"/>
    <n v="2380"/>
    <x v="0"/>
    <x v="0"/>
    <x v="1"/>
    <x v="1"/>
    <n v="12.95"/>
    <x v="0"/>
  </r>
  <r>
    <s v="EV-0094"/>
    <x v="2"/>
    <x v="0"/>
    <x v="0"/>
    <x v="145"/>
    <x v="2"/>
    <x v="181"/>
    <n v="91892"/>
    <x v="1"/>
    <x v="0"/>
    <x v="0"/>
    <x v="2"/>
    <n v="10.09"/>
    <x v="2"/>
  </r>
  <r>
    <s v="EV-0380"/>
    <x v="5"/>
    <x v="2"/>
    <x v="0"/>
    <x v="146"/>
    <x v="0"/>
    <x v="182"/>
    <n v="127122"/>
    <x v="0"/>
    <x v="1"/>
    <x v="1"/>
    <x v="2"/>
    <n v="11.01"/>
    <x v="0"/>
  </r>
  <r>
    <s v="EV-0416"/>
    <x v="4"/>
    <x v="2"/>
    <x v="2"/>
    <x v="146"/>
    <x v="2"/>
    <x v="183"/>
    <n v="11858"/>
    <x v="1"/>
    <x v="0"/>
    <x v="1"/>
    <x v="1"/>
    <n v="9.36"/>
    <x v="2"/>
  </r>
  <r>
    <s v="EV-0110"/>
    <x v="1"/>
    <x v="3"/>
    <x v="0"/>
    <x v="147"/>
    <x v="2"/>
    <x v="184"/>
    <n v="113523"/>
    <x v="1"/>
    <x v="1"/>
    <x v="0"/>
    <x v="2"/>
    <n v="14.06"/>
    <x v="2"/>
  </r>
  <r>
    <s v="EV-0335"/>
    <x v="1"/>
    <x v="4"/>
    <x v="0"/>
    <x v="148"/>
    <x v="3"/>
    <x v="185"/>
    <n v="123265"/>
    <x v="2"/>
    <x v="0"/>
    <x v="0"/>
    <x v="2"/>
    <n v="13.34"/>
    <x v="3"/>
  </r>
  <r>
    <s v="EV-0353"/>
    <x v="6"/>
    <x v="3"/>
    <x v="0"/>
    <x v="149"/>
    <x v="3"/>
    <x v="186"/>
    <n v="85174"/>
    <x v="2"/>
    <x v="0"/>
    <x v="1"/>
    <x v="0"/>
    <n v="14.18"/>
    <x v="3"/>
  </r>
  <r>
    <s v="EV-0054"/>
    <x v="0"/>
    <x v="2"/>
    <x v="0"/>
    <x v="150"/>
    <x v="0"/>
    <x v="187"/>
    <n v="94915"/>
    <x v="0"/>
    <x v="0"/>
    <x v="2"/>
    <x v="2"/>
    <n v="11.42"/>
    <x v="0"/>
  </r>
  <r>
    <s v="EV-0461"/>
    <x v="1"/>
    <x v="1"/>
    <x v="0"/>
    <x v="151"/>
    <x v="0"/>
    <x v="188"/>
    <n v="69762"/>
    <x v="0"/>
    <x v="1"/>
    <x v="1"/>
    <x v="0"/>
    <n v="12"/>
    <x v="0"/>
  </r>
  <r>
    <s v="EV-0304"/>
    <x v="6"/>
    <x v="2"/>
    <x v="1"/>
    <x v="152"/>
    <x v="0"/>
    <x v="189"/>
    <n v="1140"/>
    <x v="0"/>
    <x v="0"/>
    <x v="0"/>
    <x v="1"/>
    <n v="11.93"/>
    <x v="0"/>
  </r>
  <r>
    <s v="EV-0234"/>
    <x v="4"/>
    <x v="3"/>
    <x v="2"/>
    <x v="153"/>
    <x v="3"/>
    <x v="190"/>
    <n v="9328"/>
    <x v="2"/>
    <x v="1"/>
    <x v="2"/>
    <x v="1"/>
    <n v="11.78"/>
    <x v="3"/>
  </r>
  <r>
    <s v="EV-0397"/>
    <x v="0"/>
    <x v="3"/>
    <x v="0"/>
    <x v="154"/>
    <x v="3"/>
    <x v="191"/>
    <n v="34503"/>
    <x v="2"/>
    <x v="1"/>
    <x v="0"/>
    <x v="0"/>
    <n v="10.84"/>
    <x v="3"/>
  </r>
  <r>
    <s v="EV-0060"/>
    <x v="5"/>
    <x v="2"/>
    <x v="1"/>
    <x v="155"/>
    <x v="2"/>
    <x v="192"/>
    <n v="2785"/>
    <x v="1"/>
    <x v="0"/>
    <x v="2"/>
    <x v="1"/>
    <n v="9.59"/>
    <x v="2"/>
  </r>
  <r>
    <s v="EV-0250"/>
    <x v="0"/>
    <x v="1"/>
    <x v="1"/>
    <x v="155"/>
    <x v="3"/>
    <x v="193"/>
    <n v="5519"/>
    <x v="2"/>
    <x v="0"/>
    <x v="2"/>
    <x v="1"/>
    <n v="12.16"/>
    <x v="3"/>
  </r>
  <r>
    <s v="EV-0208"/>
    <x v="6"/>
    <x v="3"/>
    <x v="0"/>
    <x v="156"/>
    <x v="2"/>
    <x v="194"/>
    <n v="101668"/>
    <x v="1"/>
    <x v="0"/>
    <x v="0"/>
    <x v="2"/>
    <n v="12.51"/>
    <x v="2"/>
  </r>
  <r>
    <s v="EV-0258"/>
    <x v="6"/>
    <x v="3"/>
    <x v="0"/>
    <x v="156"/>
    <x v="1"/>
    <x v="195"/>
    <n v="49616"/>
    <x v="1"/>
    <x v="1"/>
    <x v="0"/>
    <x v="0"/>
    <n v="12.5"/>
    <x v="1"/>
  </r>
  <r>
    <s v="EV-0286"/>
    <x v="1"/>
    <x v="2"/>
    <x v="0"/>
    <x v="157"/>
    <x v="3"/>
    <x v="196"/>
    <n v="36212"/>
    <x v="2"/>
    <x v="1"/>
    <x v="0"/>
    <x v="0"/>
    <n v="10.9"/>
    <x v="3"/>
  </r>
  <r>
    <s v="EV-0414"/>
    <x v="2"/>
    <x v="1"/>
    <x v="0"/>
    <x v="157"/>
    <x v="0"/>
    <x v="197"/>
    <n v="73228"/>
    <x v="0"/>
    <x v="1"/>
    <x v="0"/>
    <x v="0"/>
    <n v="12.43"/>
    <x v="0"/>
  </r>
  <r>
    <s v="EV-0001"/>
    <x v="4"/>
    <x v="2"/>
    <x v="3"/>
    <x v="158"/>
    <x v="3"/>
    <x v="198"/>
    <n v="1164"/>
    <x v="2"/>
    <x v="0"/>
    <x v="0"/>
    <x v="1"/>
    <n v="10.38"/>
    <x v="3"/>
  </r>
  <r>
    <s v="EV-0375"/>
    <x v="1"/>
    <x v="4"/>
    <x v="1"/>
    <x v="159"/>
    <x v="3"/>
    <x v="199"/>
    <n v="1988"/>
    <x v="2"/>
    <x v="1"/>
    <x v="0"/>
    <x v="1"/>
    <n v="13.37"/>
    <x v="3"/>
  </r>
  <r>
    <s v="EV-0007"/>
    <x v="1"/>
    <x v="4"/>
    <x v="2"/>
    <x v="160"/>
    <x v="3"/>
    <x v="200"/>
    <n v="14118"/>
    <x v="2"/>
    <x v="0"/>
    <x v="1"/>
    <x v="1"/>
    <n v="12.06"/>
    <x v="3"/>
  </r>
  <r>
    <s v="EV-0241"/>
    <x v="7"/>
    <x v="2"/>
    <x v="0"/>
    <x v="161"/>
    <x v="3"/>
    <x v="201"/>
    <n v="90524"/>
    <x v="2"/>
    <x v="0"/>
    <x v="0"/>
    <x v="2"/>
    <n v="12.12"/>
    <x v="3"/>
  </r>
  <r>
    <s v="EV-0106"/>
    <x v="5"/>
    <x v="3"/>
    <x v="3"/>
    <x v="162"/>
    <x v="3"/>
    <x v="202"/>
    <n v="834"/>
    <x v="2"/>
    <x v="1"/>
    <x v="1"/>
    <x v="1"/>
    <n v="8.15"/>
    <x v="3"/>
  </r>
  <r>
    <s v="EV-0481"/>
    <x v="2"/>
    <x v="1"/>
    <x v="0"/>
    <x v="163"/>
    <x v="1"/>
    <x v="203"/>
    <n v="129769"/>
    <x v="1"/>
    <x v="0"/>
    <x v="2"/>
    <x v="2"/>
    <n v="12.75"/>
    <x v="1"/>
  </r>
  <r>
    <s v="EV-0456"/>
    <x v="4"/>
    <x v="2"/>
    <x v="0"/>
    <x v="164"/>
    <x v="0"/>
    <x v="204"/>
    <n v="113196"/>
    <x v="0"/>
    <x v="0"/>
    <x v="2"/>
    <x v="2"/>
    <n v="12.06"/>
    <x v="0"/>
  </r>
  <r>
    <s v="EV-0460"/>
    <x v="1"/>
    <x v="0"/>
    <x v="0"/>
    <x v="165"/>
    <x v="1"/>
    <x v="205"/>
    <n v="150783"/>
    <x v="1"/>
    <x v="1"/>
    <x v="1"/>
    <x v="2"/>
    <n v="14.36"/>
    <x v="1"/>
  </r>
  <r>
    <s v="EV-0433"/>
    <x v="2"/>
    <x v="4"/>
    <x v="1"/>
    <x v="166"/>
    <x v="3"/>
    <x v="206"/>
    <n v="4872"/>
    <x v="2"/>
    <x v="0"/>
    <x v="1"/>
    <x v="1"/>
    <n v="12.77"/>
    <x v="3"/>
  </r>
  <r>
    <s v="EV-0038"/>
    <x v="1"/>
    <x v="2"/>
    <x v="2"/>
    <x v="167"/>
    <x v="2"/>
    <x v="207"/>
    <n v="9805"/>
    <x v="1"/>
    <x v="0"/>
    <x v="2"/>
    <x v="1"/>
    <n v="8.11"/>
    <x v="2"/>
  </r>
  <r>
    <s v="EV-0316"/>
    <x v="6"/>
    <x v="2"/>
    <x v="1"/>
    <x v="168"/>
    <x v="0"/>
    <x v="208"/>
    <n v="3015"/>
    <x v="0"/>
    <x v="0"/>
    <x v="0"/>
    <x v="1"/>
    <n v="9.08"/>
    <x v="0"/>
  </r>
  <r>
    <s v="EV-0076"/>
    <x v="6"/>
    <x v="2"/>
    <x v="0"/>
    <x v="169"/>
    <x v="2"/>
    <x v="209"/>
    <n v="104763"/>
    <x v="1"/>
    <x v="0"/>
    <x v="1"/>
    <x v="2"/>
    <n v="9.26"/>
    <x v="2"/>
  </r>
  <r>
    <s v="EV-0104"/>
    <x v="4"/>
    <x v="4"/>
    <x v="0"/>
    <x v="170"/>
    <x v="3"/>
    <x v="210"/>
    <n v="56202"/>
    <x v="2"/>
    <x v="0"/>
    <x v="2"/>
    <x v="0"/>
    <n v="10.07"/>
    <x v="3"/>
  </r>
  <r>
    <s v="EV-0309"/>
    <x v="3"/>
    <x v="1"/>
    <x v="0"/>
    <x v="170"/>
    <x v="0"/>
    <x v="211"/>
    <n v="65490"/>
    <x v="0"/>
    <x v="1"/>
    <x v="2"/>
    <x v="0"/>
    <n v="10.96"/>
    <x v="0"/>
  </r>
  <r>
    <s v="EV-0341"/>
    <x v="4"/>
    <x v="4"/>
    <x v="0"/>
    <x v="171"/>
    <x v="1"/>
    <x v="212"/>
    <n v="33745"/>
    <x v="1"/>
    <x v="0"/>
    <x v="1"/>
    <x v="0"/>
    <n v="8.49"/>
    <x v="1"/>
  </r>
  <r>
    <s v="EV-0041"/>
    <x v="1"/>
    <x v="2"/>
    <x v="0"/>
    <x v="172"/>
    <x v="2"/>
    <x v="213"/>
    <n v="41339"/>
    <x v="1"/>
    <x v="0"/>
    <x v="0"/>
    <x v="0"/>
    <n v="14.79"/>
    <x v="2"/>
  </r>
  <r>
    <s v="EV-0254"/>
    <x v="5"/>
    <x v="3"/>
    <x v="0"/>
    <x v="173"/>
    <x v="2"/>
    <x v="214"/>
    <n v="95682"/>
    <x v="1"/>
    <x v="1"/>
    <x v="1"/>
    <x v="2"/>
    <n v="13.09"/>
    <x v="2"/>
  </r>
  <r>
    <s v="EV-0469"/>
    <x v="5"/>
    <x v="2"/>
    <x v="1"/>
    <x v="174"/>
    <x v="1"/>
    <x v="215"/>
    <n v="975"/>
    <x v="1"/>
    <x v="1"/>
    <x v="1"/>
    <x v="1"/>
    <n v="14.88"/>
    <x v="1"/>
  </r>
  <r>
    <s v="EV-0100"/>
    <x v="1"/>
    <x v="0"/>
    <x v="0"/>
    <x v="175"/>
    <x v="1"/>
    <x v="216"/>
    <n v="40762"/>
    <x v="1"/>
    <x v="0"/>
    <x v="0"/>
    <x v="0"/>
    <n v="13.97"/>
    <x v="1"/>
  </r>
  <r>
    <s v="EV-0205"/>
    <x v="2"/>
    <x v="5"/>
    <x v="0"/>
    <x v="175"/>
    <x v="1"/>
    <x v="217"/>
    <n v="98750"/>
    <x v="1"/>
    <x v="1"/>
    <x v="0"/>
    <x v="0"/>
    <n v="14.87"/>
    <x v="1"/>
  </r>
  <r>
    <s v="EV-0401"/>
    <x v="1"/>
    <x v="4"/>
    <x v="0"/>
    <x v="176"/>
    <x v="2"/>
    <x v="218"/>
    <n v="109345"/>
    <x v="1"/>
    <x v="0"/>
    <x v="0"/>
    <x v="2"/>
    <n v="11.22"/>
    <x v="2"/>
  </r>
  <r>
    <s v="EV-0073"/>
    <x v="1"/>
    <x v="3"/>
    <x v="0"/>
    <x v="177"/>
    <x v="1"/>
    <x v="219"/>
    <n v="62908"/>
    <x v="1"/>
    <x v="0"/>
    <x v="1"/>
    <x v="0"/>
    <n v="9.7100000000000009"/>
    <x v="1"/>
  </r>
  <r>
    <s v="EV-0322"/>
    <x v="6"/>
    <x v="2"/>
    <x v="0"/>
    <x v="177"/>
    <x v="2"/>
    <x v="220"/>
    <n v="45231"/>
    <x v="1"/>
    <x v="0"/>
    <x v="1"/>
    <x v="0"/>
    <n v="9.9499999999999993"/>
    <x v="2"/>
  </r>
  <r>
    <s v="EV-0090"/>
    <x v="4"/>
    <x v="4"/>
    <x v="0"/>
    <x v="178"/>
    <x v="3"/>
    <x v="221"/>
    <n v="81314"/>
    <x v="2"/>
    <x v="0"/>
    <x v="1"/>
    <x v="0"/>
    <n v="11.83"/>
    <x v="3"/>
  </r>
  <r>
    <s v="EV-0217"/>
    <x v="5"/>
    <x v="1"/>
    <x v="0"/>
    <x v="179"/>
    <x v="0"/>
    <x v="222"/>
    <n v="157090"/>
    <x v="0"/>
    <x v="0"/>
    <x v="0"/>
    <x v="2"/>
    <n v="14.8"/>
    <x v="0"/>
  </r>
  <r>
    <s v="EV-0479"/>
    <x v="7"/>
    <x v="0"/>
    <x v="0"/>
    <x v="179"/>
    <x v="1"/>
    <x v="85"/>
    <n v="55615"/>
    <x v="1"/>
    <x v="1"/>
    <x v="0"/>
    <x v="0"/>
    <n v="15.57"/>
    <x v="1"/>
  </r>
  <r>
    <s v="EV-0290"/>
    <x v="2"/>
    <x v="3"/>
    <x v="1"/>
    <x v="180"/>
    <x v="1"/>
    <x v="223"/>
    <n v="3823"/>
    <x v="1"/>
    <x v="1"/>
    <x v="1"/>
    <x v="1"/>
    <n v="10.19"/>
    <x v="1"/>
  </r>
  <r>
    <s v="EV-0438"/>
    <x v="3"/>
    <x v="1"/>
    <x v="0"/>
    <x v="180"/>
    <x v="3"/>
    <x v="224"/>
    <n v="177042"/>
    <x v="2"/>
    <x v="1"/>
    <x v="1"/>
    <x v="2"/>
    <n v="14.8"/>
    <x v="3"/>
  </r>
  <r>
    <s v="EV-0232"/>
    <x v="1"/>
    <x v="3"/>
    <x v="0"/>
    <x v="181"/>
    <x v="2"/>
    <x v="225"/>
    <n v="151132"/>
    <x v="1"/>
    <x v="0"/>
    <x v="2"/>
    <x v="2"/>
    <n v="14.89"/>
    <x v="2"/>
  </r>
  <r>
    <s v="EV-0061"/>
    <x v="4"/>
    <x v="2"/>
    <x v="0"/>
    <x v="182"/>
    <x v="1"/>
    <x v="226"/>
    <n v="101959"/>
    <x v="1"/>
    <x v="0"/>
    <x v="0"/>
    <x v="2"/>
    <n v="8.6300000000000008"/>
    <x v="1"/>
  </r>
  <r>
    <s v="EV-0427"/>
    <x v="4"/>
    <x v="2"/>
    <x v="0"/>
    <x v="183"/>
    <x v="3"/>
    <x v="227"/>
    <n v="88651"/>
    <x v="2"/>
    <x v="0"/>
    <x v="1"/>
    <x v="2"/>
    <n v="8.5299999999999994"/>
    <x v="3"/>
  </r>
  <r>
    <s v="EV-0488"/>
    <x v="5"/>
    <x v="2"/>
    <x v="1"/>
    <x v="184"/>
    <x v="3"/>
    <x v="228"/>
    <n v="3444"/>
    <x v="2"/>
    <x v="0"/>
    <x v="1"/>
    <x v="1"/>
    <n v="9.76"/>
    <x v="3"/>
  </r>
  <r>
    <s v="EV-0317"/>
    <x v="4"/>
    <x v="4"/>
    <x v="1"/>
    <x v="185"/>
    <x v="0"/>
    <x v="229"/>
    <n v="2099"/>
    <x v="0"/>
    <x v="1"/>
    <x v="2"/>
    <x v="1"/>
    <n v="11.38"/>
    <x v="0"/>
  </r>
  <r>
    <s v="EV-0363"/>
    <x v="4"/>
    <x v="2"/>
    <x v="0"/>
    <x v="186"/>
    <x v="1"/>
    <x v="230"/>
    <n v="26010"/>
    <x v="1"/>
    <x v="0"/>
    <x v="0"/>
    <x v="0"/>
    <n v="11.59"/>
    <x v="1"/>
  </r>
  <r>
    <s v="EV-0043"/>
    <x v="1"/>
    <x v="3"/>
    <x v="0"/>
    <x v="187"/>
    <x v="0"/>
    <x v="231"/>
    <n v="60902"/>
    <x v="0"/>
    <x v="0"/>
    <x v="1"/>
    <x v="0"/>
    <n v="13.47"/>
    <x v="0"/>
  </r>
  <r>
    <s v="EV-0185"/>
    <x v="5"/>
    <x v="3"/>
    <x v="0"/>
    <x v="187"/>
    <x v="0"/>
    <x v="232"/>
    <n v="57720"/>
    <x v="0"/>
    <x v="0"/>
    <x v="1"/>
    <x v="0"/>
    <n v="9.64"/>
    <x v="0"/>
  </r>
  <r>
    <s v="EV-0455"/>
    <x v="1"/>
    <x v="4"/>
    <x v="1"/>
    <x v="188"/>
    <x v="1"/>
    <x v="233"/>
    <n v="620"/>
    <x v="1"/>
    <x v="0"/>
    <x v="0"/>
    <x v="1"/>
    <n v="10.69"/>
    <x v="1"/>
  </r>
  <r>
    <s v="EV-0493"/>
    <x v="5"/>
    <x v="4"/>
    <x v="0"/>
    <x v="189"/>
    <x v="1"/>
    <x v="234"/>
    <n v="42966"/>
    <x v="1"/>
    <x v="0"/>
    <x v="0"/>
    <x v="0"/>
    <n v="19.86"/>
    <x v="1"/>
  </r>
  <r>
    <s v="EV-0173"/>
    <x v="2"/>
    <x v="1"/>
    <x v="0"/>
    <x v="190"/>
    <x v="1"/>
    <x v="235"/>
    <n v="30481"/>
    <x v="1"/>
    <x v="0"/>
    <x v="1"/>
    <x v="0"/>
    <n v="10.3"/>
    <x v="1"/>
  </r>
  <r>
    <s v="EV-0480"/>
    <x v="2"/>
    <x v="1"/>
    <x v="3"/>
    <x v="190"/>
    <x v="1"/>
    <x v="236"/>
    <n v="603"/>
    <x v="1"/>
    <x v="1"/>
    <x v="1"/>
    <x v="1"/>
    <n v="13.42"/>
    <x v="1"/>
  </r>
  <r>
    <s v="EV-0072"/>
    <x v="5"/>
    <x v="4"/>
    <x v="0"/>
    <x v="191"/>
    <x v="2"/>
    <x v="237"/>
    <n v="60743"/>
    <x v="1"/>
    <x v="0"/>
    <x v="0"/>
    <x v="0"/>
    <n v="11.01"/>
    <x v="2"/>
  </r>
  <r>
    <s v="EV-0210"/>
    <x v="1"/>
    <x v="2"/>
    <x v="0"/>
    <x v="192"/>
    <x v="0"/>
    <x v="238"/>
    <n v="53917"/>
    <x v="0"/>
    <x v="0"/>
    <x v="1"/>
    <x v="0"/>
    <n v="9.93"/>
    <x v="0"/>
  </r>
  <r>
    <s v="EV-0495"/>
    <x v="4"/>
    <x v="4"/>
    <x v="0"/>
    <x v="192"/>
    <x v="3"/>
    <x v="239"/>
    <n v="106584"/>
    <x v="2"/>
    <x v="1"/>
    <x v="1"/>
    <x v="2"/>
    <n v="14.42"/>
    <x v="3"/>
  </r>
  <r>
    <s v="EV-0420"/>
    <x v="3"/>
    <x v="2"/>
    <x v="0"/>
    <x v="193"/>
    <x v="0"/>
    <x v="240"/>
    <n v="92351"/>
    <x v="0"/>
    <x v="0"/>
    <x v="1"/>
    <x v="2"/>
    <n v="12.52"/>
    <x v="0"/>
  </r>
  <r>
    <s v="EV-0137"/>
    <x v="2"/>
    <x v="3"/>
    <x v="1"/>
    <x v="194"/>
    <x v="3"/>
    <x v="113"/>
    <n v="35034"/>
    <x v="2"/>
    <x v="0"/>
    <x v="0"/>
    <x v="0"/>
    <n v="10.73"/>
    <x v="3"/>
  </r>
  <r>
    <s v="EV-0429"/>
    <x v="5"/>
    <x v="4"/>
    <x v="0"/>
    <x v="194"/>
    <x v="2"/>
    <x v="241"/>
    <n v="9155"/>
    <x v="1"/>
    <x v="0"/>
    <x v="0"/>
    <x v="1"/>
    <n v="12.4"/>
    <x v="2"/>
  </r>
  <r>
    <s v="EV-0010"/>
    <x v="6"/>
    <x v="1"/>
    <x v="1"/>
    <x v="195"/>
    <x v="0"/>
    <x v="242"/>
    <n v="233"/>
    <x v="0"/>
    <x v="1"/>
    <x v="1"/>
    <x v="1"/>
    <n v="11.13"/>
    <x v="0"/>
  </r>
  <r>
    <s v="EV-0049"/>
    <x v="2"/>
    <x v="0"/>
    <x v="0"/>
    <x v="195"/>
    <x v="2"/>
    <x v="243"/>
    <n v="44303"/>
    <x v="1"/>
    <x v="1"/>
    <x v="1"/>
    <x v="0"/>
    <n v="11.96"/>
    <x v="2"/>
  </r>
  <r>
    <s v="EV-0296"/>
    <x v="2"/>
    <x v="3"/>
    <x v="2"/>
    <x v="196"/>
    <x v="1"/>
    <x v="244"/>
    <n v="13078"/>
    <x v="1"/>
    <x v="1"/>
    <x v="2"/>
    <x v="1"/>
    <n v="8.64"/>
    <x v="1"/>
  </r>
  <r>
    <s v="EV-0359"/>
    <x v="7"/>
    <x v="4"/>
    <x v="2"/>
    <x v="196"/>
    <x v="2"/>
    <x v="245"/>
    <n v="3175"/>
    <x v="1"/>
    <x v="1"/>
    <x v="2"/>
    <x v="1"/>
    <n v="10.97"/>
    <x v="2"/>
  </r>
  <r>
    <s v="EV-0148"/>
    <x v="4"/>
    <x v="2"/>
    <x v="3"/>
    <x v="197"/>
    <x v="2"/>
    <x v="246"/>
    <n v="2129"/>
    <x v="1"/>
    <x v="0"/>
    <x v="0"/>
    <x v="1"/>
    <n v="14.09"/>
    <x v="2"/>
  </r>
  <r>
    <s v="EV-0099"/>
    <x v="1"/>
    <x v="4"/>
    <x v="0"/>
    <x v="198"/>
    <x v="2"/>
    <x v="247"/>
    <n v="59901"/>
    <x v="1"/>
    <x v="1"/>
    <x v="1"/>
    <x v="0"/>
    <n v="15"/>
    <x v="2"/>
  </r>
  <r>
    <s v="EV-0351"/>
    <x v="4"/>
    <x v="1"/>
    <x v="0"/>
    <x v="199"/>
    <x v="3"/>
    <x v="248"/>
    <n v="9353"/>
    <x v="2"/>
    <x v="1"/>
    <x v="0"/>
    <x v="1"/>
    <n v="14.59"/>
    <x v="3"/>
  </r>
  <r>
    <s v="EV-0059"/>
    <x v="1"/>
    <x v="4"/>
    <x v="2"/>
    <x v="200"/>
    <x v="2"/>
    <x v="249"/>
    <n v="8585"/>
    <x v="1"/>
    <x v="0"/>
    <x v="1"/>
    <x v="1"/>
    <n v="10.01"/>
    <x v="2"/>
  </r>
  <r>
    <s v="EV-0091"/>
    <x v="1"/>
    <x v="1"/>
    <x v="2"/>
    <x v="201"/>
    <x v="2"/>
    <x v="250"/>
    <n v="5590"/>
    <x v="1"/>
    <x v="0"/>
    <x v="0"/>
    <x v="1"/>
    <n v="8.52"/>
    <x v="2"/>
  </r>
  <r>
    <s v="EV-0091"/>
    <x v="1"/>
    <x v="2"/>
    <x v="2"/>
    <x v="201"/>
    <x v="2"/>
    <x v="250"/>
    <n v="5590"/>
    <x v="1"/>
    <x v="0"/>
    <x v="0"/>
    <x v="1"/>
    <n v="8.52"/>
    <x v="2"/>
  </r>
  <r>
    <s v="EV-0318"/>
    <x v="1"/>
    <x v="1"/>
    <x v="3"/>
    <x v="202"/>
    <x v="2"/>
    <x v="251"/>
    <n v="1542"/>
    <x v="1"/>
    <x v="0"/>
    <x v="1"/>
    <x v="1"/>
    <n v="13.93"/>
    <x v="2"/>
  </r>
  <r>
    <s v="EV-0245"/>
    <x v="1"/>
    <x v="3"/>
    <x v="0"/>
    <x v="203"/>
    <x v="3"/>
    <x v="252"/>
    <n v="26089"/>
    <x v="2"/>
    <x v="1"/>
    <x v="0"/>
    <x v="0"/>
    <n v="10.95"/>
    <x v="3"/>
  </r>
  <r>
    <s v="EV-0293"/>
    <x v="3"/>
    <x v="0"/>
    <x v="0"/>
    <x v="204"/>
    <x v="3"/>
    <x v="253"/>
    <n v="64109"/>
    <x v="2"/>
    <x v="0"/>
    <x v="0"/>
    <x v="0"/>
    <n v="14.68"/>
    <x v="3"/>
  </r>
  <r>
    <s v="EV-0032"/>
    <x v="1"/>
    <x v="2"/>
    <x v="0"/>
    <x v="205"/>
    <x v="1"/>
    <x v="254"/>
    <n v="77251"/>
    <x v="1"/>
    <x v="0"/>
    <x v="1"/>
    <x v="0"/>
    <n v="14.76"/>
    <x v="1"/>
  </r>
  <r>
    <s v="EV-0272"/>
    <x v="3"/>
    <x v="0"/>
    <x v="3"/>
    <x v="205"/>
    <x v="2"/>
    <x v="255"/>
    <n v="941"/>
    <x v="1"/>
    <x v="0"/>
    <x v="1"/>
    <x v="1"/>
    <n v="12.99"/>
    <x v="2"/>
  </r>
  <r>
    <s v="EV-0300"/>
    <x v="1"/>
    <x v="1"/>
    <x v="2"/>
    <x v="206"/>
    <x v="0"/>
    <x v="256"/>
    <n v="19401"/>
    <x v="0"/>
    <x v="0"/>
    <x v="1"/>
    <x v="1"/>
    <n v="10.61"/>
    <x v="0"/>
  </r>
  <r>
    <s v="EV-0323"/>
    <x v="6"/>
    <x v="3"/>
    <x v="2"/>
    <x v="206"/>
    <x v="1"/>
    <x v="257"/>
    <n v="13568"/>
    <x v="1"/>
    <x v="0"/>
    <x v="1"/>
    <x v="1"/>
    <n v="9.58"/>
    <x v="1"/>
  </r>
  <r>
    <s v="EV-0371"/>
    <x v="1"/>
    <x v="3"/>
    <x v="3"/>
    <x v="206"/>
    <x v="3"/>
    <x v="258"/>
    <n v="1842"/>
    <x v="2"/>
    <x v="0"/>
    <x v="1"/>
    <x v="1"/>
    <n v="14.89"/>
    <x v="3"/>
  </r>
  <r>
    <s v="EV-0260"/>
    <x v="1"/>
    <x v="4"/>
    <x v="0"/>
    <x v="207"/>
    <x v="3"/>
    <x v="259"/>
    <n v="146357"/>
    <x v="2"/>
    <x v="0"/>
    <x v="0"/>
    <x v="2"/>
    <n v="14.99"/>
    <x v="3"/>
  </r>
  <r>
    <s v="EV-0116"/>
    <x v="0"/>
    <x v="1"/>
    <x v="2"/>
    <x v="208"/>
    <x v="1"/>
    <x v="260"/>
    <n v="11186"/>
    <x v="1"/>
    <x v="0"/>
    <x v="2"/>
    <x v="1"/>
    <n v="14.32"/>
    <x v="1"/>
  </r>
  <r>
    <s v="EV-0369"/>
    <x v="5"/>
    <x v="4"/>
    <x v="0"/>
    <x v="209"/>
    <x v="2"/>
    <x v="261"/>
    <n v="53700"/>
    <x v="1"/>
    <x v="0"/>
    <x v="0"/>
    <x v="0"/>
    <n v="10.16"/>
    <x v="2"/>
  </r>
  <r>
    <s v="EV-0492"/>
    <x v="2"/>
    <x v="1"/>
    <x v="0"/>
    <x v="210"/>
    <x v="2"/>
    <x v="262"/>
    <n v="52080"/>
    <x v="1"/>
    <x v="0"/>
    <x v="1"/>
    <x v="0"/>
    <n v="9.0500000000000007"/>
    <x v="2"/>
  </r>
  <r>
    <s v="EV-0424"/>
    <x v="4"/>
    <x v="4"/>
    <x v="0"/>
    <x v="211"/>
    <x v="1"/>
    <x v="263"/>
    <n v="7348"/>
    <x v="1"/>
    <x v="1"/>
    <x v="0"/>
    <x v="1"/>
    <n v="9.2100000000000009"/>
    <x v="1"/>
  </r>
  <r>
    <s v="EV-0083"/>
    <x v="5"/>
    <x v="0"/>
    <x v="0"/>
    <x v="212"/>
    <x v="3"/>
    <x v="264"/>
    <n v="78244"/>
    <x v="2"/>
    <x v="1"/>
    <x v="1"/>
    <x v="2"/>
    <n v="9.6300000000000008"/>
    <x v="3"/>
  </r>
  <r>
    <s v="EV-0358"/>
    <x v="2"/>
    <x v="1"/>
    <x v="0"/>
    <x v="213"/>
    <x v="0"/>
    <x v="265"/>
    <n v="20116"/>
    <x v="0"/>
    <x v="0"/>
    <x v="2"/>
    <x v="1"/>
    <n v="11.1"/>
    <x v="0"/>
  </r>
  <r>
    <s v="EV-0365"/>
    <x v="7"/>
    <x v="4"/>
    <x v="0"/>
    <x v="213"/>
    <x v="1"/>
    <x v="266"/>
    <n v="100180"/>
    <x v="1"/>
    <x v="1"/>
    <x v="2"/>
    <x v="2"/>
    <n v="8.7799999999999994"/>
    <x v="1"/>
  </r>
  <r>
    <s v="EV-0500"/>
    <x v="7"/>
    <x v="4"/>
    <x v="0"/>
    <x v="214"/>
    <x v="3"/>
    <x v="267"/>
    <n v="133841"/>
    <x v="2"/>
    <x v="2"/>
    <x v="0"/>
    <x v="2"/>
    <n v="12.96"/>
    <x v="3"/>
  </r>
  <r>
    <s v="EV-0274"/>
    <x v="0"/>
    <x v="1"/>
    <x v="0"/>
    <x v="215"/>
    <x v="1"/>
    <x v="268"/>
    <n v="70496"/>
    <x v="1"/>
    <x v="0"/>
    <x v="1"/>
    <x v="0"/>
    <n v="12.18"/>
    <x v="1"/>
  </r>
  <r>
    <s v="EV-0282"/>
    <x v="1"/>
    <x v="3"/>
    <x v="1"/>
    <x v="215"/>
    <x v="2"/>
    <x v="6"/>
    <n v="2757"/>
    <x v="1"/>
    <x v="1"/>
    <x v="1"/>
    <x v="0"/>
    <n v="0.66"/>
    <x v="2"/>
  </r>
  <r>
    <s v="EV-0442"/>
    <x v="7"/>
    <x v="2"/>
    <x v="0"/>
    <x v="216"/>
    <x v="3"/>
    <x v="113"/>
    <n v="35034"/>
    <x v="2"/>
    <x v="0"/>
    <x v="0"/>
    <x v="0"/>
    <n v="10.73"/>
    <x v="3"/>
  </r>
  <r>
    <s v="EV-0192"/>
    <x v="0"/>
    <x v="3"/>
    <x v="0"/>
    <x v="217"/>
    <x v="1"/>
    <x v="269"/>
    <n v="108376"/>
    <x v="1"/>
    <x v="1"/>
    <x v="2"/>
    <x v="2"/>
    <n v="12.11"/>
    <x v="1"/>
  </r>
  <r>
    <s v="EV-0202"/>
    <x v="1"/>
    <x v="4"/>
    <x v="3"/>
    <x v="218"/>
    <x v="0"/>
    <x v="270"/>
    <n v="1868"/>
    <x v="0"/>
    <x v="1"/>
    <x v="2"/>
    <x v="1"/>
    <n v="11.11"/>
    <x v="0"/>
  </r>
  <r>
    <s v="EV-0203"/>
    <x v="1"/>
    <x v="0"/>
    <x v="0"/>
    <x v="218"/>
    <x v="2"/>
    <x v="271"/>
    <n v="106902"/>
    <x v="1"/>
    <x v="1"/>
    <x v="2"/>
    <x v="2"/>
    <n v="9.65"/>
    <x v="2"/>
  </r>
  <r>
    <s v="EV-0340"/>
    <x v="1"/>
    <x v="3"/>
    <x v="1"/>
    <x v="219"/>
    <x v="1"/>
    <x v="272"/>
    <n v="2274"/>
    <x v="1"/>
    <x v="0"/>
    <x v="2"/>
    <x v="1"/>
    <n v="12.6"/>
    <x v="1"/>
  </r>
  <r>
    <s v="EV-0088"/>
    <x v="6"/>
    <x v="1"/>
    <x v="0"/>
    <x v="220"/>
    <x v="0"/>
    <x v="273"/>
    <n v="47854"/>
    <x v="0"/>
    <x v="1"/>
    <x v="2"/>
    <x v="0"/>
    <n v="11.26"/>
    <x v="0"/>
  </r>
  <r>
    <s v="EV-0446"/>
    <x v="7"/>
    <x v="0"/>
    <x v="0"/>
    <x v="221"/>
    <x v="0"/>
    <x v="274"/>
    <n v="20016"/>
    <x v="0"/>
    <x v="0"/>
    <x v="2"/>
    <x v="0"/>
    <n v="8.52"/>
    <x v="0"/>
  </r>
  <r>
    <s v="EV-0221"/>
    <x v="6"/>
    <x v="4"/>
    <x v="0"/>
    <x v="222"/>
    <x v="2"/>
    <x v="275"/>
    <n v="136459"/>
    <x v="1"/>
    <x v="0"/>
    <x v="2"/>
    <x v="2"/>
    <n v="13.51"/>
    <x v="2"/>
  </r>
  <r>
    <s v="EV-0036"/>
    <x v="3"/>
    <x v="2"/>
    <x v="0"/>
    <x v="223"/>
    <x v="3"/>
    <x v="276"/>
    <n v="20273"/>
    <x v="2"/>
    <x v="0"/>
    <x v="2"/>
    <x v="0"/>
    <n v="8.6999999999999993"/>
    <x v="3"/>
  </r>
  <r>
    <s v="EV-0334"/>
    <x v="1"/>
    <x v="3"/>
    <x v="0"/>
    <x v="224"/>
    <x v="2"/>
    <x v="277"/>
    <n v="72168"/>
    <x v="1"/>
    <x v="0"/>
    <x v="2"/>
    <x v="2"/>
    <n v="9.91"/>
    <x v="2"/>
  </r>
  <r>
    <s v="EV-0058"/>
    <x v="5"/>
    <x v="3"/>
    <x v="0"/>
    <x v="224"/>
    <x v="3"/>
    <x v="278"/>
    <n v="135403"/>
    <x v="2"/>
    <x v="0"/>
    <x v="2"/>
    <x v="2"/>
    <n v="12.79"/>
    <x v="3"/>
  </r>
  <r>
    <s v="EV-0222"/>
    <x v="2"/>
    <x v="4"/>
    <x v="1"/>
    <x v="225"/>
    <x v="2"/>
    <x v="279"/>
    <n v="44303"/>
    <x v="1"/>
    <x v="1"/>
    <x v="2"/>
    <x v="1"/>
    <n v="188.4"/>
    <x v="2"/>
  </r>
  <r>
    <s v="EV-0298"/>
    <x v="5"/>
    <x v="2"/>
    <x v="0"/>
    <x v="225"/>
    <x v="2"/>
    <x v="280"/>
    <n v="38262"/>
    <x v="1"/>
    <x v="1"/>
    <x v="2"/>
    <x v="0"/>
    <n v="11.02"/>
    <x v="2"/>
  </r>
  <r>
    <s v="EV-0451"/>
    <x v="3"/>
    <x v="4"/>
    <x v="0"/>
    <x v="225"/>
    <x v="0"/>
    <x v="281"/>
    <n v="115689"/>
    <x v="0"/>
    <x v="0"/>
    <x v="2"/>
    <x v="2"/>
    <n v="12.51"/>
    <x v="0"/>
  </r>
  <r>
    <s v="EV-0039"/>
    <x v="6"/>
    <x v="3"/>
    <x v="3"/>
    <x v="226"/>
    <x v="0"/>
    <x v="282"/>
    <n v="70"/>
    <x v="0"/>
    <x v="0"/>
    <x v="2"/>
    <x v="1"/>
    <n v="9.01"/>
    <x v="0"/>
  </r>
  <r>
    <s v="EV-0123"/>
    <x v="5"/>
    <x v="3"/>
    <x v="0"/>
    <x v="227"/>
    <x v="2"/>
    <x v="283"/>
    <n v="124088"/>
    <x v="1"/>
    <x v="0"/>
    <x v="2"/>
    <x v="2"/>
    <n v="13.29"/>
    <x v="2"/>
  </r>
  <r>
    <s v="EV-0212"/>
    <x v="6"/>
    <x v="3"/>
    <x v="0"/>
    <x v="228"/>
    <x v="3"/>
    <x v="284"/>
    <n v="37924"/>
    <x v="2"/>
    <x v="0"/>
    <x v="2"/>
    <x v="0"/>
    <n v="14.64"/>
    <x v="3"/>
  </r>
  <r>
    <s v="EV-0118"/>
    <x v="5"/>
    <x v="4"/>
    <x v="1"/>
    <x v="229"/>
    <x v="0"/>
    <x v="285"/>
    <n v="3876"/>
    <x v="0"/>
    <x v="0"/>
    <x v="2"/>
    <x v="1"/>
    <n v="9.61"/>
    <x v="0"/>
  </r>
  <r>
    <s v="EV-0079"/>
    <x v="5"/>
    <x v="0"/>
    <x v="0"/>
    <x v="230"/>
    <x v="3"/>
    <x v="286"/>
    <n v="58300"/>
    <x v="2"/>
    <x v="1"/>
    <x v="2"/>
    <x v="0"/>
    <n v="10.68"/>
    <x v="3"/>
  </r>
  <r>
    <s v="EV-0157"/>
    <x v="6"/>
    <x v="1"/>
    <x v="1"/>
    <x v="231"/>
    <x v="0"/>
    <x v="24"/>
    <n v="47370"/>
    <x v="0"/>
    <x v="0"/>
    <x v="2"/>
    <x v="0"/>
    <n v="11.42"/>
    <x v="0"/>
  </r>
  <r>
    <s v="EV-0249"/>
    <x v="7"/>
    <x v="2"/>
    <x v="1"/>
    <x v="231"/>
    <x v="1"/>
    <x v="287"/>
    <n v="3033"/>
    <x v="1"/>
    <x v="1"/>
    <x v="2"/>
    <x v="1"/>
    <n v="10.53"/>
    <x v="1"/>
  </r>
  <r>
    <s v="EV-0343"/>
    <x v="1"/>
    <x v="3"/>
    <x v="3"/>
    <x v="232"/>
    <x v="3"/>
    <x v="288"/>
    <n v="375"/>
    <x v="2"/>
    <x v="1"/>
    <x v="2"/>
    <x v="1"/>
    <n v="14.8"/>
    <x v="3"/>
  </r>
  <r>
    <s v="EV-0426"/>
    <x v="2"/>
    <x v="3"/>
    <x v="0"/>
    <x v="233"/>
    <x v="0"/>
    <x v="289"/>
    <n v="109900"/>
    <x v="0"/>
    <x v="0"/>
    <x v="2"/>
    <x v="2"/>
    <n v="13.31"/>
    <x v="0"/>
  </r>
  <r>
    <s v="EV-0181"/>
    <x v="5"/>
    <x v="0"/>
    <x v="0"/>
    <x v="234"/>
    <x v="0"/>
    <x v="290"/>
    <n v="94650"/>
    <x v="0"/>
    <x v="0"/>
    <x v="2"/>
    <x v="2"/>
    <n v="8.32"/>
    <x v="0"/>
  </r>
  <r>
    <s v="EV-0379"/>
    <x v="3"/>
    <x v="3"/>
    <x v="0"/>
    <x v="235"/>
    <x v="0"/>
    <x v="291"/>
    <n v="13694"/>
    <x v="0"/>
    <x v="0"/>
    <x v="2"/>
    <x v="1"/>
    <n v="11.48"/>
    <x v="0"/>
  </r>
  <r>
    <s v="EV-0146"/>
    <x v="1"/>
    <x v="2"/>
    <x v="0"/>
    <x v="236"/>
    <x v="2"/>
    <x v="292"/>
    <n v="102333"/>
    <x v="1"/>
    <x v="1"/>
    <x v="2"/>
    <x v="0"/>
    <n v="14.77"/>
    <x v="2"/>
  </r>
  <r>
    <s v="EV-0142"/>
    <x v="5"/>
    <x v="2"/>
    <x v="0"/>
    <x v="237"/>
    <x v="2"/>
    <x v="293"/>
    <n v="18781"/>
    <x v="1"/>
    <x v="1"/>
    <x v="2"/>
    <x v="1"/>
    <n v="9.91"/>
    <x v="2"/>
  </r>
  <r>
    <s v="EV-0291"/>
    <x v="1"/>
    <x v="1"/>
    <x v="3"/>
    <x v="238"/>
    <x v="1"/>
    <x v="294"/>
    <n v="1161"/>
    <x v="1"/>
    <x v="0"/>
    <x v="2"/>
    <x v="1"/>
    <n v="10.19"/>
    <x v="1"/>
  </r>
  <r>
    <s v="EV-0292"/>
    <x v="1"/>
    <x v="5"/>
    <x v="0"/>
    <x v="238"/>
    <x v="3"/>
    <x v="295"/>
    <n v="80076"/>
    <x v="2"/>
    <x v="1"/>
    <x v="2"/>
    <x v="2"/>
    <n v="9.7799999999999994"/>
    <x v="3"/>
  </r>
  <r>
    <s v="EV-0177"/>
    <x v="6"/>
    <x v="4"/>
    <x v="0"/>
    <x v="239"/>
    <x v="3"/>
    <x v="296"/>
    <n v="13681"/>
    <x v="2"/>
    <x v="0"/>
    <x v="2"/>
    <x v="1"/>
    <n v="11.25"/>
    <x v="3"/>
  </r>
  <r>
    <s v="EV-0193"/>
    <x v="0"/>
    <x v="0"/>
    <x v="0"/>
    <x v="240"/>
    <x v="3"/>
    <x v="297"/>
    <n v="126916"/>
    <x v="2"/>
    <x v="0"/>
    <x v="2"/>
    <x v="2"/>
    <n v="13.09"/>
    <x v="3"/>
  </r>
  <r>
    <s v="EV-0130"/>
    <x v="2"/>
    <x v="3"/>
    <x v="2"/>
    <x v="241"/>
    <x v="0"/>
    <x v="298"/>
    <n v="7138"/>
    <x v="0"/>
    <x v="1"/>
    <x v="2"/>
    <x v="1"/>
    <n v="13.52"/>
    <x v="0"/>
  </r>
  <r>
    <s v="EV-0368"/>
    <x v="0"/>
    <x v="4"/>
    <x v="0"/>
    <x v="241"/>
    <x v="3"/>
    <x v="299"/>
    <n v="80859"/>
    <x v="2"/>
    <x v="0"/>
    <x v="2"/>
    <x v="0"/>
    <n v="11.69"/>
    <x v="3"/>
  </r>
  <r>
    <s v="EV-0472"/>
    <x v="7"/>
    <x v="3"/>
    <x v="0"/>
    <x v="242"/>
    <x v="3"/>
    <x v="300"/>
    <n v="50258"/>
    <x v="2"/>
    <x v="0"/>
    <x v="2"/>
    <x v="0"/>
    <n v="8.27"/>
    <x v="3"/>
  </r>
  <r>
    <s v="EV-0027"/>
    <x v="5"/>
    <x v="3"/>
    <x v="1"/>
    <x v="243"/>
    <x v="2"/>
    <x v="301"/>
    <n v="1199"/>
    <x v="1"/>
    <x v="0"/>
    <x v="2"/>
    <x v="1"/>
    <n v="13.55"/>
    <x v="2"/>
  </r>
  <r>
    <s v="EV-0415"/>
    <x v="6"/>
    <x v="1"/>
    <x v="0"/>
    <x v="243"/>
    <x v="1"/>
    <x v="302"/>
    <n v="46822"/>
    <x v="1"/>
    <x v="0"/>
    <x v="2"/>
    <x v="0"/>
    <n v="11.71"/>
    <x v="1"/>
  </r>
  <r>
    <s v="EV-0251"/>
    <x v="5"/>
    <x v="2"/>
    <x v="0"/>
    <x v="244"/>
    <x v="1"/>
    <x v="303"/>
    <n v="53766"/>
    <x v="1"/>
    <x v="1"/>
    <x v="0"/>
    <x v="0"/>
    <n v="11.16"/>
    <x v="1"/>
  </r>
  <r>
    <s v="EV-0111"/>
    <x v="5"/>
    <x v="1"/>
    <x v="3"/>
    <x v="245"/>
    <x v="0"/>
    <x v="304"/>
    <n v="763"/>
    <x v="0"/>
    <x v="1"/>
    <x v="0"/>
    <x v="1"/>
    <n v="13.45"/>
    <x v="0"/>
  </r>
  <r>
    <s v="EV-0475"/>
    <x v="2"/>
    <x v="1"/>
    <x v="0"/>
    <x v="246"/>
    <x v="0"/>
    <x v="305"/>
    <n v="113092"/>
    <x v="0"/>
    <x v="1"/>
    <x v="0"/>
    <x v="2"/>
    <n v="11.67"/>
    <x v="0"/>
  </r>
  <r>
    <s v="EV-0114"/>
    <x v="3"/>
    <x v="1"/>
    <x v="1"/>
    <x v="247"/>
    <x v="1"/>
    <x v="306"/>
    <n v="617"/>
    <x v="1"/>
    <x v="0"/>
    <x v="0"/>
    <x v="1"/>
    <n v="13.22"/>
    <x v="1"/>
  </r>
  <r>
    <s v="EV-0459"/>
    <x v="1"/>
    <x v="0"/>
    <x v="0"/>
    <x v="248"/>
    <x v="2"/>
    <x v="307"/>
    <n v="4253"/>
    <x v="1"/>
    <x v="1"/>
    <x v="0"/>
    <x v="1"/>
    <n v="8.2899999999999991"/>
    <x v="2"/>
  </r>
  <r>
    <s v="EV-0077"/>
    <x v="3"/>
    <x v="3"/>
    <x v="2"/>
    <x v="249"/>
    <x v="2"/>
    <x v="308"/>
    <n v="20641"/>
    <x v="1"/>
    <x v="0"/>
    <x v="0"/>
    <x v="0"/>
    <n v="9.23"/>
    <x v="2"/>
  </r>
  <r>
    <s v="EV-0367"/>
    <x v="7"/>
    <x v="4"/>
    <x v="0"/>
    <x v="249"/>
    <x v="0"/>
    <x v="309"/>
    <n v="40760"/>
    <x v="0"/>
    <x v="0"/>
    <x v="0"/>
    <x v="0"/>
    <n v="12.15"/>
    <x v="0"/>
  </r>
  <r>
    <s v="EV-0239"/>
    <x v="6"/>
    <x v="2"/>
    <x v="0"/>
    <x v="250"/>
    <x v="1"/>
    <x v="310"/>
    <n v="36218"/>
    <x v="1"/>
    <x v="0"/>
    <x v="0"/>
    <x v="0"/>
    <n v="10.51"/>
    <x v="1"/>
  </r>
  <r>
    <s v="EV-0303"/>
    <x v="2"/>
    <x v="2"/>
    <x v="2"/>
    <x v="251"/>
    <x v="1"/>
    <x v="311"/>
    <n v="23488"/>
    <x v="1"/>
    <x v="0"/>
    <x v="0"/>
    <x v="1"/>
    <n v="14.7"/>
    <x v="1"/>
  </r>
  <r>
    <s v="EV-0407"/>
    <x v="4"/>
    <x v="1"/>
    <x v="1"/>
    <x v="252"/>
    <x v="3"/>
    <x v="312"/>
    <n v="768"/>
    <x v="2"/>
    <x v="1"/>
    <x v="0"/>
    <x v="1"/>
    <n v="10.8"/>
    <x v="3"/>
  </r>
  <r>
    <s v="EV-0133"/>
    <x v="1"/>
    <x v="0"/>
    <x v="0"/>
    <x v="253"/>
    <x v="2"/>
    <x v="313"/>
    <n v="92723"/>
    <x v="1"/>
    <x v="0"/>
    <x v="0"/>
    <x v="2"/>
    <n v="8.92"/>
    <x v="2"/>
  </r>
  <r>
    <s v="EV-0087"/>
    <x v="6"/>
    <x v="1"/>
    <x v="0"/>
    <x v="254"/>
    <x v="0"/>
    <x v="314"/>
    <n v="116758"/>
    <x v="0"/>
    <x v="1"/>
    <x v="0"/>
    <x v="2"/>
    <n v="14.29"/>
    <x v="0"/>
  </r>
  <r>
    <s v="EV-0101"/>
    <x v="1"/>
    <x v="2"/>
    <x v="0"/>
    <x v="254"/>
    <x v="2"/>
    <x v="315"/>
    <n v="83409"/>
    <x v="1"/>
    <x v="1"/>
    <x v="0"/>
    <x v="2"/>
    <n v="8.75"/>
    <x v="2"/>
  </r>
  <r>
    <s v="EV-0476"/>
    <x v="7"/>
    <x v="1"/>
    <x v="3"/>
    <x v="255"/>
    <x v="2"/>
    <x v="316"/>
    <n v="1742"/>
    <x v="1"/>
    <x v="0"/>
    <x v="0"/>
    <x v="1"/>
    <n v="12.27"/>
    <x v="2"/>
  </r>
  <r>
    <s v="EV-0484"/>
    <x v="2"/>
    <x v="3"/>
    <x v="0"/>
    <x v="255"/>
    <x v="3"/>
    <x v="317"/>
    <n v="82209"/>
    <x v="2"/>
    <x v="0"/>
    <x v="0"/>
    <x v="2"/>
    <n v="10.34"/>
    <x v="3"/>
  </r>
  <r>
    <s v="EV-0276"/>
    <x v="4"/>
    <x v="0"/>
    <x v="0"/>
    <x v="256"/>
    <x v="2"/>
    <x v="318"/>
    <n v="29142"/>
    <x v="1"/>
    <x v="0"/>
    <x v="0"/>
    <x v="0"/>
    <n v="11.54"/>
    <x v="2"/>
  </r>
  <r>
    <s v="EV-0069"/>
    <x v="1"/>
    <x v="0"/>
    <x v="3"/>
    <x v="257"/>
    <x v="0"/>
    <x v="319"/>
    <n v="1848"/>
    <x v="0"/>
    <x v="1"/>
    <x v="0"/>
    <x v="1"/>
    <n v="10.27"/>
    <x v="0"/>
  </r>
  <r>
    <s v="EV-0161"/>
    <x v="4"/>
    <x v="4"/>
    <x v="0"/>
    <x v="258"/>
    <x v="0"/>
    <x v="320"/>
    <n v="93028"/>
    <x v="0"/>
    <x v="1"/>
    <x v="0"/>
    <x v="2"/>
    <n v="9.85"/>
    <x v="0"/>
  </r>
  <r>
    <s v="EV-0200"/>
    <x v="3"/>
    <x v="2"/>
    <x v="1"/>
    <x v="259"/>
    <x v="2"/>
    <x v="321"/>
    <n v="5121"/>
    <x v="1"/>
    <x v="0"/>
    <x v="0"/>
    <x v="1"/>
    <n v="12.83"/>
    <x v="2"/>
  </r>
  <r>
    <s v="EV-0470"/>
    <x v="7"/>
    <x v="1"/>
    <x v="0"/>
    <x v="260"/>
    <x v="2"/>
    <x v="322"/>
    <n v="32749"/>
    <x v="1"/>
    <x v="1"/>
    <x v="0"/>
    <x v="0"/>
    <n v="8.59"/>
    <x v="2"/>
  </r>
  <r>
    <s v="EV-0056"/>
    <x v="0"/>
    <x v="1"/>
    <x v="0"/>
    <x v="261"/>
    <x v="3"/>
    <x v="323"/>
    <n v="53087"/>
    <x v="2"/>
    <x v="1"/>
    <x v="0"/>
    <x v="0"/>
    <n v="12.32"/>
    <x v="3"/>
  </r>
  <r>
    <s v="EV-0023"/>
    <x v="5"/>
    <x v="2"/>
    <x v="0"/>
    <x v="262"/>
    <x v="1"/>
    <x v="85"/>
    <n v="126074"/>
    <x v="1"/>
    <x v="0"/>
    <x v="0"/>
    <x v="0"/>
    <n v="35.299999999999997"/>
    <x v="1"/>
  </r>
  <r>
    <s v="EV-0215"/>
    <x v="6"/>
    <x v="2"/>
    <x v="0"/>
    <x v="263"/>
    <x v="1"/>
    <x v="324"/>
    <n v="54338"/>
    <x v="1"/>
    <x v="1"/>
    <x v="0"/>
    <x v="0"/>
    <n v="9.48"/>
    <x v="1"/>
  </r>
  <r>
    <s v="EV-0166"/>
    <x v="3"/>
    <x v="1"/>
    <x v="0"/>
    <x v="264"/>
    <x v="0"/>
    <x v="325"/>
    <n v="34100"/>
    <x v="0"/>
    <x v="1"/>
    <x v="0"/>
    <x v="0"/>
    <n v="10.67"/>
    <x v="0"/>
  </r>
  <r>
    <s v="EV-0170"/>
    <x v="2"/>
    <x v="3"/>
    <x v="2"/>
    <x v="264"/>
    <x v="2"/>
    <x v="326"/>
    <n v="6073"/>
    <x v="1"/>
    <x v="0"/>
    <x v="0"/>
    <x v="1"/>
    <n v="11.3"/>
    <x v="2"/>
  </r>
  <r>
    <s v="EV-0393"/>
    <x v="4"/>
    <x v="2"/>
    <x v="0"/>
    <x v="265"/>
    <x v="1"/>
    <x v="327"/>
    <n v="41964"/>
    <x v="1"/>
    <x v="1"/>
    <x v="0"/>
    <x v="0"/>
    <n v="11"/>
    <x v="1"/>
  </r>
  <r>
    <s v="EV-0399"/>
    <x v="1"/>
    <x v="2"/>
    <x v="0"/>
    <x v="266"/>
    <x v="3"/>
    <x v="113"/>
    <n v="35034"/>
    <x v="2"/>
    <x v="1"/>
    <x v="0"/>
    <x v="0"/>
    <n v="10.73"/>
    <x v="3"/>
  </r>
  <r>
    <s v="EV-0042"/>
    <x v="4"/>
    <x v="3"/>
    <x v="0"/>
    <x v="267"/>
    <x v="0"/>
    <x v="328"/>
    <n v="94292"/>
    <x v="0"/>
    <x v="0"/>
    <x v="0"/>
    <x v="2"/>
    <n v="8.52"/>
    <x v="0"/>
  </r>
  <r>
    <s v="EV-0129"/>
    <x v="1"/>
    <x v="3"/>
    <x v="0"/>
    <x v="267"/>
    <x v="2"/>
    <x v="329"/>
    <n v="42174"/>
    <x v="1"/>
    <x v="0"/>
    <x v="0"/>
    <x v="0"/>
    <n v="8.2799999999999994"/>
    <x v="2"/>
  </r>
  <r>
    <s v="EV-0227"/>
    <x v="7"/>
    <x v="2"/>
    <x v="2"/>
    <x v="267"/>
    <x v="3"/>
    <x v="330"/>
    <n v="2880"/>
    <x v="2"/>
    <x v="1"/>
    <x v="0"/>
    <x v="1"/>
    <n v="9.6300000000000008"/>
    <x v="3"/>
  </r>
  <r>
    <s v="EV-0409"/>
    <x v="0"/>
    <x v="1"/>
    <x v="1"/>
    <x v="268"/>
    <x v="0"/>
    <x v="331"/>
    <n v="5585"/>
    <x v="0"/>
    <x v="0"/>
    <x v="0"/>
    <x v="1"/>
    <n v="14.09"/>
    <x v="0"/>
  </r>
  <r>
    <s v="EV-0013"/>
    <x v="3"/>
    <x v="1"/>
    <x v="0"/>
    <x v="269"/>
    <x v="1"/>
    <x v="332"/>
    <n v="155816"/>
    <x v="1"/>
    <x v="1"/>
    <x v="0"/>
    <x v="2"/>
    <n v="13.34"/>
    <x v="1"/>
  </r>
  <r>
    <s v="EV-0030"/>
    <x v="1"/>
    <x v="1"/>
    <x v="1"/>
    <x v="269"/>
    <x v="2"/>
    <x v="333"/>
    <n v="6820"/>
    <x v="1"/>
    <x v="1"/>
    <x v="0"/>
    <x v="1"/>
    <n v="14.75"/>
    <x v="2"/>
  </r>
  <r>
    <s v="EV-0447"/>
    <x v="7"/>
    <x v="2"/>
    <x v="0"/>
    <x v="270"/>
    <x v="1"/>
    <x v="334"/>
    <n v="58788"/>
    <x v="1"/>
    <x v="1"/>
    <x v="0"/>
    <x v="0"/>
    <n v="11.23"/>
    <x v="1"/>
  </r>
  <r>
    <s v="EV-0377"/>
    <x v="3"/>
    <x v="2"/>
    <x v="3"/>
    <x v="271"/>
    <x v="0"/>
    <x v="335"/>
    <n v="860"/>
    <x v="0"/>
    <x v="0"/>
    <x v="0"/>
    <x v="1"/>
    <n v="10.029999999999999"/>
    <x v="0"/>
  </r>
  <r>
    <s v="EV-0339"/>
    <x v="4"/>
    <x v="3"/>
    <x v="0"/>
    <x v="272"/>
    <x v="0"/>
    <x v="336"/>
    <n v="35172"/>
    <x v="0"/>
    <x v="0"/>
    <x v="0"/>
    <x v="0"/>
    <n v="9"/>
    <x v="0"/>
  </r>
  <r>
    <s v="EV-0211"/>
    <x v="2"/>
    <x v="3"/>
    <x v="0"/>
    <x v="273"/>
    <x v="2"/>
    <x v="337"/>
    <n v="154702"/>
    <x v="1"/>
    <x v="0"/>
    <x v="0"/>
    <x v="2"/>
    <n v="14.78"/>
    <x v="2"/>
  </r>
  <r>
    <s v="EV-0248"/>
    <x v="7"/>
    <x v="3"/>
    <x v="0"/>
    <x v="273"/>
    <x v="3"/>
    <x v="338"/>
    <n v="124547"/>
    <x v="2"/>
    <x v="0"/>
    <x v="0"/>
    <x v="2"/>
    <n v="11.14"/>
    <x v="3"/>
  </r>
  <r>
    <s v="EV-0289"/>
    <x v="5"/>
    <x v="3"/>
    <x v="0"/>
    <x v="273"/>
    <x v="2"/>
    <x v="339"/>
    <n v="74505"/>
    <x v="1"/>
    <x v="0"/>
    <x v="0"/>
    <x v="0"/>
    <n v="13.11"/>
    <x v="2"/>
  </r>
  <r>
    <s v="EV-0144"/>
    <x v="5"/>
    <x v="3"/>
    <x v="0"/>
    <x v="274"/>
    <x v="0"/>
    <x v="340"/>
    <n v="84135"/>
    <x v="0"/>
    <x v="1"/>
    <x v="0"/>
    <x v="0"/>
    <n v="14.4"/>
    <x v="0"/>
  </r>
  <r>
    <s v="EV-0434"/>
    <x v="1"/>
    <x v="3"/>
    <x v="0"/>
    <x v="275"/>
    <x v="1"/>
    <x v="341"/>
    <n v="35644"/>
    <x v="1"/>
    <x v="0"/>
    <x v="0"/>
    <x v="0"/>
    <n v="14.17"/>
    <x v="1"/>
  </r>
  <r>
    <s v="EV-0062"/>
    <x v="5"/>
    <x v="0"/>
    <x v="0"/>
    <x v="276"/>
    <x v="0"/>
    <x v="342"/>
    <n v="13957"/>
    <x v="0"/>
    <x v="1"/>
    <x v="0"/>
    <x v="1"/>
    <n v="14.85"/>
    <x v="0"/>
  </r>
  <r>
    <s v="EV-0324"/>
    <x v="5"/>
    <x v="3"/>
    <x v="0"/>
    <x v="276"/>
    <x v="2"/>
    <x v="343"/>
    <n v="44303"/>
    <x v="1"/>
    <x v="1"/>
    <x v="0"/>
    <x v="0"/>
    <n v="11"/>
    <x v="2"/>
  </r>
  <r>
    <s v="EV-0283"/>
    <x v="4"/>
    <x v="1"/>
    <x v="0"/>
    <x v="277"/>
    <x v="2"/>
    <x v="344"/>
    <n v="140528"/>
    <x v="1"/>
    <x v="0"/>
    <x v="0"/>
    <x v="2"/>
    <n v="14.06"/>
    <x v="2"/>
  </r>
  <r>
    <s v="EV-0154"/>
    <x v="4"/>
    <x v="4"/>
    <x v="1"/>
    <x v="278"/>
    <x v="0"/>
    <x v="345"/>
    <n v="2839"/>
    <x v="0"/>
    <x v="0"/>
    <x v="0"/>
    <x v="1"/>
    <n v="12.73"/>
    <x v="0"/>
  </r>
  <r>
    <s v="EV-0389"/>
    <x v="3"/>
    <x v="1"/>
    <x v="0"/>
    <x v="279"/>
    <x v="3"/>
    <x v="346"/>
    <n v="57456"/>
    <x v="2"/>
    <x v="0"/>
    <x v="0"/>
    <x v="0"/>
    <n v="11.05"/>
    <x v="3"/>
  </r>
  <r>
    <s v="EV-0198"/>
    <x v="0"/>
    <x v="1"/>
    <x v="0"/>
    <x v="280"/>
    <x v="2"/>
    <x v="347"/>
    <n v="72457"/>
    <x v="1"/>
    <x v="0"/>
    <x v="0"/>
    <x v="0"/>
    <n v="14.57"/>
    <x v="2"/>
  </r>
  <r>
    <s v="EV-0204"/>
    <x v="0"/>
    <x v="0"/>
    <x v="0"/>
    <x v="280"/>
    <x v="0"/>
    <x v="348"/>
    <n v="124129"/>
    <x v="0"/>
    <x v="0"/>
    <x v="0"/>
    <x v="2"/>
    <n v="10.54"/>
    <x v="0"/>
  </r>
  <r>
    <s v="EV-0436"/>
    <x v="6"/>
    <x v="2"/>
    <x v="2"/>
    <x v="281"/>
    <x v="0"/>
    <x v="349"/>
    <n v="20607"/>
    <x v="0"/>
    <x v="0"/>
    <x v="0"/>
    <x v="1"/>
    <n v="14.91"/>
    <x v="0"/>
  </r>
  <r>
    <s v="EV-0022"/>
    <x v="1"/>
    <x v="2"/>
    <x v="0"/>
    <x v="282"/>
    <x v="2"/>
    <x v="350"/>
    <n v="93262"/>
    <x v="1"/>
    <x v="0"/>
    <x v="0"/>
    <x v="2"/>
    <n v="10.23"/>
    <x v="2"/>
  </r>
  <r>
    <s v="EV-0478"/>
    <x v="2"/>
    <x v="4"/>
    <x v="0"/>
    <x v="282"/>
    <x v="3"/>
    <x v="113"/>
    <n v="35034"/>
    <x v="2"/>
    <x v="1"/>
    <x v="0"/>
    <x v="0"/>
    <n v="10.73"/>
    <x v="3"/>
  </r>
  <r>
    <s v="EV-0231"/>
    <x v="3"/>
    <x v="1"/>
    <x v="0"/>
    <x v="283"/>
    <x v="1"/>
    <x v="351"/>
    <n v="33240"/>
    <x v="1"/>
    <x v="0"/>
    <x v="0"/>
    <x v="0"/>
    <n v="9.94"/>
    <x v="1"/>
  </r>
  <r>
    <s v="EV-0287"/>
    <x v="4"/>
    <x v="1"/>
    <x v="0"/>
    <x v="283"/>
    <x v="0"/>
    <x v="352"/>
    <n v="155134"/>
    <x v="0"/>
    <x v="0"/>
    <x v="0"/>
    <x v="2"/>
    <n v="13.79"/>
    <x v="0"/>
  </r>
  <r>
    <s v="EV-0348"/>
    <x v="1"/>
    <x v="4"/>
    <x v="0"/>
    <x v="283"/>
    <x v="3"/>
    <x v="353"/>
    <n v="71318"/>
    <x v="2"/>
    <x v="0"/>
    <x v="0"/>
    <x v="2"/>
    <n v="9.1"/>
    <x v="3"/>
  </r>
  <r>
    <s v="EV-0349"/>
    <x v="4"/>
    <x v="4"/>
    <x v="0"/>
    <x v="284"/>
    <x v="1"/>
    <x v="354"/>
    <n v="93233"/>
    <x v="1"/>
    <x v="1"/>
    <x v="0"/>
    <x v="2"/>
    <n v="10.18"/>
    <x v="1"/>
  </r>
  <r>
    <s v="EV-0384"/>
    <x v="0"/>
    <x v="3"/>
    <x v="0"/>
    <x v="285"/>
    <x v="2"/>
    <x v="355"/>
    <n v="42206"/>
    <x v="1"/>
    <x v="1"/>
    <x v="0"/>
    <x v="0"/>
    <n v="11.91"/>
    <x v="2"/>
  </r>
  <r>
    <s v="EV-0240"/>
    <x v="1"/>
    <x v="4"/>
    <x v="0"/>
    <x v="286"/>
    <x v="3"/>
    <x v="356"/>
    <n v="64111"/>
    <x v="2"/>
    <x v="0"/>
    <x v="0"/>
    <x v="0"/>
    <n v="13.52"/>
    <x v="3"/>
  </r>
  <r>
    <s v="EV-0360"/>
    <x v="2"/>
    <x v="0"/>
    <x v="0"/>
    <x v="287"/>
    <x v="0"/>
    <x v="357"/>
    <n v="75397"/>
    <x v="0"/>
    <x v="0"/>
    <x v="0"/>
    <x v="0"/>
    <n v="12.25"/>
    <x v="0"/>
  </r>
  <r>
    <s v="EV-0086"/>
    <x v="5"/>
    <x v="0"/>
    <x v="0"/>
    <x v="288"/>
    <x v="1"/>
    <x v="85"/>
    <n v="80212"/>
    <x v="1"/>
    <x v="1"/>
    <x v="0"/>
    <x v="0"/>
    <n v="22.46"/>
    <x v="1"/>
  </r>
  <r>
    <s v="EV-0190"/>
    <x v="5"/>
    <x v="1"/>
    <x v="0"/>
    <x v="288"/>
    <x v="1"/>
    <x v="358"/>
    <n v="5380"/>
    <x v="1"/>
    <x v="0"/>
    <x v="0"/>
    <x v="1"/>
    <n v="12.88"/>
    <x v="1"/>
  </r>
  <r>
    <s v="EV-0261"/>
    <x v="2"/>
    <x v="2"/>
    <x v="0"/>
    <x v="289"/>
    <x v="3"/>
    <x v="359"/>
    <n v="134527"/>
    <x v="2"/>
    <x v="0"/>
    <x v="0"/>
    <x v="2"/>
    <n v="13.93"/>
    <x v="3"/>
  </r>
  <r>
    <s v="EV-0033"/>
    <x v="1"/>
    <x v="3"/>
    <x v="1"/>
    <x v="290"/>
    <x v="1"/>
    <x v="360"/>
    <n v="3458"/>
    <x v="1"/>
    <x v="0"/>
    <x v="0"/>
    <x v="1"/>
    <n v="10.32"/>
    <x v="1"/>
  </r>
  <r>
    <s v="EV-0325"/>
    <x v="7"/>
    <x v="1"/>
    <x v="0"/>
    <x v="290"/>
    <x v="2"/>
    <x v="361"/>
    <n v="37583"/>
    <x v="1"/>
    <x v="0"/>
    <x v="0"/>
    <x v="0"/>
    <n v="11.93"/>
    <x v="2"/>
  </r>
  <r>
    <s v="EV-0246"/>
    <x v="0"/>
    <x v="1"/>
    <x v="0"/>
    <x v="291"/>
    <x v="0"/>
    <x v="362"/>
    <n v="35859"/>
    <x v="0"/>
    <x v="0"/>
    <x v="0"/>
    <x v="0"/>
    <n v="8.8000000000000007"/>
    <x v="0"/>
  </r>
  <r>
    <s v="EV-0306"/>
    <x v="7"/>
    <x v="2"/>
    <x v="0"/>
    <x v="291"/>
    <x v="1"/>
    <x v="363"/>
    <n v="56270"/>
    <x v="1"/>
    <x v="1"/>
    <x v="0"/>
    <x v="0"/>
    <n v="10.88"/>
    <x v="1"/>
  </r>
  <r>
    <s v="EV-0362"/>
    <x v="6"/>
    <x v="0"/>
    <x v="1"/>
    <x v="291"/>
    <x v="1"/>
    <x v="364"/>
    <n v="3264"/>
    <x v="1"/>
    <x v="0"/>
    <x v="0"/>
    <x v="1"/>
    <n v="9.51"/>
    <x v="1"/>
  </r>
  <r>
    <s v="EV-0485"/>
    <x v="2"/>
    <x v="3"/>
    <x v="1"/>
    <x v="291"/>
    <x v="1"/>
    <x v="365"/>
    <n v="794"/>
    <x v="1"/>
    <x v="1"/>
    <x v="0"/>
    <x v="1"/>
    <n v="10.31"/>
    <x v="1"/>
  </r>
  <r>
    <s v="EV-0016"/>
    <x v="5"/>
    <x v="0"/>
    <x v="0"/>
    <x v="292"/>
    <x v="2"/>
    <x v="366"/>
    <n v="117540"/>
    <x v="1"/>
    <x v="1"/>
    <x v="0"/>
    <x v="2"/>
    <n v="14.09"/>
    <x v="2"/>
  </r>
  <r>
    <s v="EV-0165"/>
    <x v="1"/>
    <x v="1"/>
    <x v="0"/>
    <x v="292"/>
    <x v="2"/>
    <x v="367"/>
    <n v="85622"/>
    <x v="1"/>
    <x v="1"/>
    <x v="0"/>
    <x v="2"/>
    <n v="9.84"/>
    <x v="2"/>
  </r>
  <r>
    <s v="EV-0327"/>
    <x v="2"/>
    <x v="4"/>
    <x v="0"/>
    <x v="292"/>
    <x v="2"/>
    <x v="368"/>
    <n v="50999"/>
    <x v="1"/>
    <x v="1"/>
    <x v="0"/>
    <x v="0"/>
    <n v="12.35"/>
    <x v="2"/>
  </r>
  <r>
    <s v="EV-0180"/>
    <x v="1"/>
    <x v="2"/>
    <x v="0"/>
    <x v="293"/>
    <x v="0"/>
    <x v="369"/>
    <n v="82460"/>
    <x v="0"/>
    <x v="1"/>
    <x v="0"/>
    <x v="2"/>
    <n v="8.82"/>
    <x v="0"/>
  </r>
  <r>
    <s v="EV-0406"/>
    <x v="0"/>
    <x v="0"/>
    <x v="0"/>
    <x v="294"/>
    <x v="1"/>
    <x v="370"/>
    <n v="39279"/>
    <x v="1"/>
    <x v="1"/>
    <x v="0"/>
    <x v="0"/>
    <n v="11.05"/>
    <x v="1"/>
  </r>
  <r>
    <s v="EV-0150"/>
    <x v="5"/>
    <x v="1"/>
    <x v="0"/>
    <x v="295"/>
    <x v="0"/>
    <x v="371"/>
    <n v="111346"/>
    <x v="0"/>
    <x v="0"/>
    <x v="0"/>
    <x v="2"/>
    <n v="11.28"/>
    <x v="0"/>
  </r>
  <r>
    <s v="EV-0255"/>
    <x v="1"/>
    <x v="0"/>
    <x v="0"/>
    <x v="295"/>
    <x v="3"/>
    <x v="372"/>
    <n v="144353"/>
    <x v="2"/>
    <x v="0"/>
    <x v="0"/>
    <x v="2"/>
    <n v="14.36"/>
    <x v="3"/>
  </r>
  <r>
    <s v="EV-0135"/>
    <x v="7"/>
    <x v="3"/>
    <x v="3"/>
    <x v="296"/>
    <x v="3"/>
    <x v="373"/>
    <n v="1601"/>
    <x v="2"/>
    <x v="0"/>
    <x v="0"/>
    <x v="1"/>
    <n v="10.29"/>
    <x v="3"/>
  </r>
  <r>
    <s v="EV-0419"/>
    <x v="1"/>
    <x v="2"/>
    <x v="0"/>
    <x v="296"/>
    <x v="3"/>
    <x v="374"/>
    <n v="81395"/>
    <x v="2"/>
    <x v="0"/>
    <x v="0"/>
    <x v="0"/>
    <n v="14.71"/>
    <x v="3"/>
  </r>
  <r>
    <s v="EV-0356"/>
    <x v="6"/>
    <x v="0"/>
    <x v="0"/>
    <x v="297"/>
    <x v="3"/>
    <x v="375"/>
    <n v="28414"/>
    <x v="2"/>
    <x v="1"/>
    <x v="0"/>
    <x v="0"/>
    <n v="8.35"/>
    <x v="3"/>
  </r>
  <r>
    <s v="EV-0089"/>
    <x v="0"/>
    <x v="0"/>
    <x v="1"/>
    <x v="298"/>
    <x v="0"/>
    <x v="376"/>
    <n v="3491"/>
    <x v="0"/>
    <x v="1"/>
    <x v="0"/>
    <x v="1"/>
    <n v="10.01"/>
    <x v="0"/>
  </r>
  <r>
    <s v="EV-0220"/>
    <x v="3"/>
    <x v="0"/>
    <x v="0"/>
    <x v="299"/>
    <x v="0"/>
    <x v="377"/>
    <n v="79802"/>
    <x v="0"/>
    <x v="0"/>
    <x v="0"/>
    <x v="0"/>
    <n v="14.92"/>
    <x v="0"/>
  </r>
  <r>
    <s v="EV-0071"/>
    <x v="3"/>
    <x v="2"/>
    <x v="0"/>
    <x v="300"/>
    <x v="2"/>
    <x v="378"/>
    <n v="10619"/>
    <x v="1"/>
    <x v="0"/>
    <x v="0"/>
    <x v="1"/>
    <n v="10.51"/>
    <x v="2"/>
  </r>
  <r>
    <s v="EV-0151"/>
    <x v="0"/>
    <x v="2"/>
    <x v="1"/>
    <x v="300"/>
    <x v="0"/>
    <x v="379"/>
    <n v="3803"/>
    <x v="0"/>
    <x v="0"/>
    <x v="0"/>
    <x v="1"/>
    <n v="8.5299999999999994"/>
    <x v="0"/>
  </r>
  <r>
    <s v="EV-0053"/>
    <x v="7"/>
    <x v="3"/>
    <x v="3"/>
    <x v="301"/>
    <x v="0"/>
    <x v="380"/>
    <n v="1448"/>
    <x v="0"/>
    <x v="0"/>
    <x v="0"/>
    <x v="1"/>
    <n v="14.21"/>
    <x v="0"/>
  </r>
  <r>
    <s v="EV-0266"/>
    <x v="6"/>
    <x v="1"/>
    <x v="1"/>
    <x v="302"/>
    <x v="0"/>
    <x v="381"/>
    <n v="493"/>
    <x v="0"/>
    <x v="1"/>
    <x v="1"/>
    <x v="1"/>
    <n v="14.29"/>
    <x v="0"/>
  </r>
  <r>
    <s v="EV-0048"/>
    <x v="2"/>
    <x v="3"/>
    <x v="2"/>
    <x v="303"/>
    <x v="3"/>
    <x v="382"/>
    <n v="12932"/>
    <x v="2"/>
    <x v="0"/>
    <x v="1"/>
    <x v="1"/>
    <n v="10.3"/>
    <x v="3"/>
  </r>
  <r>
    <s v="EV-0490"/>
    <x v="0"/>
    <x v="1"/>
    <x v="0"/>
    <x v="304"/>
    <x v="0"/>
    <x v="383"/>
    <n v="89224"/>
    <x v="0"/>
    <x v="0"/>
    <x v="1"/>
    <x v="0"/>
    <n v="14.75"/>
    <x v="0"/>
  </r>
  <r>
    <s v="EV-0281"/>
    <x v="0"/>
    <x v="4"/>
    <x v="3"/>
    <x v="305"/>
    <x v="3"/>
    <x v="384"/>
    <n v="2191"/>
    <x v="2"/>
    <x v="0"/>
    <x v="1"/>
    <x v="1"/>
    <n v="14.14"/>
    <x v="3"/>
  </r>
  <r>
    <s v="EV-0223"/>
    <x v="1"/>
    <x v="1"/>
    <x v="0"/>
    <x v="306"/>
    <x v="3"/>
    <x v="385"/>
    <n v="125850"/>
    <x v="2"/>
    <x v="0"/>
    <x v="1"/>
    <x v="2"/>
    <n v="13.81"/>
    <x v="3"/>
  </r>
  <r>
    <s v="EV-0449"/>
    <x v="4"/>
    <x v="0"/>
    <x v="2"/>
    <x v="307"/>
    <x v="2"/>
    <x v="386"/>
    <n v="21390"/>
    <x v="1"/>
    <x v="0"/>
    <x v="1"/>
    <x v="0"/>
    <n v="10.58"/>
    <x v="2"/>
  </r>
  <r>
    <s v="EV-0423"/>
    <x v="1"/>
    <x v="0"/>
    <x v="0"/>
    <x v="308"/>
    <x v="3"/>
    <x v="387"/>
    <n v="72877"/>
    <x v="2"/>
    <x v="0"/>
    <x v="1"/>
    <x v="2"/>
    <n v="9.7899999999999991"/>
    <x v="3"/>
  </r>
  <r>
    <s v="EV-0458"/>
    <x v="4"/>
    <x v="1"/>
    <x v="0"/>
    <x v="309"/>
    <x v="0"/>
    <x v="388"/>
    <n v="131549"/>
    <x v="0"/>
    <x v="1"/>
    <x v="1"/>
    <x v="2"/>
    <n v="13.17"/>
    <x v="0"/>
  </r>
  <r>
    <s v="EV-0201"/>
    <x v="6"/>
    <x v="3"/>
    <x v="1"/>
    <x v="310"/>
    <x v="1"/>
    <x v="389"/>
    <n v="3447"/>
    <x v="1"/>
    <x v="0"/>
    <x v="1"/>
    <x v="1"/>
    <n v="9.52"/>
    <x v="1"/>
  </r>
  <r>
    <s v="EV-0285"/>
    <x v="2"/>
    <x v="3"/>
    <x v="1"/>
    <x v="311"/>
    <x v="3"/>
    <x v="390"/>
    <n v="2291"/>
    <x v="2"/>
    <x v="0"/>
    <x v="1"/>
    <x v="1"/>
    <n v="14.22"/>
    <x v="3"/>
  </r>
  <r>
    <s v="EV-0329"/>
    <x v="4"/>
    <x v="0"/>
    <x v="0"/>
    <x v="311"/>
    <x v="0"/>
    <x v="391"/>
    <n v="136045"/>
    <x v="0"/>
    <x v="0"/>
    <x v="1"/>
    <x v="2"/>
    <n v="11.9"/>
    <x v="0"/>
  </r>
  <r>
    <s v="EV-0035"/>
    <x v="7"/>
    <x v="0"/>
    <x v="0"/>
    <x v="312"/>
    <x v="2"/>
    <x v="392"/>
    <n v="46671"/>
    <x v="1"/>
    <x v="1"/>
    <x v="1"/>
    <x v="0"/>
    <n v="13.92"/>
    <x v="2"/>
  </r>
  <r>
    <s v="EV-0044"/>
    <x v="0"/>
    <x v="1"/>
    <x v="0"/>
    <x v="312"/>
    <x v="3"/>
    <x v="393"/>
    <n v="97923"/>
    <x v="2"/>
    <x v="1"/>
    <x v="1"/>
    <x v="2"/>
    <n v="9.86"/>
    <x v="3"/>
  </r>
  <r>
    <s v="EV-0085"/>
    <x v="5"/>
    <x v="0"/>
    <x v="0"/>
    <x v="312"/>
    <x v="2"/>
    <x v="394"/>
    <n v="121710"/>
    <x v="1"/>
    <x v="1"/>
    <x v="1"/>
    <x v="2"/>
    <n v="11.22"/>
    <x v="2"/>
  </r>
  <r>
    <s v="EV-0487"/>
    <x v="1"/>
    <x v="0"/>
    <x v="0"/>
    <x v="313"/>
    <x v="0"/>
    <x v="395"/>
    <n v="41287"/>
    <x v="0"/>
    <x v="0"/>
    <x v="1"/>
    <x v="0"/>
    <n v="10.71"/>
    <x v="0"/>
  </r>
  <r>
    <s v="EV-0468"/>
    <x v="0"/>
    <x v="2"/>
    <x v="0"/>
    <x v="314"/>
    <x v="1"/>
    <x v="85"/>
    <n v="49502"/>
    <x v="1"/>
    <x v="0"/>
    <x v="1"/>
    <x v="0"/>
    <n v="13.86"/>
    <x v="1"/>
  </r>
  <r>
    <s v="EV-0109"/>
    <x v="5"/>
    <x v="0"/>
    <x v="1"/>
    <x v="315"/>
    <x v="3"/>
    <x v="113"/>
    <n v="2965"/>
    <x v="2"/>
    <x v="0"/>
    <x v="1"/>
    <x v="0"/>
    <n v="0.91"/>
    <x v="3"/>
  </r>
  <r>
    <s v="EV-0126"/>
    <x v="4"/>
    <x v="0"/>
    <x v="1"/>
    <x v="316"/>
    <x v="3"/>
    <x v="396"/>
    <n v="35034"/>
    <x v="2"/>
    <x v="1"/>
    <x v="1"/>
    <x v="1"/>
    <n v="121.71"/>
    <x v="3"/>
  </r>
  <r>
    <s v="EV-0331"/>
    <x v="5"/>
    <x v="1"/>
    <x v="0"/>
    <x v="317"/>
    <x v="1"/>
    <x v="397"/>
    <n v="34067"/>
    <x v="1"/>
    <x v="1"/>
    <x v="1"/>
    <x v="0"/>
    <n v="12.6"/>
    <x v="1"/>
  </r>
  <r>
    <s v="EV-0321"/>
    <x v="2"/>
    <x v="2"/>
    <x v="2"/>
    <x v="318"/>
    <x v="0"/>
    <x v="398"/>
    <n v="14933"/>
    <x v="0"/>
    <x v="0"/>
    <x v="1"/>
    <x v="1"/>
    <n v="8.8000000000000007"/>
    <x v="0"/>
  </r>
  <r>
    <s v="EV-0263"/>
    <x v="1"/>
    <x v="2"/>
    <x v="0"/>
    <x v="319"/>
    <x v="3"/>
    <x v="399"/>
    <n v="8513"/>
    <x v="2"/>
    <x v="0"/>
    <x v="1"/>
    <x v="1"/>
    <n v="8.76"/>
    <x v="3"/>
  </r>
  <r>
    <s v="EV-0141"/>
    <x v="7"/>
    <x v="0"/>
    <x v="3"/>
    <x v="320"/>
    <x v="0"/>
    <x v="400"/>
    <n v="2112"/>
    <x v="0"/>
    <x v="0"/>
    <x v="1"/>
    <x v="1"/>
    <n v="11.51"/>
    <x v="0"/>
  </r>
  <r>
    <s v="EV-0400"/>
    <x v="3"/>
    <x v="1"/>
    <x v="0"/>
    <x v="320"/>
    <x v="2"/>
    <x v="401"/>
    <n v="106568"/>
    <x v="1"/>
    <x v="0"/>
    <x v="1"/>
    <x v="2"/>
    <n v="14.63"/>
    <x v="2"/>
  </r>
  <r>
    <s v="EV-0005"/>
    <x v="1"/>
    <x v="4"/>
    <x v="2"/>
    <x v="321"/>
    <x v="3"/>
    <x v="402"/>
    <n v="6963"/>
    <x v="2"/>
    <x v="0"/>
    <x v="1"/>
    <x v="1"/>
    <n v="13.08"/>
    <x v="3"/>
  </r>
  <r>
    <s v="EV-0006"/>
    <x v="1"/>
    <x v="3"/>
    <x v="0"/>
    <x v="321"/>
    <x v="3"/>
    <x v="403"/>
    <n v="12675"/>
    <x v="2"/>
    <x v="0"/>
    <x v="1"/>
    <x v="1"/>
    <n v="13.86"/>
    <x v="3"/>
  </r>
  <r>
    <s v="EV-0105"/>
    <x v="1"/>
    <x v="2"/>
    <x v="0"/>
    <x v="321"/>
    <x v="0"/>
    <x v="404"/>
    <n v="106638"/>
    <x v="0"/>
    <x v="0"/>
    <x v="1"/>
    <x v="2"/>
    <n v="12.89"/>
    <x v="0"/>
  </r>
  <r>
    <s v="EV-0441"/>
    <x v="1"/>
    <x v="3"/>
    <x v="0"/>
    <x v="321"/>
    <x v="1"/>
    <x v="405"/>
    <n v="131374"/>
    <x v="1"/>
    <x v="0"/>
    <x v="1"/>
    <x v="2"/>
    <n v="11.28"/>
    <x v="1"/>
  </r>
  <r>
    <s v="EV-0295"/>
    <x v="1"/>
    <x v="2"/>
    <x v="2"/>
    <x v="322"/>
    <x v="2"/>
    <x v="406"/>
    <n v="11801"/>
    <x v="1"/>
    <x v="0"/>
    <x v="1"/>
    <x v="1"/>
    <n v="11.32"/>
    <x v="2"/>
  </r>
  <r>
    <s v="EV-0226"/>
    <x v="5"/>
    <x v="1"/>
    <x v="0"/>
    <x v="323"/>
    <x v="0"/>
    <x v="407"/>
    <n v="42150"/>
    <x v="0"/>
    <x v="0"/>
    <x v="1"/>
    <x v="0"/>
    <n v="13.69"/>
    <x v="0"/>
  </r>
  <r>
    <s v="EV-0224"/>
    <x v="4"/>
    <x v="4"/>
    <x v="1"/>
    <x v="324"/>
    <x v="2"/>
    <x v="408"/>
    <n v="309"/>
    <x v="1"/>
    <x v="0"/>
    <x v="1"/>
    <x v="1"/>
    <n v="11.88"/>
    <x v="2"/>
  </r>
  <r>
    <s v="EV-0417"/>
    <x v="5"/>
    <x v="4"/>
    <x v="0"/>
    <x v="325"/>
    <x v="0"/>
    <x v="409"/>
    <n v="48775"/>
    <x v="0"/>
    <x v="0"/>
    <x v="1"/>
    <x v="0"/>
    <n v="13.43"/>
    <x v="0"/>
  </r>
  <r>
    <s v="EV-0113"/>
    <x v="0"/>
    <x v="1"/>
    <x v="1"/>
    <x v="326"/>
    <x v="3"/>
    <x v="410"/>
    <n v="4451"/>
    <x v="2"/>
    <x v="1"/>
    <x v="1"/>
    <x v="1"/>
    <n v="14.37"/>
    <x v="3"/>
  </r>
  <r>
    <s v="EV-0152"/>
    <x v="5"/>
    <x v="2"/>
    <x v="0"/>
    <x v="326"/>
    <x v="0"/>
    <x v="411"/>
    <n v="71807"/>
    <x v="0"/>
    <x v="1"/>
    <x v="1"/>
    <x v="0"/>
    <n v="13.28"/>
    <x v="0"/>
  </r>
  <r>
    <s v="EV-0020"/>
    <x v="5"/>
    <x v="3"/>
    <x v="0"/>
    <x v="327"/>
    <x v="1"/>
    <x v="412"/>
    <n v="147745"/>
    <x v="1"/>
    <x v="0"/>
    <x v="1"/>
    <x v="2"/>
    <n v="13.99"/>
    <x v="1"/>
  </r>
  <r>
    <s v="EV-0373"/>
    <x v="1"/>
    <x v="0"/>
    <x v="0"/>
    <x v="328"/>
    <x v="2"/>
    <x v="413"/>
    <n v="45970"/>
    <x v="1"/>
    <x v="0"/>
    <x v="1"/>
    <x v="0"/>
    <n v="9.43"/>
    <x v="2"/>
  </r>
  <r>
    <s v="EV-0046"/>
    <x v="6"/>
    <x v="3"/>
    <x v="2"/>
    <x v="329"/>
    <x v="2"/>
    <x v="6"/>
    <n v="44303"/>
    <x v="1"/>
    <x v="0"/>
    <x v="1"/>
    <x v="0"/>
    <n v="10.63"/>
    <x v="2"/>
  </r>
  <r>
    <s v="EV-0288"/>
    <x v="2"/>
    <x v="3"/>
    <x v="3"/>
    <x v="330"/>
    <x v="0"/>
    <x v="414"/>
    <n v="602"/>
    <x v="0"/>
    <x v="0"/>
    <x v="1"/>
    <x v="1"/>
    <n v="10.79"/>
    <x v="0"/>
  </r>
  <r>
    <s v="EV-0350"/>
    <x v="2"/>
    <x v="0"/>
    <x v="0"/>
    <x v="331"/>
    <x v="2"/>
    <x v="415"/>
    <n v="17252"/>
    <x v="1"/>
    <x v="1"/>
    <x v="1"/>
    <x v="1"/>
    <n v="10.27"/>
    <x v="2"/>
  </r>
  <r>
    <s v="EV-0435"/>
    <x v="1"/>
    <x v="2"/>
    <x v="0"/>
    <x v="331"/>
    <x v="0"/>
    <x v="24"/>
    <n v="80857"/>
    <x v="0"/>
    <x v="0"/>
    <x v="1"/>
    <x v="0"/>
    <n v="19.489999999999998"/>
    <x v="0"/>
  </r>
  <r>
    <s v="EV-0132"/>
    <x v="5"/>
    <x v="4"/>
    <x v="2"/>
    <x v="332"/>
    <x v="0"/>
    <x v="416"/>
    <n v="28377"/>
    <x v="0"/>
    <x v="1"/>
    <x v="1"/>
    <x v="0"/>
    <n v="10.55"/>
    <x v="0"/>
  </r>
  <r>
    <s v="EV-0128"/>
    <x v="0"/>
    <x v="1"/>
    <x v="0"/>
    <x v="333"/>
    <x v="2"/>
    <x v="417"/>
    <n v="60917"/>
    <x v="1"/>
    <x v="0"/>
    <x v="1"/>
    <x v="0"/>
    <n v="12.39"/>
    <x v="2"/>
  </r>
  <r>
    <s v="EV-0247"/>
    <x v="4"/>
    <x v="4"/>
    <x v="0"/>
    <x v="333"/>
    <x v="2"/>
    <x v="418"/>
    <n v="60422"/>
    <x v="1"/>
    <x v="0"/>
    <x v="1"/>
    <x v="2"/>
    <n v="8.44"/>
    <x v="2"/>
  </r>
  <r>
    <s v="EV-0471"/>
    <x v="1"/>
    <x v="1"/>
    <x v="0"/>
    <x v="334"/>
    <x v="1"/>
    <x v="419"/>
    <n v="133115"/>
    <x v="1"/>
    <x v="0"/>
    <x v="1"/>
    <x v="2"/>
    <n v="12.52"/>
    <x v="1"/>
  </r>
  <r>
    <s v="EV-0093"/>
    <x v="3"/>
    <x v="4"/>
    <x v="0"/>
    <x v="335"/>
    <x v="0"/>
    <x v="420"/>
    <n v="72482"/>
    <x v="0"/>
    <x v="1"/>
    <x v="1"/>
    <x v="0"/>
    <n v="14.91"/>
    <x v="0"/>
  </r>
  <r>
    <s v="EV-0391"/>
    <x v="7"/>
    <x v="2"/>
    <x v="0"/>
    <x v="336"/>
    <x v="0"/>
    <x v="421"/>
    <n v="50450"/>
    <x v="0"/>
    <x v="0"/>
    <x v="1"/>
    <x v="0"/>
    <n v="8.5500000000000007"/>
    <x v="0"/>
  </r>
  <r>
    <s v="EV-0328"/>
    <x v="2"/>
    <x v="0"/>
    <x v="0"/>
    <x v="337"/>
    <x v="2"/>
    <x v="422"/>
    <n v="115072"/>
    <x v="1"/>
    <x v="1"/>
    <x v="1"/>
    <x v="2"/>
    <n v="12.72"/>
    <x v="2"/>
  </r>
  <r>
    <s v="EV-0197"/>
    <x v="6"/>
    <x v="4"/>
    <x v="0"/>
    <x v="338"/>
    <x v="0"/>
    <x v="423"/>
    <n v="74902"/>
    <x v="0"/>
    <x v="1"/>
    <x v="1"/>
    <x v="0"/>
    <n v="12.31"/>
    <x v="0"/>
  </r>
  <r>
    <s v="EV-0040"/>
    <x v="4"/>
    <x v="4"/>
    <x v="1"/>
    <x v="339"/>
    <x v="1"/>
    <x v="424"/>
    <n v="3318"/>
    <x v="1"/>
    <x v="0"/>
    <x v="1"/>
    <x v="1"/>
    <n v="14.1"/>
    <x v="1"/>
  </r>
  <r>
    <s v="EV-0162"/>
    <x v="6"/>
    <x v="0"/>
    <x v="1"/>
    <x v="339"/>
    <x v="3"/>
    <x v="425"/>
    <n v="2148"/>
    <x v="2"/>
    <x v="0"/>
    <x v="1"/>
    <x v="1"/>
    <n v="8.8699999999999992"/>
    <x v="3"/>
  </r>
  <r>
    <s v="EV-0189"/>
    <x v="2"/>
    <x v="0"/>
    <x v="0"/>
    <x v="340"/>
    <x v="1"/>
    <x v="426"/>
    <n v="157498"/>
    <x v="1"/>
    <x v="1"/>
    <x v="1"/>
    <x v="2"/>
    <n v="14.65"/>
    <x v="1"/>
  </r>
  <r>
    <s v="EV-0387"/>
    <x v="5"/>
    <x v="2"/>
    <x v="2"/>
    <x v="340"/>
    <x v="2"/>
    <x v="427"/>
    <n v="18334"/>
    <x v="1"/>
    <x v="0"/>
    <x v="1"/>
    <x v="1"/>
    <n v="10.78"/>
    <x v="2"/>
  </r>
  <r>
    <s v="EV-0444"/>
    <x v="1"/>
    <x v="3"/>
    <x v="0"/>
    <x v="340"/>
    <x v="1"/>
    <x v="428"/>
    <n v="50893"/>
    <x v="1"/>
    <x v="1"/>
    <x v="1"/>
    <x v="0"/>
    <n v="12.14"/>
    <x v="1"/>
  </r>
  <r>
    <s v="EV-0045"/>
    <x v="5"/>
    <x v="3"/>
    <x v="0"/>
    <x v="341"/>
    <x v="0"/>
    <x v="429"/>
    <n v="130059"/>
    <x v="0"/>
    <x v="0"/>
    <x v="1"/>
    <x v="2"/>
    <n v="12.36"/>
    <x v="0"/>
  </r>
  <r>
    <s v="EV-0467"/>
    <x v="5"/>
    <x v="3"/>
    <x v="3"/>
    <x v="341"/>
    <x v="3"/>
    <x v="430"/>
    <n v="141"/>
    <x v="2"/>
    <x v="0"/>
    <x v="1"/>
    <x v="1"/>
    <n v="13.68"/>
    <x v="3"/>
  </r>
  <r>
    <s v="EV-0370"/>
    <x v="1"/>
    <x v="4"/>
    <x v="0"/>
    <x v="342"/>
    <x v="0"/>
    <x v="431"/>
    <n v="2845"/>
    <x v="0"/>
    <x v="0"/>
    <x v="1"/>
    <x v="1"/>
    <n v="9.5399999999999991"/>
    <x v="0"/>
  </r>
  <r>
    <s v="EV-0160"/>
    <x v="6"/>
    <x v="0"/>
    <x v="0"/>
    <x v="343"/>
    <x v="2"/>
    <x v="432"/>
    <n v="44303"/>
    <x v="1"/>
    <x v="0"/>
    <x v="1"/>
    <x v="0"/>
    <n v="12.01"/>
    <x v="2"/>
  </r>
  <r>
    <s v="EV-0207"/>
    <x v="1"/>
    <x v="3"/>
    <x v="2"/>
    <x v="343"/>
    <x v="3"/>
    <x v="113"/>
    <n v="25997"/>
    <x v="2"/>
    <x v="0"/>
    <x v="1"/>
    <x v="0"/>
    <n v="7.97"/>
    <x v="3"/>
  </r>
  <r>
    <s v="EV-0238"/>
    <x v="1"/>
    <x v="4"/>
    <x v="1"/>
    <x v="344"/>
    <x v="2"/>
    <x v="6"/>
    <n v="44303"/>
    <x v="1"/>
    <x v="0"/>
    <x v="1"/>
    <x v="0"/>
    <n v="10.63"/>
    <x v="2"/>
  </r>
  <r>
    <s v="EV-0237"/>
    <x v="5"/>
    <x v="1"/>
    <x v="0"/>
    <x v="345"/>
    <x v="3"/>
    <x v="433"/>
    <n v="35034"/>
    <x v="2"/>
    <x v="0"/>
    <x v="1"/>
    <x v="2"/>
    <n v="3.07"/>
    <x v="3"/>
  </r>
  <r>
    <s v="EV-0063"/>
    <x v="3"/>
    <x v="4"/>
    <x v="2"/>
    <x v="346"/>
    <x v="2"/>
    <x v="434"/>
    <n v="24381"/>
    <x v="1"/>
    <x v="0"/>
    <x v="1"/>
    <x v="1"/>
    <n v="13.32"/>
    <x v="2"/>
  </r>
  <r>
    <s v="EV-0262"/>
    <x v="7"/>
    <x v="3"/>
    <x v="0"/>
    <x v="347"/>
    <x v="1"/>
    <x v="435"/>
    <n v="76978"/>
    <x v="1"/>
    <x v="0"/>
    <x v="1"/>
    <x v="2"/>
    <n v="10.98"/>
    <x v="1"/>
  </r>
  <r>
    <s v="EV-0398"/>
    <x v="4"/>
    <x v="0"/>
    <x v="1"/>
    <x v="348"/>
    <x v="2"/>
    <x v="436"/>
    <n v="1953"/>
    <x v="1"/>
    <x v="0"/>
    <x v="1"/>
    <x v="1"/>
    <n v="14.76"/>
    <x v="2"/>
  </r>
  <r>
    <s v="EV-0432"/>
    <x v="3"/>
    <x v="4"/>
    <x v="0"/>
    <x v="349"/>
    <x v="0"/>
    <x v="437"/>
    <n v="85923"/>
    <x v="0"/>
    <x v="0"/>
    <x v="1"/>
    <x v="2"/>
    <n v="12.06"/>
    <x v="0"/>
  </r>
  <r>
    <s v="EV-0314"/>
    <x v="7"/>
    <x v="4"/>
    <x v="0"/>
    <x v="350"/>
    <x v="3"/>
    <x v="438"/>
    <n v="44940"/>
    <x v="2"/>
    <x v="0"/>
    <x v="1"/>
    <x v="0"/>
    <n v="8.73"/>
    <x v="3"/>
  </r>
  <r>
    <s v="EV-0336"/>
    <x v="1"/>
    <x v="2"/>
    <x v="0"/>
    <x v="350"/>
    <x v="0"/>
    <x v="439"/>
    <n v="106402"/>
    <x v="0"/>
    <x v="0"/>
    <x v="1"/>
    <x v="2"/>
    <n v="14.45"/>
    <x v="0"/>
  </r>
  <r>
    <s v="EV-0052"/>
    <x v="3"/>
    <x v="2"/>
    <x v="0"/>
    <x v="351"/>
    <x v="2"/>
    <x v="440"/>
    <n v="56217"/>
    <x v="1"/>
    <x v="0"/>
    <x v="1"/>
    <x v="0"/>
    <n v="12.39"/>
    <x v="2"/>
  </r>
  <r>
    <s v="EV-0302"/>
    <x v="2"/>
    <x v="2"/>
    <x v="3"/>
    <x v="351"/>
    <x v="0"/>
    <x v="441"/>
    <n v="936"/>
    <x v="0"/>
    <x v="0"/>
    <x v="1"/>
    <x v="1"/>
    <n v="8.42"/>
    <x v="0"/>
  </r>
  <r>
    <s v="EV-0301"/>
    <x v="1"/>
    <x v="3"/>
    <x v="0"/>
    <x v="352"/>
    <x v="2"/>
    <x v="442"/>
    <n v="94644"/>
    <x v="1"/>
    <x v="0"/>
    <x v="1"/>
    <x v="2"/>
    <n v="8.91"/>
    <x v="2"/>
  </r>
  <r>
    <s v="EV-0019"/>
    <x v="4"/>
    <x v="1"/>
    <x v="2"/>
    <x v="353"/>
    <x v="3"/>
    <x v="443"/>
    <n v="18410"/>
    <x v="2"/>
    <x v="1"/>
    <x v="1"/>
    <x v="1"/>
    <n v="10.68"/>
    <x v="3"/>
  </r>
  <r>
    <s v="EV-0342"/>
    <x v="4"/>
    <x v="4"/>
    <x v="0"/>
    <x v="353"/>
    <x v="1"/>
    <x v="444"/>
    <n v="113963"/>
    <x v="1"/>
    <x v="0"/>
    <x v="1"/>
    <x v="2"/>
    <n v="13.19"/>
    <x v="1"/>
  </r>
  <r>
    <s v="EV-0050"/>
    <x v="5"/>
    <x v="0"/>
    <x v="0"/>
    <x v="354"/>
    <x v="1"/>
    <x v="445"/>
    <n v="15236"/>
    <x v="1"/>
    <x v="1"/>
    <x v="1"/>
    <x v="1"/>
    <n v="11.74"/>
    <x v="1"/>
  </r>
  <r>
    <s v="EV-0483"/>
    <x v="4"/>
    <x v="4"/>
    <x v="1"/>
    <x v="354"/>
    <x v="3"/>
    <x v="446"/>
    <n v="5879"/>
    <x v="2"/>
    <x v="0"/>
    <x v="1"/>
    <x v="1"/>
    <n v="12.42"/>
    <x v="3"/>
  </r>
  <r>
    <s v="EV-0156"/>
    <x v="5"/>
    <x v="2"/>
    <x v="0"/>
    <x v="355"/>
    <x v="0"/>
    <x v="447"/>
    <n v="112209"/>
    <x v="0"/>
    <x v="1"/>
    <x v="1"/>
    <x v="2"/>
    <n v="10.78"/>
    <x v="0"/>
  </r>
  <r>
    <s v="EV-0075"/>
    <x v="6"/>
    <x v="2"/>
    <x v="0"/>
    <x v="356"/>
    <x v="0"/>
    <x v="448"/>
    <n v="4386"/>
    <x v="0"/>
    <x v="0"/>
    <x v="1"/>
    <x v="1"/>
    <n v="12.77"/>
    <x v="0"/>
  </r>
  <r>
    <s v="EV-0233"/>
    <x v="2"/>
    <x v="4"/>
    <x v="0"/>
    <x v="357"/>
    <x v="3"/>
    <x v="449"/>
    <n v="114013"/>
    <x v="2"/>
    <x v="0"/>
    <x v="1"/>
    <x v="2"/>
    <n v="14.91"/>
    <x v="3"/>
  </r>
  <r>
    <s v="EV-0392"/>
    <x v="4"/>
    <x v="3"/>
    <x v="0"/>
    <x v="357"/>
    <x v="3"/>
    <x v="450"/>
    <n v="8921"/>
    <x v="2"/>
    <x v="0"/>
    <x v="1"/>
    <x v="1"/>
    <n v="10.19"/>
    <x v="3"/>
  </r>
  <r>
    <s v="EV-0279"/>
    <x v="6"/>
    <x v="1"/>
    <x v="0"/>
    <x v="358"/>
    <x v="2"/>
    <x v="451"/>
    <n v="66737"/>
    <x v="1"/>
    <x v="0"/>
    <x v="1"/>
    <x v="2"/>
    <n v="8.8000000000000007"/>
    <x v="2"/>
  </r>
  <r>
    <s v="EV-0394"/>
    <x v="3"/>
    <x v="0"/>
    <x v="0"/>
    <x v="358"/>
    <x v="2"/>
    <x v="6"/>
    <n v="44303"/>
    <x v="1"/>
    <x v="0"/>
    <x v="1"/>
    <x v="0"/>
    <n v="10.63"/>
    <x v="2"/>
  </r>
  <r>
    <s v="EV-0127"/>
    <x v="3"/>
    <x v="1"/>
    <x v="3"/>
    <x v="359"/>
    <x v="1"/>
    <x v="452"/>
    <n v="1247"/>
    <x v="1"/>
    <x v="1"/>
    <x v="1"/>
    <x v="1"/>
    <n v="8.68"/>
    <x v="1"/>
  </r>
  <r>
    <s v="EV-0167"/>
    <x v="5"/>
    <x v="1"/>
    <x v="0"/>
    <x v="360"/>
    <x v="1"/>
    <x v="453"/>
    <n v="54397"/>
    <x v="1"/>
    <x v="1"/>
    <x v="1"/>
    <x v="0"/>
    <n v="12.47"/>
    <x v="1"/>
  </r>
  <r>
    <s v="EV-0265"/>
    <x v="0"/>
    <x v="2"/>
    <x v="0"/>
    <x v="360"/>
    <x v="1"/>
    <x v="454"/>
    <n v="90033"/>
    <x v="1"/>
    <x v="1"/>
    <x v="1"/>
    <x v="2"/>
    <n v="11.1"/>
    <x v="1"/>
  </r>
  <r>
    <s v="EV-0315"/>
    <x v="3"/>
    <x v="3"/>
    <x v="0"/>
    <x v="361"/>
    <x v="1"/>
    <x v="455"/>
    <n v="38098"/>
    <x v="1"/>
    <x v="0"/>
    <x v="1"/>
    <x v="0"/>
    <n v="11.55"/>
    <x v="1"/>
  </r>
  <r>
    <s v="EV-0378"/>
    <x v="1"/>
    <x v="1"/>
    <x v="2"/>
    <x v="361"/>
    <x v="2"/>
    <x v="456"/>
    <n v="15461"/>
    <x v="1"/>
    <x v="0"/>
    <x v="1"/>
    <x v="1"/>
    <n v="8.84"/>
    <x v="2"/>
  </r>
  <r>
    <s v="EV-0277"/>
    <x v="3"/>
    <x v="4"/>
    <x v="0"/>
    <x v="362"/>
    <x v="1"/>
    <x v="457"/>
    <n v="71575"/>
    <x v="1"/>
    <x v="1"/>
    <x v="1"/>
    <x v="0"/>
    <n v="11.01"/>
    <x v="1"/>
  </r>
  <r>
    <s v="EV-0352"/>
    <x v="0"/>
    <x v="1"/>
    <x v="0"/>
    <x v="362"/>
    <x v="1"/>
    <x v="458"/>
    <n v="45893"/>
    <x v="1"/>
    <x v="0"/>
    <x v="1"/>
    <x v="0"/>
    <n v="12.17"/>
    <x v="1"/>
  </r>
  <r>
    <s v="EV-0403"/>
    <x v="4"/>
    <x v="0"/>
    <x v="1"/>
    <x v="363"/>
    <x v="0"/>
    <x v="459"/>
    <n v="604"/>
    <x v="0"/>
    <x v="1"/>
    <x v="1"/>
    <x v="1"/>
    <n v="10.53"/>
    <x v="0"/>
  </r>
  <r>
    <s v="EV-0017"/>
    <x v="5"/>
    <x v="0"/>
    <x v="0"/>
    <x v="364"/>
    <x v="0"/>
    <x v="460"/>
    <n v="121446"/>
    <x v="0"/>
    <x v="1"/>
    <x v="1"/>
    <x v="2"/>
    <n v="14.87"/>
    <x v="0"/>
  </r>
  <r>
    <s v="EV-0122"/>
    <x v="0"/>
    <x v="1"/>
    <x v="0"/>
    <x v="364"/>
    <x v="3"/>
    <x v="461"/>
    <n v="73447"/>
    <x v="2"/>
    <x v="0"/>
    <x v="1"/>
    <x v="2"/>
    <n v="9.75"/>
    <x v="3"/>
  </r>
  <r>
    <s v="EV-0280"/>
    <x v="3"/>
    <x v="2"/>
    <x v="0"/>
    <x v="364"/>
    <x v="3"/>
    <x v="462"/>
    <n v="139364"/>
    <x v="2"/>
    <x v="0"/>
    <x v="1"/>
    <x v="2"/>
    <n v="12.58"/>
    <x v="3"/>
  </r>
  <r>
    <s v="EV-0175"/>
    <x v="6"/>
    <x v="2"/>
    <x v="1"/>
    <x v="365"/>
    <x v="0"/>
    <x v="463"/>
    <n v="47370"/>
    <x v="0"/>
    <x v="0"/>
    <x v="1"/>
    <x v="1"/>
    <n v="286.32"/>
    <x v="0"/>
  </r>
  <r>
    <s v="EV-0428"/>
    <x v="0"/>
    <x v="2"/>
    <x v="0"/>
    <x v="366"/>
    <x v="0"/>
    <x v="464"/>
    <n v="106306"/>
    <x v="0"/>
    <x v="0"/>
    <x v="1"/>
    <x v="2"/>
    <n v="14.66"/>
    <x v="0"/>
  </r>
  <r>
    <s v="EV-0454"/>
    <x v="0"/>
    <x v="5"/>
    <x v="0"/>
    <x v="367"/>
    <x v="0"/>
    <x v="465"/>
    <n v="41371"/>
    <x v="0"/>
    <x v="0"/>
    <x v="1"/>
    <x v="0"/>
    <n v="12.16"/>
    <x v="0"/>
  </r>
  <r>
    <s v="EV-0273"/>
    <x v="0"/>
    <x v="3"/>
    <x v="0"/>
    <x v="368"/>
    <x v="0"/>
    <x v="466"/>
    <n v="114696"/>
    <x v="0"/>
    <x v="1"/>
    <x v="1"/>
    <x v="2"/>
    <n v="10.67"/>
    <x v="0"/>
  </r>
  <r>
    <s v="EV-0037"/>
    <x v="5"/>
    <x v="1"/>
    <x v="0"/>
    <x v="369"/>
    <x v="0"/>
    <x v="467"/>
    <n v="123101"/>
    <x v="0"/>
    <x v="1"/>
    <x v="1"/>
    <x v="2"/>
    <n v="14.37"/>
    <x v="0"/>
  </r>
  <r>
    <s v="EV-0191"/>
    <x v="1"/>
    <x v="2"/>
    <x v="1"/>
    <x v="370"/>
    <x v="3"/>
    <x v="468"/>
    <n v="3170"/>
    <x v="2"/>
    <x v="0"/>
    <x v="1"/>
    <x v="1"/>
    <n v="11.78"/>
    <x v="3"/>
  </r>
  <r>
    <s v="EV-0489"/>
    <x v="7"/>
    <x v="3"/>
    <x v="2"/>
    <x v="370"/>
    <x v="0"/>
    <x v="469"/>
    <n v="47370"/>
    <x v="0"/>
    <x v="1"/>
    <x v="1"/>
    <x v="1"/>
    <n v="36.299999999999997"/>
    <x v="0"/>
  </r>
  <r>
    <s v="EV-0355"/>
    <x v="1"/>
    <x v="1"/>
    <x v="1"/>
    <x v="371"/>
    <x v="1"/>
    <x v="85"/>
    <n v="6411"/>
    <x v="1"/>
    <x v="1"/>
    <x v="1"/>
    <x v="0"/>
    <n v="1.8"/>
    <x v="1"/>
  </r>
  <r>
    <s v="EV-0214"/>
    <x v="5"/>
    <x v="1"/>
    <x v="0"/>
    <x v="372"/>
    <x v="2"/>
    <x v="470"/>
    <n v="36853"/>
    <x v="1"/>
    <x v="0"/>
    <x v="1"/>
    <x v="0"/>
    <n v="8.6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CADF70-7621-4543-897F-1A6EB39AA51C}" name="PivotTable15" cacheId="6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2:B37" firstHeaderRow="1" firstDataRow="1" firstDataCol="1"/>
  <pivotFields count="14">
    <pivotField showAll="0"/>
    <pivotField showAll="0"/>
    <pivotField showAll="0"/>
    <pivotField showAll="0">
      <items count="5">
        <item x="0"/>
        <item x="3"/>
        <item x="1"/>
        <item x="2"/>
        <item t="default"/>
      </items>
    </pivotField>
    <pivotField showAll="0"/>
    <pivotField showAll="0">
      <items count="5">
        <item x="1"/>
        <item x="0"/>
        <item x="2"/>
        <item x="3"/>
        <item t="default"/>
      </items>
    </pivotField>
    <pivotField showAll="0"/>
    <pivotField dataField="1" numFmtId="165" showAll="0"/>
    <pivotField showAll="0"/>
    <pivotField showAll="0">
      <items count="4">
        <item x="1"/>
        <item x="0"/>
        <item x="2"/>
        <item t="default"/>
      </items>
    </pivotField>
    <pivotField showAll="0">
      <items count="4">
        <item x="1"/>
        <item x="0"/>
        <item x="2"/>
        <item t="default"/>
      </items>
    </pivotField>
    <pivotField showAll="0">
      <items count="4">
        <item x="2"/>
        <item x="1"/>
        <item x="0"/>
        <item t="default"/>
      </items>
    </pivotField>
    <pivotField numFmtId="164" showAll="0"/>
    <pivotField axis="axisRow" showAll="0">
      <items count="5">
        <item x="0"/>
        <item x="3"/>
        <item x="1"/>
        <item x="2"/>
        <item t="default"/>
      </items>
    </pivotField>
  </pivotFields>
  <rowFields count="1">
    <field x="13"/>
  </rowFields>
  <rowItems count="5">
    <i>
      <x/>
    </i>
    <i>
      <x v="1"/>
    </i>
    <i>
      <x v="2"/>
    </i>
    <i>
      <x v="3"/>
    </i>
    <i t="grand">
      <x/>
    </i>
  </rowItems>
  <colItems count="1">
    <i/>
  </colItems>
  <dataFields count="1">
    <dataField name="Sum of Revenue" fld="7" baseField="0" baseItem="0"/>
  </dataFields>
  <formats count="6">
    <format dxfId="41">
      <pivotArea type="all" dataOnly="0" outline="0" fieldPosition="0"/>
    </format>
    <format dxfId="40">
      <pivotArea outline="0" collapsedLevelsAreSubtotals="1" fieldPosition="0"/>
    </format>
    <format dxfId="39">
      <pivotArea field="13" type="button" dataOnly="0" labelOnly="1" outline="0" axis="axisRow" fieldPosition="0"/>
    </format>
    <format dxfId="38">
      <pivotArea dataOnly="0" labelOnly="1" fieldPosition="0">
        <references count="1">
          <reference field="13" count="0"/>
        </references>
      </pivotArea>
    </format>
    <format dxfId="37">
      <pivotArea dataOnly="0" labelOnly="1" grandRow="1" outline="0" fieldPosition="0"/>
    </format>
    <format dxfId="3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onnectors(Country)">
  <location ref="D14:E19"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items count="13">
        <item x="7"/>
        <item x="3"/>
        <item x="11"/>
        <item x="8"/>
        <item x="6"/>
        <item x="4"/>
        <item x="1"/>
        <item x="0"/>
        <item x="5"/>
        <item x="10"/>
        <item x="2"/>
        <item x="9"/>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5">
        <item x="3"/>
        <item x="0"/>
        <item x="2"/>
        <item x="1"/>
        <item t="default"/>
      </items>
    </pivotField>
  </pivotFields>
  <rowFields count="1">
    <field x="22"/>
  </rowFields>
  <rowItems count="5">
    <i>
      <x/>
    </i>
    <i>
      <x v="1"/>
    </i>
    <i>
      <x v="2"/>
    </i>
    <i>
      <x v="3"/>
    </i>
    <i t="grand">
      <x/>
    </i>
  </rowItems>
  <colItems count="1">
    <i/>
  </colItems>
  <dataFields count="1">
    <dataField name="Count of Country" fld="22" subtotal="count" baseField="2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Status">
  <location ref="E3:F9"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items count="13">
        <item x="7"/>
        <item x="3"/>
        <item x="11"/>
        <item x="8"/>
        <item x="6"/>
        <item x="4"/>
        <item x="1"/>
        <item x="0"/>
        <item x="5"/>
        <item x="10"/>
        <item x="2"/>
        <item x="9"/>
        <item t="default"/>
      </items>
    </pivotField>
    <pivotField showAll="0"/>
    <pivotField showAll="0"/>
    <pivotField axis="axisRow" dataField="1" showAll="0">
      <items count="6">
        <item x="4"/>
        <item x="1"/>
        <item x="0"/>
        <item x="3"/>
        <item x="2"/>
        <item t="default"/>
      </items>
    </pivotField>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Items count="1">
    <i/>
  </colItems>
  <dataFields count="1">
    <dataField name="Count of Status" fld="14" subtotal="count"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4:B27"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items count="13">
        <item x="7"/>
        <item x="3"/>
        <item x="11"/>
        <item x="8"/>
        <item x="6"/>
        <item x="4"/>
        <item x="1"/>
        <item x="0"/>
        <item x="5"/>
        <item x="10"/>
        <item x="2"/>
        <item x="9"/>
        <item t="default"/>
      </items>
    </pivotField>
    <pivotField axis="axisRow" showAll="0">
      <items count="13">
        <item x="7"/>
        <item x="3"/>
        <item x="11"/>
        <item x="8"/>
        <item x="6"/>
        <item x="4"/>
        <item x="1"/>
        <item x="0"/>
        <item x="5"/>
        <item x="10"/>
        <item x="2"/>
        <item x="9"/>
        <item t="default"/>
      </items>
    </pivotField>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s>
  <rowFields count="1">
    <field x="11"/>
  </rowFields>
  <rowItems count="13">
    <i>
      <x/>
    </i>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Sectors">
  <location ref="K13:L16" firstHeaderRow="1" firstDataRow="1" firstDataCol="1"/>
  <pivotFields count="23">
    <pivotField showAll="0"/>
    <pivotField showAll="0"/>
    <pivotField showAll="0"/>
    <pivotField showAll="0"/>
    <pivotField showAll="0"/>
    <pivotField showAll="0"/>
    <pivotField showAll="0"/>
    <pivotField showAll="0"/>
    <pivotField showAll="0">
      <items count="15">
        <item x="8"/>
        <item x="5"/>
        <item x="1"/>
        <item x="0"/>
        <item x="3"/>
        <item x="12"/>
        <item x="9"/>
        <item x="10"/>
        <item x="2"/>
        <item x="6"/>
        <item x="4"/>
        <item x="13"/>
        <item x="7"/>
        <item x="11"/>
        <item t="default"/>
      </items>
    </pivotField>
    <pivotField showAll="0">
      <items count="10">
        <item x="7"/>
        <item x="1"/>
        <item x="0"/>
        <item x="3"/>
        <item x="8"/>
        <item x="2"/>
        <item x="5"/>
        <item x="4"/>
        <item x="6"/>
        <item t="default"/>
      </items>
    </pivotField>
    <pivotField showAll="0">
      <items count="13">
        <item x="7"/>
        <item x="3"/>
        <item x="11"/>
        <item x="8"/>
        <item x="6"/>
        <item x="4"/>
        <item x="1"/>
        <item x="0"/>
        <item x="5"/>
        <item x="10"/>
        <item x="2"/>
        <item x="9"/>
        <item t="default"/>
      </items>
    </pivotField>
    <pivotField showAll="0">
      <items count="13">
        <item x="7"/>
        <item x="3"/>
        <item x="11"/>
        <item x="8"/>
        <item x="6"/>
        <item x="4"/>
        <item x="1"/>
        <item x="0"/>
        <item x="5"/>
        <item x="10"/>
        <item x="2"/>
        <item x="9"/>
        <item t="default"/>
      </items>
    </pivotField>
    <pivotField showAll="0"/>
    <pivotField showAll="0"/>
    <pivotField showAll="0">
      <items count="6">
        <item x="4"/>
        <item x="1"/>
        <item x="0"/>
        <item x="3"/>
        <item x="2"/>
        <item t="default"/>
      </items>
    </pivotField>
    <pivotField showAll="0">
      <items count="6">
        <item x="4"/>
        <item x="1"/>
        <item x="0"/>
        <item x="3"/>
        <item x="2"/>
        <item t="default"/>
      </items>
    </pivotField>
    <pivotField showAll="0">
      <items count="16">
        <item x="8"/>
        <item x="5"/>
        <item x="1"/>
        <item x="0"/>
        <item x="3"/>
        <item x="13"/>
        <item x="11"/>
        <item x="10"/>
        <item x="2"/>
        <item x="6"/>
        <item x="4"/>
        <item x="14"/>
        <item x="7"/>
        <item x="12"/>
        <item x="9"/>
        <item t="default"/>
      </items>
    </pivotField>
    <pivotField showAll="0">
      <items count="3">
        <item x="1"/>
        <item x="0"/>
        <item t="default"/>
      </items>
    </pivotField>
    <pivotField showAll="0">
      <items count="377">
        <item x="4"/>
        <item x="240"/>
        <item x="117"/>
        <item x="222"/>
        <item x="190"/>
        <item x="179"/>
        <item x="281"/>
        <item x="163"/>
        <item x="34"/>
        <item x="223"/>
        <item x="345"/>
        <item x="330"/>
        <item x="153"/>
        <item x="272"/>
        <item x="183"/>
        <item x="219"/>
        <item x="2"/>
        <item x="23"/>
        <item x="17"/>
        <item x="16"/>
        <item x="314"/>
        <item x="54"/>
        <item x="366"/>
        <item x="71"/>
        <item x="139"/>
        <item x="268"/>
        <item x="364"/>
        <item x="249"/>
        <item x="108"/>
        <item x="299"/>
        <item x="188"/>
        <item x="227"/>
        <item x="254"/>
        <item x="146"/>
        <item x="114"/>
        <item x="228"/>
        <item x="194"/>
        <item x="70"/>
        <item x="224"/>
        <item x="90"/>
        <item x="329"/>
        <item x="334"/>
        <item x="264"/>
        <item x="60"/>
        <item x="76"/>
        <item x="304"/>
        <item x="316"/>
        <item x="13"/>
        <item x="137"/>
        <item x="45"/>
        <item x="18"/>
        <item x="243"/>
        <item x="47"/>
        <item x="253"/>
        <item x="333"/>
        <item x="77"/>
        <item x="9"/>
        <item x="350"/>
        <item x="170"/>
        <item x="353"/>
        <item x="259"/>
        <item x="140"/>
        <item x="1"/>
        <item x="155"/>
        <item x="352"/>
        <item x="310"/>
        <item x="215"/>
        <item x="58"/>
        <item x="198"/>
        <item x="199"/>
        <item x="369"/>
        <item x="324"/>
        <item x="235"/>
        <item x="351"/>
        <item x="134"/>
        <item x="7"/>
        <item x="261"/>
        <item x="124"/>
        <item x="141"/>
        <item x="291"/>
        <item x="41"/>
        <item x="162"/>
        <item x="37"/>
        <item x="175"/>
        <item x="82"/>
        <item x="95"/>
        <item x="280"/>
        <item x="203"/>
        <item x="276"/>
        <item x="92"/>
        <item x="168"/>
        <item x="262"/>
        <item x="305"/>
        <item x="242"/>
        <item x="68"/>
        <item x="25"/>
        <item x="208"/>
        <item x="360"/>
        <item x="322"/>
        <item x="85"/>
        <item x="357"/>
        <item x="115"/>
        <item x="118"/>
        <item x="278"/>
        <item x="234"/>
        <item x="42"/>
        <item x="293"/>
        <item x="19"/>
        <item x="102"/>
        <item x="29"/>
        <item x="6"/>
        <item x="217"/>
        <item x="73"/>
        <item x="109"/>
        <item x="20"/>
        <item x="308"/>
        <item x="275"/>
        <item x="231"/>
        <item x="323"/>
        <item x="187"/>
        <item x="189"/>
        <item x="239"/>
        <item x="5"/>
        <item x="126"/>
        <item x="216"/>
        <item x="260"/>
        <item x="263"/>
        <item x="151"/>
        <item x="321"/>
        <item x="371"/>
        <item x="129"/>
        <item x="52"/>
        <item x="125"/>
        <item x="87"/>
        <item x="113"/>
        <item x="98"/>
        <item x="354"/>
        <item x="365"/>
        <item x="32"/>
        <item x="232"/>
        <item x="355"/>
        <item x="339"/>
        <item x="286"/>
        <item x="75"/>
        <item x="62"/>
        <item x="292"/>
        <item x="172"/>
        <item x="348"/>
        <item x="326"/>
        <item x="343"/>
        <item x="186"/>
        <item x="210"/>
        <item x="298"/>
        <item x="112"/>
        <item x="181"/>
        <item x="104"/>
        <item x="229"/>
        <item x="367"/>
        <item x="44"/>
        <item x="218"/>
        <item x="257"/>
        <item x="40"/>
        <item x="359"/>
        <item x="50"/>
        <item x="337"/>
        <item x="246"/>
        <item x="84"/>
        <item x="48"/>
        <item x="66"/>
        <item x="184"/>
        <item x="81"/>
        <item x="338"/>
        <item x="83"/>
        <item x="174"/>
        <item x="59"/>
        <item x="97"/>
        <item x="46"/>
        <item x="148"/>
        <item x="147"/>
        <item x="282"/>
        <item x="121"/>
        <item x="133"/>
        <item x="279"/>
        <item x="255"/>
        <item x="309"/>
        <item x="241"/>
        <item x="247"/>
        <item x="317"/>
        <item x="157"/>
        <item x="15"/>
        <item x="206"/>
        <item x="375"/>
        <item x="131"/>
        <item x="245"/>
        <item x="161"/>
        <item x="212"/>
        <item x="372"/>
        <item x="265"/>
        <item x="30"/>
        <item x="214"/>
        <item x="78"/>
        <item x="285"/>
        <item x="327"/>
        <item x="123"/>
        <item x="56"/>
        <item x="96"/>
        <item x="248"/>
        <item x="149"/>
        <item x="238"/>
        <item x="201"/>
        <item x="301"/>
        <item x="277"/>
        <item x="192"/>
        <item x="290"/>
        <item x="182"/>
        <item x="136"/>
        <item x="120"/>
        <item x="166"/>
        <item x="302"/>
        <item x="21"/>
        <item x="336"/>
        <item x="169"/>
        <item x="303"/>
        <item x="135"/>
        <item x="230"/>
        <item x="213"/>
        <item x="320"/>
        <item x="204"/>
        <item x="150"/>
        <item x="178"/>
        <item x="196"/>
        <item x="93"/>
        <item x="57"/>
        <item x="335"/>
        <item x="128"/>
        <item x="176"/>
        <item x="270"/>
        <item x="296"/>
        <item x="341"/>
        <item x="12"/>
        <item x="202"/>
        <item x="267"/>
        <item x="373"/>
        <item x="61"/>
        <item x="152"/>
        <item x="221"/>
        <item x="289"/>
        <item x="101"/>
        <item x="24"/>
        <item x="332"/>
        <item x="319"/>
        <item x="39"/>
        <item x="311"/>
        <item x="237"/>
        <item x="67"/>
        <item x="312"/>
        <item x="294"/>
        <item x="132"/>
        <item x="300"/>
        <item x="220"/>
        <item x="31"/>
        <item x="14"/>
        <item x="313"/>
        <item x="306"/>
        <item x="145"/>
        <item x="180"/>
        <item x="22"/>
        <item x="51"/>
        <item x="356"/>
        <item x="205"/>
        <item x="91"/>
        <item x="344"/>
        <item x="65"/>
        <item x="315"/>
        <item x="331"/>
        <item x="171"/>
        <item x="142"/>
        <item x="64"/>
        <item x="226"/>
        <item x="362"/>
        <item x="79"/>
        <item x="370"/>
        <item x="0"/>
        <item x="99"/>
        <item x="160"/>
        <item x="122"/>
        <item x="325"/>
        <item x="252"/>
        <item x="89"/>
        <item x="27"/>
        <item x="269"/>
        <item x="251"/>
        <item x="119"/>
        <item x="318"/>
        <item x="244"/>
        <item x="200"/>
        <item x="72"/>
        <item x="349"/>
        <item x="346"/>
        <item x="233"/>
        <item x="86"/>
        <item x="211"/>
        <item x="250"/>
        <item x="307"/>
        <item x="10"/>
        <item x="144"/>
        <item x="156"/>
        <item x="88"/>
        <item x="103"/>
        <item x="361"/>
        <item x="100"/>
        <item x="207"/>
        <item x="287"/>
        <item x="38"/>
        <item x="28"/>
        <item x="342"/>
        <item x="69"/>
        <item x="374"/>
        <item x="225"/>
        <item x="209"/>
        <item x="26"/>
        <item x="358"/>
        <item x="116"/>
        <item x="165"/>
        <item x="154"/>
        <item x="236"/>
        <item x="256"/>
        <item x="94"/>
        <item x="55"/>
        <item x="288"/>
        <item x="191"/>
        <item x="295"/>
        <item x="8"/>
        <item x="11"/>
        <item x="3"/>
        <item x="127"/>
        <item x="130"/>
        <item x="297"/>
        <item x="158"/>
        <item x="328"/>
        <item x="273"/>
        <item x="138"/>
        <item x="35"/>
        <item x="195"/>
        <item x="167"/>
        <item x="43"/>
        <item x="197"/>
        <item x="106"/>
        <item x="159"/>
        <item x="368"/>
        <item x="74"/>
        <item x="107"/>
        <item x="177"/>
        <item x="283"/>
        <item x="284"/>
        <item x="143"/>
        <item x="258"/>
        <item x="111"/>
        <item x="36"/>
        <item x="53"/>
        <item x="266"/>
        <item x="33"/>
        <item x="193"/>
        <item x="347"/>
        <item x="110"/>
        <item x="63"/>
        <item x="185"/>
        <item x="340"/>
        <item x="80"/>
        <item x="271"/>
        <item x="173"/>
        <item x="105"/>
        <item x="363"/>
        <item x="49"/>
        <item x="274"/>
        <item x="164"/>
        <item t="default"/>
      </items>
    </pivotField>
    <pivotField axis="axisRow" dataField="1" showAll="0">
      <items count="3">
        <item x="1"/>
        <item x="0"/>
        <item t="default"/>
      </items>
    </pivotField>
    <pivotField showAll="0">
      <items count="4">
        <item x="1"/>
        <item x="0"/>
        <item x="2"/>
        <item t="default"/>
      </items>
    </pivotField>
    <pivotField showAll="0">
      <items count="6">
        <item x="3"/>
        <item x="1"/>
        <item x="0"/>
        <item x="2"/>
        <item x="4"/>
        <item t="default"/>
      </items>
    </pivotField>
    <pivotField showAll="0"/>
  </pivotFields>
  <rowFields count="1">
    <field x="19"/>
  </rowFields>
  <rowItems count="3">
    <i>
      <x/>
    </i>
    <i>
      <x v="1"/>
    </i>
    <i t="grand">
      <x/>
    </i>
  </rowItems>
  <colItems count="1">
    <i/>
  </colItems>
  <dataFields count="1">
    <dataField name="Count of Sectors" fld="19" subtotal="count" baseField="1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I8"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2"/>
        <item x="3"/>
        <item x="1"/>
        <item x="0"/>
        <item t="default"/>
      </items>
    </pivotField>
    <pivotField showAll="0">
      <items count="6">
        <item x="4"/>
        <item x="1"/>
        <item x="0"/>
        <item x="3"/>
        <item x="2"/>
        <item t="default"/>
      </items>
    </pivotField>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Count of Connectors" fld="13"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onnectors(Speed)">
  <location ref="G14:H18"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77">
        <item x="4"/>
        <item x="240"/>
        <item x="117"/>
        <item x="222"/>
        <item x="190"/>
        <item x="179"/>
        <item x="281"/>
        <item x="163"/>
        <item x="34"/>
        <item x="223"/>
        <item x="345"/>
        <item x="330"/>
        <item x="153"/>
        <item x="272"/>
        <item x="183"/>
        <item x="219"/>
        <item x="2"/>
        <item x="23"/>
        <item x="17"/>
        <item x="16"/>
        <item x="314"/>
        <item x="54"/>
        <item x="366"/>
        <item x="71"/>
        <item x="139"/>
        <item x="268"/>
        <item x="364"/>
        <item x="249"/>
        <item x="108"/>
        <item x="299"/>
        <item x="188"/>
        <item x="227"/>
        <item x="254"/>
        <item x="146"/>
        <item x="114"/>
        <item x="228"/>
        <item x="194"/>
        <item x="70"/>
        <item x="224"/>
        <item x="90"/>
        <item x="329"/>
        <item x="334"/>
        <item x="264"/>
        <item x="60"/>
        <item x="76"/>
        <item x="304"/>
        <item x="316"/>
        <item x="13"/>
        <item x="137"/>
        <item x="45"/>
        <item x="18"/>
        <item x="243"/>
        <item x="47"/>
        <item x="253"/>
        <item x="333"/>
        <item x="77"/>
        <item x="9"/>
        <item x="350"/>
        <item x="170"/>
        <item x="353"/>
        <item x="259"/>
        <item x="140"/>
        <item x="1"/>
        <item x="155"/>
        <item x="352"/>
        <item x="310"/>
        <item x="215"/>
        <item x="58"/>
        <item x="198"/>
        <item x="199"/>
        <item x="369"/>
        <item x="324"/>
        <item x="235"/>
        <item x="351"/>
        <item x="134"/>
        <item x="7"/>
        <item x="261"/>
        <item x="124"/>
        <item x="141"/>
        <item x="291"/>
        <item x="41"/>
        <item x="162"/>
        <item x="37"/>
        <item x="175"/>
        <item x="82"/>
        <item x="95"/>
        <item x="280"/>
        <item x="203"/>
        <item x="276"/>
        <item x="92"/>
        <item x="168"/>
        <item x="262"/>
        <item x="305"/>
        <item x="242"/>
        <item x="68"/>
        <item x="25"/>
        <item x="208"/>
        <item x="360"/>
        <item x="322"/>
        <item x="85"/>
        <item x="357"/>
        <item x="115"/>
        <item x="118"/>
        <item x="278"/>
        <item x="234"/>
        <item x="42"/>
        <item x="293"/>
        <item x="19"/>
        <item x="102"/>
        <item x="29"/>
        <item x="6"/>
        <item x="217"/>
        <item x="73"/>
        <item x="109"/>
        <item x="20"/>
        <item x="308"/>
        <item x="275"/>
        <item x="231"/>
        <item x="323"/>
        <item x="187"/>
        <item x="189"/>
        <item x="239"/>
        <item x="5"/>
        <item x="126"/>
        <item x="216"/>
        <item x="260"/>
        <item x="263"/>
        <item x="151"/>
        <item x="321"/>
        <item x="371"/>
        <item x="129"/>
        <item x="52"/>
        <item x="125"/>
        <item x="87"/>
        <item x="113"/>
        <item x="98"/>
        <item x="354"/>
        <item x="365"/>
        <item x="32"/>
        <item x="232"/>
        <item x="355"/>
        <item x="339"/>
        <item x="286"/>
        <item x="75"/>
        <item x="62"/>
        <item x="292"/>
        <item x="172"/>
        <item x="348"/>
        <item x="326"/>
        <item x="343"/>
        <item x="186"/>
        <item x="210"/>
        <item x="298"/>
        <item x="112"/>
        <item x="181"/>
        <item x="104"/>
        <item x="229"/>
        <item x="367"/>
        <item x="44"/>
        <item x="218"/>
        <item x="257"/>
        <item x="40"/>
        <item x="359"/>
        <item x="50"/>
        <item x="337"/>
        <item x="246"/>
        <item x="84"/>
        <item x="48"/>
        <item x="66"/>
        <item x="184"/>
        <item x="81"/>
        <item x="338"/>
        <item x="83"/>
        <item x="174"/>
        <item x="59"/>
        <item x="97"/>
        <item x="46"/>
        <item x="148"/>
        <item x="147"/>
        <item x="282"/>
        <item x="121"/>
        <item x="133"/>
        <item x="279"/>
        <item x="255"/>
        <item x="309"/>
        <item x="241"/>
        <item x="247"/>
        <item x="317"/>
        <item x="157"/>
        <item x="15"/>
        <item x="206"/>
        <item x="375"/>
        <item x="131"/>
        <item x="245"/>
        <item x="161"/>
        <item x="212"/>
        <item x="372"/>
        <item x="265"/>
        <item x="30"/>
        <item x="214"/>
        <item x="78"/>
        <item x="285"/>
        <item x="327"/>
        <item x="123"/>
        <item x="56"/>
        <item x="96"/>
        <item x="248"/>
        <item x="149"/>
        <item x="238"/>
        <item x="201"/>
        <item x="301"/>
        <item x="277"/>
        <item x="192"/>
        <item x="290"/>
        <item x="182"/>
        <item x="136"/>
        <item x="120"/>
        <item x="166"/>
        <item x="302"/>
        <item x="21"/>
        <item x="336"/>
        <item x="169"/>
        <item x="303"/>
        <item x="135"/>
        <item x="230"/>
        <item x="213"/>
        <item x="320"/>
        <item x="204"/>
        <item x="150"/>
        <item x="178"/>
        <item x="196"/>
        <item x="93"/>
        <item x="57"/>
        <item x="335"/>
        <item x="128"/>
        <item x="176"/>
        <item x="270"/>
        <item x="296"/>
        <item x="341"/>
        <item x="12"/>
        <item x="202"/>
        <item x="267"/>
        <item x="373"/>
        <item x="61"/>
        <item x="152"/>
        <item x="221"/>
        <item x="289"/>
        <item x="101"/>
        <item x="24"/>
        <item x="332"/>
        <item x="319"/>
        <item x="39"/>
        <item x="311"/>
        <item x="237"/>
        <item x="67"/>
        <item x="312"/>
        <item x="294"/>
        <item x="132"/>
        <item x="300"/>
        <item x="220"/>
        <item x="31"/>
        <item x="14"/>
        <item x="313"/>
        <item x="306"/>
        <item x="145"/>
        <item x="180"/>
        <item x="22"/>
        <item x="51"/>
        <item x="356"/>
        <item x="205"/>
        <item x="91"/>
        <item x="344"/>
        <item x="65"/>
        <item x="315"/>
        <item x="331"/>
        <item x="171"/>
        <item x="142"/>
        <item x="64"/>
        <item x="226"/>
        <item x="362"/>
        <item x="79"/>
        <item x="370"/>
        <item x="0"/>
        <item x="99"/>
        <item x="160"/>
        <item x="122"/>
        <item x="325"/>
        <item x="252"/>
        <item x="89"/>
        <item x="27"/>
        <item x="269"/>
        <item x="251"/>
        <item x="119"/>
        <item x="318"/>
        <item x="244"/>
        <item x="200"/>
        <item x="72"/>
        <item x="349"/>
        <item x="346"/>
        <item x="233"/>
        <item x="86"/>
        <item x="211"/>
        <item x="250"/>
        <item x="307"/>
        <item x="10"/>
        <item x="144"/>
        <item x="156"/>
        <item x="88"/>
        <item x="103"/>
        <item x="361"/>
        <item x="100"/>
        <item x="207"/>
        <item x="287"/>
        <item x="38"/>
        <item x="28"/>
        <item x="342"/>
        <item x="69"/>
        <item x="374"/>
        <item x="225"/>
        <item x="209"/>
        <item x="26"/>
        <item x="358"/>
        <item x="116"/>
        <item x="165"/>
        <item x="154"/>
        <item x="236"/>
        <item x="256"/>
        <item x="94"/>
        <item x="55"/>
        <item x="288"/>
        <item x="191"/>
        <item x="295"/>
        <item x="8"/>
        <item x="11"/>
        <item x="3"/>
        <item x="127"/>
        <item x="130"/>
        <item x="297"/>
        <item x="158"/>
        <item x="328"/>
        <item x="273"/>
        <item x="138"/>
        <item x="35"/>
        <item x="195"/>
        <item x="167"/>
        <item x="43"/>
        <item x="197"/>
        <item x="106"/>
        <item x="159"/>
        <item x="368"/>
        <item x="74"/>
        <item x="107"/>
        <item x="177"/>
        <item x="283"/>
        <item x="284"/>
        <item x="143"/>
        <item x="258"/>
        <item x="111"/>
        <item x="36"/>
        <item x="53"/>
        <item x="266"/>
        <item x="33"/>
        <item x="193"/>
        <item x="347"/>
        <item x="110"/>
        <item x="63"/>
        <item x="185"/>
        <item x="340"/>
        <item x="80"/>
        <item x="271"/>
        <item x="173"/>
        <item x="105"/>
        <item x="363"/>
        <item x="49"/>
        <item x="274"/>
        <item x="164"/>
        <item t="default"/>
      </items>
    </pivotField>
    <pivotField showAll="0">
      <items count="3">
        <item x="1"/>
        <item x="0"/>
        <item t="default"/>
      </items>
    </pivotField>
    <pivotField axis="axisRow" dataField="1" showAll="0">
      <items count="4">
        <item x="1"/>
        <item x="0"/>
        <item x="2"/>
        <item t="default"/>
      </items>
    </pivotField>
    <pivotField showAll="0">
      <items count="6">
        <item x="3"/>
        <item x="1"/>
        <item x="0"/>
        <item x="2"/>
        <item x="4"/>
        <item t="default"/>
      </items>
    </pivotField>
    <pivotField showAll="0"/>
  </pivotFields>
  <rowFields count="1">
    <field x="20"/>
  </rowFields>
  <rowItems count="4">
    <i>
      <x/>
    </i>
    <i>
      <x v="1"/>
    </i>
    <i>
      <x v="2"/>
    </i>
    <i t="grand">
      <x/>
    </i>
  </rowItems>
  <colItems count="1">
    <i/>
  </colItems>
  <dataFields count="1">
    <dataField name="Count of the Connectors" fld="20" subtotal="count" baseField="2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ity">
  <location ref="A1:B11" firstHeaderRow="1" firstDataRow="1" firstDataCol="1"/>
  <pivotFields count="23">
    <pivotField showAll="0"/>
    <pivotField showAll="0">
      <items count="15">
        <item x="5"/>
        <item x="1"/>
        <item x="0"/>
        <item x="3"/>
        <item x="12"/>
        <item x="9"/>
        <item x="10"/>
        <item x="2"/>
        <item x="6"/>
        <item x="4"/>
        <item x="13"/>
        <item x="7"/>
        <item x="11"/>
        <item x="8"/>
        <item t="default"/>
      </items>
    </pivotField>
    <pivotField showAll="0"/>
    <pivotField showAll="0"/>
    <pivotField showAll="0"/>
    <pivotField showAll="0"/>
    <pivotField showAll="0"/>
    <pivotField showAll="0"/>
    <pivotField showAll="0"/>
    <pivotField axis="axisRow" dataField="1" showAll="0">
      <items count="10">
        <item x="7"/>
        <item x="1"/>
        <item x="0"/>
        <item x="3"/>
        <item x="8"/>
        <item x="2"/>
        <item x="5"/>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ity" fld="9"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007E66-5219-46A9-864B-B0DA36F718AF}" name="PivotTable26" cacheId="6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75:B79" firstHeaderRow="1" firstDataRow="1" firstDataCol="1"/>
  <pivotFields count="14">
    <pivotField showAll="0"/>
    <pivotField showAll="0"/>
    <pivotField showAll="0"/>
    <pivotField showAll="0">
      <items count="5">
        <item x="0"/>
        <item x="3"/>
        <item x="1"/>
        <item x="2"/>
        <item t="default"/>
      </items>
    </pivotField>
    <pivotField showAll="0">
      <items count="374">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6"/>
        <item x="18"/>
        <item x="17"/>
        <item x="15"/>
        <item x="14"/>
        <item x="13"/>
        <item x="12"/>
        <item x="11"/>
        <item x="10"/>
        <item x="9"/>
        <item x="8"/>
        <item x="7"/>
        <item x="6"/>
        <item x="5"/>
        <item x="4"/>
        <item x="3"/>
        <item x="2"/>
        <item x="1"/>
        <item x="0"/>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37"/>
        <item x="236"/>
        <item x="235"/>
        <item x="230"/>
        <item x="229"/>
        <item x="227"/>
        <item x="226"/>
        <item x="222"/>
        <item x="221"/>
        <item x="220"/>
        <item x="240"/>
        <item x="225"/>
        <item x="219"/>
        <item x="234"/>
        <item x="224"/>
        <item x="239"/>
        <item x="233"/>
        <item x="228"/>
        <item x="223"/>
        <item x="217"/>
        <item x="238"/>
        <item x="232"/>
        <item x="218"/>
        <item x="231"/>
        <item t="default"/>
      </items>
    </pivotField>
    <pivotField showAll="0">
      <items count="5">
        <item x="1"/>
        <item x="0"/>
        <item x="2"/>
        <item x="3"/>
        <item t="default"/>
      </items>
    </pivotField>
    <pivotField showAll="0">
      <items count="472">
        <item x="282"/>
        <item x="1"/>
        <item x="430"/>
        <item x="58"/>
        <item x="242"/>
        <item x="288"/>
        <item x="408"/>
        <item x="381"/>
        <item x="87"/>
        <item x="19"/>
        <item x="164"/>
        <item x="236"/>
        <item x="306"/>
        <item x="167"/>
        <item x="414"/>
        <item x="129"/>
        <item x="304"/>
        <item x="459"/>
        <item x="233"/>
        <item x="215"/>
        <item x="130"/>
        <item x="312"/>
        <item x="255"/>
        <item x="365"/>
        <item x="335"/>
        <item x="145"/>
        <item x="301"/>
        <item x="144"/>
        <item x="79"/>
        <item x="189"/>
        <item x="134"/>
        <item x="380"/>
        <item x="202"/>
        <item x="251"/>
        <item x="441"/>
        <item x="198"/>
        <item x="294"/>
        <item x="157"/>
        <item x="258"/>
        <item x="436"/>
        <item x="15"/>
        <item x="150"/>
        <item x="316"/>
        <item x="452"/>
        <item x="199"/>
        <item x="246"/>
        <item x="384"/>
        <item x="373"/>
        <item x="28"/>
        <item x="390"/>
        <item x="463"/>
        <item x="270"/>
        <item x="117"/>
        <item x="23"/>
        <item x="319"/>
        <item x="57"/>
        <item x="272"/>
        <item x="400"/>
        <item x="180"/>
        <item x="229"/>
        <item x="95"/>
        <item x="31"/>
        <item x="175"/>
        <item x="172"/>
        <item x="54"/>
        <item x="135"/>
        <item x="158"/>
        <item x="51"/>
        <item x="345"/>
        <item x="161"/>
        <item x="279"/>
        <item x="424"/>
        <item x="425"/>
        <item x="10"/>
        <item x="468"/>
        <item x="126"/>
        <item x="396"/>
        <item x="287"/>
        <item x="245"/>
        <item x="192"/>
        <item x="431"/>
        <item x="330"/>
        <item x="92"/>
        <item x="410"/>
        <item x="89"/>
        <item x="208"/>
        <item x="360"/>
        <item x="364"/>
        <item x="448"/>
        <item x="376"/>
        <item x="228"/>
        <item x="389"/>
        <item x="70"/>
        <item x="223"/>
        <item x="143"/>
        <item x="206"/>
        <item x="32"/>
        <item x="47"/>
        <item x="331"/>
        <item x="321"/>
        <item x="118"/>
        <item x="285"/>
        <item x="38"/>
        <item x="156"/>
        <item x="358"/>
        <item x="20"/>
        <item x="379"/>
        <item x="193"/>
        <item x="333"/>
        <item x="446"/>
        <item x="41"/>
        <item x="307"/>
        <item x="298"/>
        <item x="402"/>
        <item x="326"/>
        <item x="248"/>
        <item x="81"/>
        <item x="250"/>
        <item x="3"/>
        <item x="9"/>
        <item x="241"/>
        <item x="260"/>
        <item x="50"/>
        <item x="190"/>
        <item x="263"/>
        <item x="165"/>
        <item x="249"/>
        <item x="450"/>
        <item x="403"/>
        <item x="2"/>
        <item x="342"/>
        <item x="160"/>
        <item x="14"/>
        <item x="45"/>
        <item x="399"/>
        <item x="378"/>
        <item x="121"/>
        <item x="406"/>
        <item x="200"/>
        <item x="291"/>
        <item x="207"/>
        <item x="296"/>
        <item x="139"/>
        <item x="382"/>
        <item x="183"/>
        <item x="445"/>
        <item x="174"/>
        <item x="469"/>
        <item x="39"/>
        <item x="106"/>
        <item x="349"/>
        <item x="257"/>
        <item x="111"/>
        <item x="84"/>
        <item x="244"/>
        <item x="311"/>
        <item x="415"/>
        <item x="398"/>
        <item x="427"/>
        <item x="99"/>
        <item x="443"/>
        <item x="456"/>
        <item x="170"/>
        <item x="94"/>
        <item x="265"/>
        <item x="159"/>
        <item x="256"/>
        <item x="434"/>
        <item x="293"/>
        <item x="104"/>
        <item x="386"/>
        <item x="44"/>
        <item x="114"/>
        <item x="74"/>
        <item x="234"/>
        <item x="86"/>
        <item x="66"/>
        <item x="100"/>
        <item x="308"/>
        <item x="230"/>
        <item x="83"/>
        <item x="77"/>
        <item x="48"/>
        <item x="148"/>
        <item x="276"/>
        <item x="274"/>
        <item x="40"/>
        <item x="252"/>
        <item x="8"/>
        <item x="341"/>
        <item x="318"/>
        <item x="166"/>
        <item x="153"/>
        <item x="284"/>
        <item x="35"/>
        <item x="416"/>
        <item x="80"/>
        <item x="397"/>
        <item x="0"/>
        <item x="213"/>
        <item x="90"/>
        <item x="76"/>
        <item x="216"/>
        <item x="235"/>
        <item x="138"/>
        <item x="407"/>
        <item x="67"/>
        <item x="361"/>
        <item x="191"/>
        <item x="325"/>
        <item x="128"/>
        <item x="63"/>
        <item x="113"/>
        <item x="30"/>
        <item x="455"/>
        <item x="196"/>
        <item x="351"/>
        <item x="392"/>
        <item x="309"/>
        <item x="465"/>
        <item x="375"/>
        <item x="310"/>
        <item x="280"/>
        <item x="62"/>
        <item x="355"/>
        <item x="370"/>
        <item x="85"/>
        <item x="409"/>
        <item x="163"/>
        <item x="432"/>
        <item x="37"/>
        <item x="152"/>
        <item x="243"/>
        <item x="458"/>
        <item x="322"/>
        <item x="327"/>
        <item x="395"/>
        <item x="108"/>
        <item x="336"/>
        <item x="56"/>
        <item x="195"/>
        <item x="212"/>
        <item x="247"/>
        <item x="302"/>
        <item x="343"/>
        <item x="59"/>
        <item x="362"/>
        <item x="368"/>
        <item x="24"/>
        <item x="6"/>
        <item x="428"/>
        <item x="12"/>
        <item x="273"/>
        <item x="470"/>
        <item x="323"/>
        <item x="453"/>
        <item x="253"/>
        <item x="53"/>
        <item x="13"/>
        <item x="231"/>
        <item x="440"/>
        <item x="220"/>
        <item x="5"/>
        <item x="107"/>
        <item x="356"/>
        <item x="303"/>
        <item x="420"/>
        <item x="413"/>
        <item x="93"/>
        <item x="417"/>
        <item x="347"/>
        <item x="16"/>
        <item x="329"/>
        <item x="438"/>
        <item x="363"/>
        <item x="171"/>
        <item x="346"/>
        <item x="334"/>
        <item x="254"/>
        <item x="146"/>
        <item x="261"/>
        <item x="377"/>
        <item x="411"/>
        <item x="238"/>
        <item x="102"/>
        <item x="286"/>
        <item x="82"/>
        <item x="237"/>
        <item x="374"/>
        <item x="42"/>
        <item x="210"/>
        <item x="147"/>
        <item x="339"/>
        <item x="324"/>
        <item x="155"/>
        <item x="262"/>
        <item x="268"/>
        <item x="188"/>
        <item x="33"/>
        <item x="340"/>
        <item x="52"/>
        <item x="197"/>
        <item x="421"/>
        <item x="46"/>
        <item x="18"/>
        <item x="211"/>
        <item x="232"/>
        <item x="186"/>
        <item x="383"/>
        <item x="300"/>
        <item x="423"/>
        <item x="64"/>
        <item x="110"/>
        <item x="357"/>
        <item x="22"/>
        <item x="132"/>
        <item x="97"/>
        <item x="43"/>
        <item x="219"/>
        <item x="457"/>
        <item x="68"/>
        <item x="173"/>
        <item x="217"/>
        <item x="36"/>
        <item x="125"/>
        <item x="221"/>
        <item x="101"/>
        <item x="299"/>
        <item x="292"/>
        <item x="435"/>
        <item x="154"/>
        <item x="437"/>
        <item x="418"/>
        <item x="464"/>
        <item x="115"/>
        <item x="277"/>
        <item x="401"/>
        <item x="214"/>
        <item x="4"/>
        <item x="439"/>
        <item x="240"/>
        <item x="239"/>
        <item x="387"/>
        <item x="201"/>
        <item x="461"/>
        <item x="451"/>
        <item x="449"/>
        <item x="162"/>
        <item x="72"/>
        <item x="133"/>
        <item x="61"/>
        <item x="353"/>
        <item x="131"/>
        <item x="317"/>
        <item x="122"/>
        <item x="184"/>
        <item x="149"/>
        <item x="454"/>
        <item x="194"/>
        <item x="264"/>
        <item x="314"/>
        <item x="460"/>
        <item x="295"/>
        <item x="289"/>
        <item x="404"/>
        <item x="187"/>
        <item x="366"/>
        <item x="98"/>
        <item x="169"/>
        <item x="177"/>
        <item x="27"/>
        <item x="55"/>
        <item x="467"/>
        <item x="444"/>
        <item x="367"/>
        <item x="34"/>
        <item x="112"/>
        <item x="120"/>
        <item x="269"/>
        <item x="178"/>
        <item x="422"/>
        <item x="181"/>
        <item x="385"/>
        <item x="350"/>
        <item x="179"/>
        <item x="354"/>
        <item x="185"/>
        <item x="281"/>
        <item x="283"/>
        <item x="369"/>
        <item x="204"/>
        <item x="105"/>
        <item x="103"/>
        <item x="7"/>
        <item x="320"/>
        <item x="91"/>
        <item x="315"/>
        <item x="140"/>
        <item x="176"/>
        <item x="359"/>
        <item x="305"/>
        <item x="297"/>
        <item x="123"/>
        <item x="218"/>
        <item x="259"/>
        <item x="371"/>
        <item x="393"/>
        <item x="11"/>
        <item x="388"/>
        <item x="344"/>
        <item x="372"/>
        <item x="17"/>
        <item x="65"/>
        <item x="78"/>
        <item x="275"/>
        <item x="225"/>
        <item x="127"/>
        <item x="203"/>
        <item x="267"/>
        <item x="119"/>
        <item x="313"/>
        <item x="227"/>
        <item x="447"/>
        <item x="136"/>
        <item x="337"/>
        <item x="205"/>
        <item x="429"/>
        <item x="412"/>
        <item x="278"/>
        <item x="222"/>
        <item x="442"/>
        <item x="75"/>
        <item x="419"/>
        <item x="73"/>
        <item x="60"/>
        <item x="168"/>
        <item x="466"/>
        <item x="426"/>
        <item x="29"/>
        <item x="69"/>
        <item x="394"/>
        <item x="124"/>
        <item x="26"/>
        <item x="328"/>
        <item x="271"/>
        <item x="462"/>
        <item x="88"/>
        <item x="338"/>
        <item x="21"/>
        <item x="49"/>
        <item x="352"/>
        <item x="209"/>
        <item x="151"/>
        <item x="290"/>
        <item x="433"/>
        <item x="109"/>
        <item x="266"/>
        <item x="391"/>
        <item x="96"/>
        <item x="25"/>
        <item x="141"/>
        <item x="116"/>
        <item x="182"/>
        <item x="405"/>
        <item x="332"/>
        <item x="71"/>
        <item x="142"/>
        <item x="348"/>
        <item x="226"/>
        <item x="137"/>
        <item x="224"/>
        <item t="default"/>
      </items>
    </pivotField>
    <pivotField dataField="1" numFmtId="165" showAll="0"/>
    <pivotField showAll="0"/>
    <pivotField showAll="0"/>
    <pivotField axis="axisRow" showAll="0">
      <items count="4">
        <item x="1"/>
        <item x="0"/>
        <item x="2"/>
        <item t="default"/>
      </items>
    </pivotField>
    <pivotField showAll="0">
      <items count="4">
        <item x="2"/>
        <item x="1"/>
        <item x="0"/>
        <item t="default"/>
      </items>
    </pivotField>
    <pivotField numFmtId="164" showAll="0"/>
    <pivotField showAll="0"/>
  </pivotFields>
  <rowFields count="1">
    <field x="10"/>
  </rowFields>
  <rowItems count="4">
    <i>
      <x/>
    </i>
    <i>
      <x v="1"/>
    </i>
    <i>
      <x v="2"/>
    </i>
    <i t="grand">
      <x/>
    </i>
  </rowItems>
  <colItems count="1">
    <i/>
  </colItems>
  <dataFields count="1">
    <dataField name="Sum of Revenue" fld="7" baseField="0" baseItem="0"/>
  </dataFields>
  <chartFormats count="2">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B38F04-F81E-48CC-AE3A-D6D61400FA18}" name="PivotTable23" cacheId="6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66:B70" firstHeaderRow="1" firstDataRow="1" firstDataCol="1"/>
  <pivotFields count="14">
    <pivotField showAll="0"/>
    <pivotField showAll="0"/>
    <pivotField showAll="0"/>
    <pivotField showAll="0">
      <items count="5">
        <item x="0"/>
        <item x="3"/>
        <item x="1"/>
        <item x="2"/>
        <item t="default"/>
      </items>
    </pivotField>
    <pivotField showAll="0"/>
    <pivotField showAll="0">
      <items count="5">
        <item x="1"/>
        <item x="0"/>
        <item x="2"/>
        <item x="3"/>
        <item t="default"/>
      </items>
    </pivotField>
    <pivotField dataField="1" showAll="0"/>
    <pivotField numFmtId="165" showAll="0"/>
    <pivotField showAll="0"/>
    <pivotField showAll="0">
      <items count="4">
        <item x="1"/>
        <item x="0"/>
        <item x="2"/>
        <item t="default"/>
      </items>
    </pivotField>
    <pivotField showAll="0">
      <items count="4">
        <item x="1"/>
        <item x="0"/>
        <item x="2"/>
        <item t="default"/>
      </items>
    </pivotField>
    <pivotField axis="axisRow" showAll="0">
      <items count="4">
        <item x="2"/>
        <item x="1"/>
        <item x="0"/>
        <item t="default"/>
      </items>
    </pivotField>
    <pivotField numFmtId="164" showAll="0"/>
    <pivotField showAll="0"/>
  </pivotFields>
  <rowFields count="1">
    <field x="11"/>
  </rowFields>
  <rowItems count="4">
    <i>
      <x/>
    </i>
    <i>
      <x v="1"/>
    </i>
    <i>
      <x v="2"/>
    </i>
    <i t="grand">
      <x/>
    </i>
  </rowItems>
  <colItems count="1">
    <i/>
  </colItems>
  <dataFields count="1">
    <dataField name="Sum of Energy Dispensed kWh"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8EFADBF-BA62-424D-AB13-41AB2833604B}" name="PivotTable20" cacheId="6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7:I41" firstHeaderRow="1" firstDataRow="1" firstDataCol="1"/>
  <pivotFields count="14">
    <pivotField showAll="0"/>
    <pivotField showAll="0">
      <items count="9">
        <item x="7"/>
        <item x="4"/>
        <item x="2"/>
        <item x="5"/>
        <item x="6"/>
        <item x="0"/>
        <item x="1"/>
        <item x="3"/>
        <item t="default"/>
      </items>
    </pivotField>
    <pivotField showAll="0"/>
    <pivotField showAll="0">
      <items count="5">
        <item x="0"/>
        <item x="3"/>
        <item x="1"/>
        <item x="2"/>
        <item t="default"/>
      </items>
    </pivotField>
    <pivotField showAll="0">
      <items count="374">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6"/>
        <item x="18"/>
        <item x="17"/>
        <item x="15"/>
        <item x="14"/>
        <item x="13"/>
        <item x="12"/>
        <item x="11"/>
        <item x="10"/>
        <item x="9"/>
        <item x="8"/>
        <item x="7"/>
        <item x="6"/>
        <item x="5"/>
        <item x="4"/>
        <item x="3"/>
        <item x="2"/>
        <item x="1"/>
        <item x="0"/>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37"/>
        <item x="236"/>
        <item x="235"/>
        <item x="230"/>
        <item x="229"/>
        <item x="227"/>
        <item x="226"/>
        <item x="222"/>
        <item x="221"/>
        <item x="220"/>
        <item x="240"/>
        <item x="225"/>
        <item x="219"/>
        <item x="234"/>
        <item x="224"/>
        <item x="239"/>
        <item x="233"/>
        <item x="228"/>
        <item x="223"/>
        <item x="217"/>
        <item x="238"/>
        <item x="232"/>
        <item x="218"/>
        <item x="231"/>
        <item t="default"/>
      </items>
    </pivotField>
    <pivotField showAll="0">
      <items count="5">
        <item x="1"/>
        <item x="0"/>
        <item x="2"/>
        <item x="3"/>
        <item t="default"/>
      </items>
    </pivotField>
    <pivotField showAll="0"/>
    <pivotField dataField="1" numFmtId="165" showAll="0"/>
    <pivotField axis="axisRow" showAll="0">
      <items count="4">
        <item x="1"/>
        <item x="2"/>
        <item x="0"/>
        <item t="default"/>
      </items>
    </pivotField>
    <pivotField showAll="0"/>
    <pivotField showAll="0">
      <items count="4">
        <item x="1"/>
        <item x="0"/>
        <item x="2"/>
        <item t="default"/>
      </items>
    </pivotField>
    <pivotField showAll="0">
      <items count="4">
        <item x="2"/>
        <item x="1"/>
        <item x="0"/>
        <item t="default"/>
      </items>
    </pivotField>
    <pivotField numFmtId="164" showAll="0"/>
    <pivotField showAll="0"/>
  </pivotFields>
  <rowFields count="1">
    <field x="8"/>
  </rowFields>
  <rowItems count="4">
    <i>
      <x/>
    </i>
    <i>
      <x v="1"/>
    </i>
    <i>
      <x v="2"/>
    </i>
    <i t="grand">
      <x/>
    </i>
  </rowItems>
  <colItems count="1">
    <i/>
  </colItems>
  <dataFields count="1">
    <dataField name="Sum of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991F62A-FD73-4775-A698-B40EF9CF9594}" name="PivotTable17" cacheId="6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1:B60" firstHeaderRow="1" firstDataRow="1" firstDataCol="1"/>
  <pivotFields count="14">
    <pivotField showAll="0"/>
    <pivotField axis="axisRow" showAll="0">
      <items count="9">
        <item x="4"/>
        <item x="7"/>
        <item x="2"/>
        <item x="5"/>
        <item x="6"/>
        <item x="0"/>
        <item x="1"/>
        <item x="3"/>
        <item t="default"/>
      </items>
    </pivotField>
    <pivotField showAll="0"/>
    <pivotField showAll="0"/>
    <pivotField showAll="0"/>
    <pivotField showAll="0"/>
    <pivotField showAll="0"/>
    <pivotField dataField="1" numFmtId="165" showAll="0"/>
    <pivotField showAll="0"/>
    <pivotField showAll="0"/>
    <pivotField showAll="0"/>
    <pivotField showAll="0"/>
    <pivotField numFmtId="164" showAll="0"/>
    <pivotField showAll="0"/>
  </pivotFields>
  <rowFields count="1">
    <field x="1"/>
  </rowFields>
  <rowItems count="9">
    <i>
      <x/>
    </i>
    <i>
      <x v="1"/>
    </i>
    <i>
      <x v="2"/>
    </i>
    <i>
      <x v="3"/>
    </i>
    <i>
      <x v="4"/>
    </i>
    <i>
      <x v="5"/>
    </i>
    <i>
      <x v="6"/>
    </i>
    <i>
      <x v="7"/>
    </i>
    <i t="grand">
      <x/>
    </i>
  </rowItems>
  <colItems count="1">
    <i/>
  </colItems>
  <dataFields count="1">
    <dataField name="Sum of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BAC4F8B-4A79-4292-AF01-36373AAAC7FE}" name="PivotTable16" cacheId="6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2:C49" firstHeaderRow="1" firstDataRow="1" firstDataCol="0"/>
  <pivotFields count="14">
    <pivotField showAll="0"/>
    <pivotField showAll="0"/>
    <pivotField showAll="0"/>
    <pivotField showAll="0">
      <items count="5">
        <item x="0"/>
        <item x="3"/>
        <item x="1"/>
        <item x="2"/>
        <item t="default"/>
      </items>
    </pivotField>
    <pivotField showAll="0"/>
    <pivotField showAll="0">
      <items count="5">
        <item x="1"/>
        <item x="0"/>
        <item x="2"/>
        <item x="3"/>
        <item t="default"/>
      </items>
    </pivotField>
    <pivotField showAll="0"/>
    <pivotField numFmtId="165" showAll="0"/>
    <pivotField showAll="0"/>
    <pivotField showAll="0">
      <items count="4">
        <item x="1"/>
        <item x="0"/>
        <item x="2"/>
        <item t="default"/>
      </items>
    </pivotField>
    <pivotField showAll="0">
      <items count="4">
        <item x="1"/>
        <item x="0"/>
        <item x="2"/>
        <item t="default"/>
      </items>
    </pivotField>
    <pivotField showAll="0">
      <items count="4">
        <item x="2"/>
        <item x="1"/>
        <item x="0"/>
        <item t="default"/>
      </items>
    </pivotField>
    <pivotField numFmtId="164"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38C4F32-DE97-40DB-A39F-4B31DFC4B982}" name="PivotTable14" cacheId="6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C10:D15" firstHeaderRow="1" firstDataRow="1" firstDataCol="1"/>
  <pivotFields count="14">
    <pivotField showAll="0"/>
    <pivotField showAll="0"/>
    <pivotField showAll="0">
      <items count="7">
        <item x="4"/>
        <item x="5"/>
        <item x="1"/>
        <item x="2"/>
        <item x="0"/>
        <item x="3"/>
        <item t="default"/>
      </items>
    </pivotField>
    <pivotField showAll="0">
      <items count="5">
        <item x="0"/>
        <item x="3"/>
        <item x="1"/>
        <item x="2"/>
        <item t="default"/>
      </items>
    </pivotField>
    <pivotField showAll="0"/>
    <pivotField axis="axisRow" showAll="0">
      <items count="5">
        <item x="1"/>
        <item x="0"/>
        <item x="2"/>
        <item x="3"/>
        <item t="default"/>
      </items>
    </pivotField>
    <pivotField dataField="1" showAll="0"/>
    <pivotField numFmtId="165" showAll="0"/>
    <pivotField showAll="0"/>
    <pivotField showAll="0"/>
    <pivotField showAll="0">
      <items count="4">
        <item x="1"/>
        <item x="0"/>
        <item x="2"/>
        <item t="default"/>
      </items>
    </pivotField>
    <pivotField showAll="0">
      <items count="4">
        <item x="2"/>
        <item x="1"/>
        <item x="0"/>
        <item t="default"/>
      </items>
    </pivotField>
    <pivotField numFmtId="164" showAll="0"/>
    <pivotField showAll="0"/>
  </pivotFields>
  <rowFields count="1">
    <field x="5"/>
  </rowFields>
  <rowItems count="5">
    <i>
      <x/>
    </i>
    <i>
      <x v="1"/>
    </i>
    <i>
      <x v="2"/>
    </i>
    <i>
      <x v="3"/>
    </i>
    <i t="grand">
      <x/>
    </i>
  </rowItems>
  <colItems count="1">
    <i/>
  </colItems>
  <dataFields count="1">
    <dataField name="Sum of Energy Dispensed kWh" fld="6"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39FE300-B74E-42D1-BC20-CD8142691882}" name="PivotTable13" cacheId="6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D3:E7" firstHeaderRow="1" firstDataRow="1" firstDataCol="1"/>
  <pivotFields count="14">
    <pivotField showAll="0"/>
    <pivotField showAll="0"/>
    <pivotField showAll="0"/>
    <pivotField showAll="0">
      <items count="5">
        <item x="0"/>
        <item x="3"/>
        <item x="1"/>
        <item x="2"/>
        <item t="default"/>
      </items>
    </pivotField>
    <pivotField dataField="1" showAll="0">
      <items count="374">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6"/>
        <item x="18"/>
        <item x="17"/>
        <item x="15"/>
        <item x="14"/>
        <item x="13"/>
        <item x="12"/>
        <item x="11"/>
        <item x="10"/>
        <item x="9"/>
        <item x="8"/>
        <item x="7"/>
        <item x="6"/>
        <item x="5"/>
        <item x="4"/>
        <item x="3"/>
        <item x="2"/>
        <item x="1"/>
        <item x="0"/>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37"/>
        <item x="236"/>
        <item x="235"/>
        <item x="230"/>
        <item x="229"/>
        <item x="227"/>
        <item x="226"/>
        <item x="222"/>
        <item x="221"/>
        <item x="220"/>
        <item x="240"/>
        <item x="225"/>
        <item x="219"/>
        <item x="234"/>
        <item x="224"/>
        <item x="239"/>
        <item x="233"/>
        <item x="228"/>
        <item x="223"/>
        <item x="217"/>
        <item x="238"/>
        <item x="232"/>
        <item x="218"/>
        <item x="231"/>
        <item t="default"/>
      </items>
    </pivotField>
    <pivotField showAll="0">
      <items count="5">
        <item x="1"/>
        <item x="0"/>
        <item x="2"/>
        <item x="3"/>
        <item t="default"/>
      </items>
    </pivotField>
    <pivotField showAll="0"/>
    <pivotField numFmtId="165" showAll="0"/>
    <pivotField showAll="0"/>
    <pivotField showAll="0"/>
    <pivotField axis="axisRow" showAll="0">
      <items count="4">
        <item x="1"/>
        <item x="0"/>
        <item x="2"/>
        <item t="default"/>
      </items>
    </pivotField>
    <pivotField showAll="0">
      <items count="4">
        <item x="2"/>
        <item x="1"/>
        <item x="0"/>
        <item t="default"/>
      </items>
    </pivotField>
    <pivotField numFmtId="164" showAll="0"/>
    <pivotField showAll="0"/>
  </pivotFields>
  <rowFields count="1">
    <field x="10"/>
  </rowFields>
  <rowItems count="4">
    <i>
      <x/>
    </i>
    <i>
      <x v="1"/>
    </i>
    <i>
      <x v="2"/>
    </i>
    <i t="grand">
      <x/>
    </i>
  </rowItems>
  <colItems count="1">
    <i/>
  </colItems>
  <dataFields count="1">
    <dataField name="Count of Installation Date" fld="4" subtotal="count"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7F8EB73-81AA-433B-AC82-AA8CF2012288}" name="PivotTable12" cacheId="6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3:B18" firstHeaderRow="1" firstDataRow="1" firstDataCol="1"/>
  <pivotFields count="14">
    <pivotField showAll="0"/>
    <pivotField showAll="0"/>
    <pivotField showAll="0"/>
    <pivotField axis="axisRow" dataField="1" showAll="0">
      <items count="5">
        <item x="0"/>
        <item x="3"/>
        <item x="1"/>
        <item x="2"/>
        <item t="default"/>
      </items>
    </pivotField>
    <pivotField showAll="0"/>
    <pivotField showAll="0">
      <items count="5">
        <item x="1"/>
        <item x="0"/>
        <item x="2"/>
        <item x="3"/>
        <item t="default"/>
      </items>
    </pivotField>
    <pivotField showAll="0"/>
    <pivotField numFmtId="165" showAll="0"/>
    <pivotField showAll="0"/>
    <pivotField showAll="0"/>
    <pivotField showAll="0">
      <items count="4">
        <item x="1"/>
        <item x="0"/>
        <item x="2"/>
        <item t="default"/>
      </items>
    </pivotField>
    <pivotField showAll="0">
      <items count="4">
        <item x="2"/>
        <item x="1"/>
        <item x="0"/>
        <item t="default"/>
      </items>
    </pivotField>
    <pivotField numFmtId="164" showAll="0"/>
    <pivotField showAll="0"/>
  </pivotFields>
  <rowFields count="1">
    <field x="3"/>
  </rowFields>
  <rowItems count="5">
    <i>
      <x/>
    </i>
    <i>
      <x v="1"/>
    </i>
    <i>
      <x v="2"/>
    </i>
    <i>
      <x v="3"/>
    </i>
    <i t="grand">
      <x/>
    </i>
  </rowItems>
  <colItems count="1">
    <i/>
  </colItems>
  <dataFields count="1">
    <dataField name="Count of Status" fld="3" subtotal="count" baseField="0" baseItem="0"/>
  </dataFields>
  <chartFormats count="6">
    <chartFormat chart="2"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4" format="9">
      <pivotArea type="data" outline="0" fieldPosition="0">
        <references count="2">
          <reference field="4294967294" count="1" selected="0">
            <x v="0"/>
          </reference>
          <reference field="3" count="1" selected="0">
            <x v="2"/>
          </reference>
        </references>
      </pivotArea>
    </chartFormat>
    <chartFormat chart="4"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6FB4A00-DE4C-45B7-A104-846A151D20BD}" name="PivotTable11" cacheId="6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0" firstHeaderRow="1" firstDataRow="1" firstDataCol="1"/>
  <pivotFields count="14">
    <pivotField showAll="0"/>
    <pivotField showAll="0"/>
    <pivotField axis="axisRow" showAll="0">
      <items count="7">
        <item x="4"/>
        <item x="5"/>
        <item x="1"/>
        <item x="2"/>
        <item x="0"/>
        <item x="3"/>
        <item t="default"/>
      </items>
    </pivotField>
    <pivotField showAll="0">
      <items count="5">
        <item x="0"/>
        <item x="3"/>
        <item x="1"/>
        <item x="2"/>
        <item t="default"/>
      </items>
    </pivotField>
    <pivotField showAll="0"/>
    <pivotField showAll="0">
      <items count="5">
        <item x="1"/>
        <item x="0"/>
        <item x="2"/>
        <item x="3"/>
        <item t="default"/>
      </items>
    </pivotField>
    <pivotField showAll="0"/>
    <pivotField dataField="1" numFmtId="165" showAll="0"/>
    <pivotField showAll="0"/>
    <pivotField showAll="0"/>
    <pivotField showAll="0">
      <items count="4">
        <item x="1"/>
        <item x="0"/>
        <item x="2"/>
        <item t="default"/>
      </items>
    </pivotField>
    <pivotField showAll="0">
      <items count="4">
        <item x="2"/>
        <item x="1"/>
        <item x="0"/>
        <item t="default"/>
      </items>
    </pivotField>
    <pivotField numFmtId="164" showAll="0"/>
    <pivotField showAll="0"/>
  </pivotFields>
  <rowFields count="1">
    <field x="2"/>
  </rowFields>
  <rowItems count="7">
    <i>
      <x/>
    </i>
    <i>
      <x v="1"/>
    </i>
    <i>
      <x v="2"/>
    </i>
    <i>
      <x v="3"/>
    </i>
    <i>
      <x v="4"/>
    </i>
    <i>
      <x v="5"/>
    </i>
    <i t="grand">
      <x/>
    </i>
  </rowItems>
  <colItems count="1">
    <i/>
  </colItems>
  <dataFields count="1">
    <dataField name="Sum of Revenue" fld="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200-000000000000}" autoFormatId="16" applyNumberFormats="0" applyBorderFormats="0" applyFontFormats="0" applyPatternFormats="0" applyAlignmentFormats="0" applyWidthHeightFormats="0">
  <queryTableRefresh nextId="5" unboundColumnsRight="1">
    <queryTableFields count="3">
      <queryTableField id="1" name="Connector Type" tableColumnId="1"/>
      <queryTableField id="2" name="Median of energy" tableColumnId="2"/>
      <queryTableField id="4" dataBound="0"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C3C9B18-3452-4000-A521-BE27E6D0FDC3}" sourceName="Year">
  <pivotTables>
    <pivotTable tabId="17" name="PivotTable12"/>
    <pivotTable tabId="17" name="PivotTable11"/>
    <pivotTable tabId="17" name="PivotTable13"/>
    <pivotTable tabId="17" name="PivotTable14"/>
    <pivotTable tabId="18" name="PivotTable15"/>
    <pivotTable tabId="17" name="PivotTable16"/>
    <pivotTable tabId="17" name="PivotTable20"/>
    <pivotTable tabId="17" name="PivotTable23"/>
    <pivotTable tabId="17" name="PivotTable26"/>
  </pivotTables>
  <data>
    <tabular pivotCacheId="161120835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B6C954E6-1849-4E7E-AE96-DF33F2FD51CA}" sourceName="Status">
  <pivotTables>
    <pivotTable tabId="17" name="PivotTable13"/>
    <pivotTable tabId="17" name="PivotTable11"/>
    <pivotTable tabId="17" name="PivotTable12"/>
    <pivotTable tabId="17" name="PivotTable14"/>
    <pivotTable tabId="17" name="PivotTable16"/>
    <pivotTable tabId="17" name="PivotTable20"/>
    <pivotTable tabId="17" name="PivotTable23"/>
    <pivotTable tabId="17" name="PivotTable26"/>
    <pivotTable tabId="18" name="PivotTable15"/>
  </pivotTables>
  <data>
    <tabular pivotCacheId="1611208352">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tilization" xr10:uid="{ABEA65F5-1BFD-4A79-8232-F22E3248EACD}" sourceName="Utilization ">
  <pivotTables>
    <pivotTable tabId="17" name="PivotTable12"/>
    <pivotTable tabId="17" name="PivotTable11"/>
    <pivotTable tabId="17" name="PivotTable13"/>
    <pivotTable tabId="17" name="PivotTable14"/>
    <pivotTable tabId="17" name="PivotTable16"/>
    <pivotTable tabId="17" name="PivotTable20"/>
    <pivotTable tabId="17" name="PivotTable23"/>
    <pivotTable tabId="17" name="PivotTable26"/>
    <pivotTable tabId="18" name="PivotTable15"/>
  </pivotTables>
  <data>
    <tabular pivotCacheId="1611208352">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nectors" xr10:uid="{5B207A88-DB50-4FFF-9DCF-7C6EA27F2733}" sourceName="Connectors">
  <pivotTables>
    <pivotTable tabId="17" name="PivotTable11"/>
    <pivotTable tabId="17" name="PivotTable12"/>
    <pivotTable tabId="17" name="PivotTable13"/>
    <pivotTable tabId="17" name="PivotTable14"/>
    <pivotTable tabId="17" name="PivotTable16"/>
    <pivotTable tabId="17" name="PivotTable20"/>
    <pivotTable tabId="17" name="PivotTable23"/>
    <pivotTable tabId="17" name="PivotTable26"/>
    <pivotTable tabId="18" name="PivotTable15"/>
  </pivotTables>
  <data>
    <tabular pivotCacheId="1611208352">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0E77135-94EF-49AF-90F0-E216B3957E00}" cache="Slicer_Year" caption="Year" rowHeight="241300"/>
  <slicer name="Status" xr10:uid="{3CE042D2-7EB7-4FC2-8A63-AFAFB9501752}" cache="Slicer_Status" caption="Status" rowHeight="241300"/>
  <slicer name="Utilization " xr10:uid="{93033505-9850-4D48-8B9D-014D1D336CC2}" cache="Slicer_Utilization" caption="Utilization " rowHeight="241300"/>
  <slicer name="Connectors" xr10:uid="{9BE8EAF9-3103-4BFE-87F8-CC338051E4C0}" cache="Slicer_Connectors" caption="Connectors" startItem="1" rowHeight="24130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N502" totalsRowShown="0">
  <autoFilter ref="A1:N502" xr:uid="{00000000-0009-0000-0100-000002000000}"/>
  <sortState xmlns:xlrd2="http://schemas.microsoft.com/office/spreadsheetml/2017/richdata2" ref="A2:N502">
    <sortCondition descending="1" ref="E1:E502"/>
  </sortState>
  <tableColumns count="14">
    <tableColumn id="1" xr3:uid="{00000000-0010-0000-0000-000001000000}" name="Station ID"/>
    <tableColumn id="2" xr3:uid="{00000000-0010-0000-0000-000002000000}" name="City"/>
    <tableColumn id="3" xr3:uid="{00000000-0010-0000-0000-000003000000}" name="Opertors"/>
    <tableColumn id="4" xr3:uid="{00000000-0010-0000-0000-000004000000}" name="Status"/>
    <tableColumn id="5" xr3:uid="{00000000-0010-0000-0000-000005000000}" name="Installation Date" dataDxfId="79"/>
    <tableColumn id="6" xr3:uid="{00000000-0010-0000-0000-000006000000}" name="Connectors"/>
    <tableColumn id="7" xr3:uid="{00000000-0010-0000-0000-000007000000}" name="Energy Dispensed kWh" dataDxfId="78"/>
    <tableColumn id="8" xr3:uid="{00000000-0010-0000-0000-000008000000}" name="Revenue" dataDxfId="77"/>
    <tableColumn id="9" xr3:uid="{00000000-0010-0000-0000-000009000000}" name="Speed/Connector" dataDxfId="76"/>
    <tableColumn id="14" xr3:uid="{00000000-0010-0000-0000-00000E000000}" name="Operator Sector"/>
    <tableColumn id="10" xr3:uid="{00000000-0010-0000-0000-00000A000000}" name="Year" dataDxfId="75"/>
    <tableColumn id="11" xr3:uid="{00000000-0010-0000-0000-00000B000000}" name="Utilization "/>
    <tableColumn id="12" xr3:uid="{00000000-0010-0000-0000-00000C000000}" name="Revenue Per kWh" dataDxfId="74"/>
    <tableColumn id="13" xr3:uid="{00000000-0010-0000-0000-00000D000000}" name="Connectors Regio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46731A-2081-4CC4-BDF8-9A5E87E47110}" name="Table4" displayName="Table4" ref="A2:F14" totalsRowShown="0">
  <tableColumns count="6">
    <tableColumn id="1" xr3:uid="{2B3CD009-6FC6-40B6-AF79-3CE012220A5A}" name="Issues" dataDxfId="73"/>
    <tableColumn id="2" xr3:uid="{1E918974-5EA6-4C1F-857B-BF587D68CCCD}" name="Cloumn(s) Affected" dataDxfId="72"/>
    <tableColumn id="3" xr3:uid="{F92E6BD5-18D8-4D8A-BA96-AFB9ADA81033}" name="Raw Count" dataDxfId="71"/>
    <tableColumn id="4" xr3:uid="{3170EC1E-0651-4EA9-8E20-E08DA3B7CEDC}" name="Fixed Count" dataDxfId="70"/>
    <tableColumn id="5" xr3:uid="{EEF5D9F3-6C67-47A5-A2FA-2584A6568ECC}" name="Fixed Method" dataDxfId="69"/>
    <tableColumn id="6" xr3:uid="{7824B997-D86C-4F27-A71E-1450762480D5}" name="Status" dataDxfId="68"/>
  </tableColumns>
  <tableStyleInfo name="TableStyleLight1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05E552-3491-452A-A69A-016C877B49BF}" name="Table5" displayName="Table5" ref="G2:I12" totalsRowShown="0">
  <tableColumns count="3">
    <tableColumn id="1" xr3:uid="{5164B3F5-9190-4463-97AB-0FB03B055465}" name="Metrics"/>
    <tableColumn id="2" xr3:uid="{4DE0613B-7DCE-4AFC-965B-478C61DF204B}" name="Raw Dataset" dataDxfId="67"/>
    <tableColumn id="3" xr3:uid="{1AF322E5-2BB1-40E2-BEB5-6B76EBB4D127}" name="Cleaned Dataset" dataDxfId="66"/>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1" displayName="Table1" ref="A1:W501" totalsRowShown="0">
  <autoFilter ref="A1:W501" xr:uid="{00000000-0009-0000-0100-000001000000}"/>
  <sortState xmlns:xlrd2="http://schemas.microsoft.com/office/spreadsheetml/2017/richdata2" ref="A2:S501">
    <sortCondition ref="A1:A501"/>
  </sortState>
  <tableColumns count="23">
    <tableColumn id="1" xr3:uid="{00000000-0010-0000-0300-000001000000}" name="Station ID"/>
    <tableColumn id="2" xr3:uid="{00000000-0010-0000-0300-000002000000}" name="City "/>
    <tableColumn id="3" xr3:uid="{00000000-0010-0000-0300-000003000000}" name="Operator"/>
    <tableColumn id="4" xr3:uid="{00000000-0010-0000-0300-000004000000}" name="Connector Type"/>
    <tableColumn id="5" xr3:uid="{00000000-0010-0000-0300-000005000000}" name="Status"/>
    <tableColumn id="6" xr3:uid="{00000000-0010-0000-0300-000006000000}" name="Installation Date" dataDxfId="65"/>
    <tableColumn id="7" xr3:uid="{00000000-0010-0000-0300-000007000000}" name="Energy Dispensed(kWh)"/>
    <tableColumn id="8" xr3:uid="{00000000-0010-0000-0300-000008000000}" name="Revenue (INR)"/>
    <tableColumn id="9" xr3:uid="{00000000-0010-0000-0300-000009000000}" name="Column1" dataDxfId="64">
      <calculatedColumnFormula>PROPER(B2)</calculatedColumnFormula>
    </tableColumn>
    <tableColumn id="10" xr3:uid="{00000000-0010-0000-0300-00000A000000}" name="Column2" dataDxfId="63">
      <calculatedColumnFormula>TRIM(I2)</calculatedColumnFormula>
    </tableColumn>
    <tableColumn id="11" xr3:uid="{00000000-0010-0000-0300-00000B000000}" name="Column3" dataDxfId="62">
      <calculatedColumnFormula>PROPER(C2)</calculatedColumnFormula>
    </tableColumn>
    <tableColumn id="12" xr3:uid="{00000000-0010-0000-0300-00000C000000}" name="Column4" dataDxfId="61">
      <calculatedColumnFormula>TRIM(K2)</calculatedColumnFormula>
    </tableColumn>
    <tableColumn id="13" xr3:uid="{00000000-0010-0000-0300-00000D000000}" name="Column5" dataDxfId="60">
      <calculatedColumnFormula>PROPER(D2)</calculatedColumnFormula>
    </tableColumn>
    <tableColumn id="14" xr3:uid="{00000000-0010-0000-0300-00000E000000}" name="Column6" dataDxfId="59">
      <calculatedColumnFormula>TRIM(M2)</calculatedColumnFormula>
    </tableColumn>
    <tableColumn id="15" xr3:uid="{00000000-0010-0000-0300-00000F000000}" name="Column7" dataDxfId="58">
      <calculatedColumnFormula>PROPER(E2)</calculatedColumnFormula>
    </tableColumn>
    <tableColumn id="16" xr3:uid="{00000000-0010-0000-0300-000010000000}" name="Column8" dataDxfId="57">
      <calculatedColumnFormula>TRIM(O2)</calculatedColumnFormula>
    </tableColumn>
    <tableColumn id="17" xr3:uid="{00000000-0010-0000-0300-000011000000}" name="Column9" dataDxfId="56">
      <calculatedColumnFormula>IF(TRIM(I1)=" ","Mumbai",I2)</calculatedColumnFormula>
    </tableColumn>
    <tableColumn id="19" xr3:uid="{00000000-0010-0000-0300-000013000000}" name="Column10" dataDxfId="55">
      <calculatedColumnFormula>ISNUMBER(F2)</calculatedColumnFormula>
    </tableColumn>
    <tableColumn id="20" xr3:uid="{00000000-0010-0000-0300-000014000000}" name="Column11" dataDxfId="54">
      <calculatedColumnFormula>TRIM(F2)</calculatedColumnFormula>
    </tableColumn>
    <tableColumn id="22" xr3:uid="{00000000-0010-0000-0300-000016000000}" name="Column12" dataDxfId="53">
      <calculatedColumnFormula>IF(L2="Tata Power","Government",IF(L2="Bpcl","Government","Private"))</calculatedColumnFormula>
    </tableColumn>
    <tableColumn id="23" xr3:uid="{00000000-0010-0000-0300-000017000000}" name="Column13" dataDxfId="52">
      <calculatedColumnFormula>IF(N2="Type2 Ac","Slow",IF(N2="Ccs2","Ultra Fast","fast"))</calculatedColumnFormula>
    </tableColumn>
    <tableColumn id="24" xr3:uid="{00000000-0010-0000-0300-000018000000}" name="Column14" dataDxfId="51">
      <calculatedColumnFormula>YEAR(F2)</calculatedColumnFormula>
    </tableColumn>
    <tableColumn id="25" xr3:uid="{00000000-0010-0000-0300-000019000000}" name="Column15" dataDxfId="50">
      <calculatedColumnFormula>IF(N2="Type2 Ac","Germany",IF(N2="Chademo","Japan",IF(N2="Ccs2","Europe","India")))</calculatedColumnFormula>
    </tableColumn>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1_2" displayName="Table1_2" ref="A1:C5" tableType="queryTable" totalsRowShown="0">
  <autoFilter ref="A1:C5" xr:uid="{00000000-0009-0000-0100-000003000000}"/>
  <tableColumns count="3">
    <tableColumn id="1" xr3:uid="{00000000-0010-0000-0100-000001000000}" uniqueName="1" name="Connector Type" queryTableFieldId="1" dataDxfId="49"/>
    <tableColumn id="2" xr3:uid="{00000000-0010-0000-0100-000002000000}" uniqueName="2" name="Median of energy" queryTableFieldId="2" dataDxfId="48"/>
    <tableColumn id="4" xr3:uid="{00000000-0010-0000-0100-000004000000}" uniqueName="4" name="Median of Revenue" queryTableFieldId="4" dataDxfId="4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7" displayName="Table7" ref="D1:H501" totalsRowShown="0">
  <tableColumns count="5">
    <tableColumn id="1" xr3:uid="{00000000-0010-0000-0200-000001000000}" name="Connectors" dataDxfId="46"/>
    <tableColumn id="2" xr3:uid="{00000000-0010-0000-0200-000002000000}" name="Energy Dispensed " dataDxfId="45"/>
    <tableColumn id="3" xr3:uid="{00000000-0010-0000-0200-000003000000}" name="Energy Cleaned" dataDxfId="44">
      <calculatedColumnFormula>IF(E2="",VLOOKUP(D2,$A$1:$B$5,2,FALSE),E2)</calculatedColumnFormula>
    </tableColumn>
    <tableColumn id="4" xr3:uid="{D6D4C151-4E62-4201-BAB4-45D9D663ABA8}" name="Revenue" dataDxfId="43"/>
    <tableColumn id="5" xr3:uid="{14AA7BFB-B775-4687-9E4C-7AF1603CB314}" name="Revenue Cleaned" dataDxfId="42">
      <calculatedColumnFormula>IF(G2="",VLOOKUP(D2,$A$1:$C$5,3,FALSE),G2)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10" Type="http://schemas.openxmlformats.org/officeDocument/2006/relationships/drawing" Target="../drawings/drawing2.xml"/><Relationship Id="rId4" Type="http://schemas.openxmlformats.org/officeDocument/2006/relationships/pivotTable" Target="../pivotTables/pivotTable12.xml"/><Relationship Id="rId9" Type="http://schemas.openxmlformats.org/officeDocument/2006/relationships/pivotTable" Target="../pivotTables/pivotTable1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H521"/>
  <sheetViews>
    <sheetView tabSelected="1" workbookViewId="0">
      <selection activeCell="K10" sqref="K10"/>
    </sheetView>
  </sheetViews>
  <sheetFormatPr defaultRowHeight="15" x14ac:dyDescent="0.25"/>
  <sheetData>
    <row r="1" spans="1:8" x14ac:dyDescent="0.25">
      <c r="A1" t="s">
        <v>0</v>
      </c>
      <c r="B1" t="s">
        <v>793</v>
      </c>
      <c r="C1" t="s">
        <v>792</v>
      </c>
      <c r="D1" t="s">
        <v>791</v>
      </c>
      <c r="E1" t="s">
        <v>3</v>
      </c>
      <c r="F1" t="s">
        <v>4</v>
      </c>
      <c r="G1" t="s">
        <v>790</v>
      </c>
      <c r="H1" t="s">
        <v>789</v>
      </c>
    </row>
    <row r="2" spans="1:8" x14ac:dyDescent="0.25">
      <c r="A2" t="s">
        <v>449</v>
      </c>
      <c r="B2" t="s">
        <v>834</v>
      </c>
      <c r="C2" t="s">
        <v>777</v>
      </c>
      <c r="D2" t="s">
        <v>26</v>
      </c>
      <c r="E2" t="s">
        <v>24</v>
      </c>
      <c r="F2" s="1">
        <v>45938</v>
      </c>
      <c r="G2">
        <v>2525.58</v>
      </c>
      <c r="H2">
        <v>29142.31</v>
      </c>
    </row>
    <row r="3" spans="1:8" x14ac:dyDescent="0.25">
      <c r="A3" t="s">
        <v>188</v>
      </c>
      <c r="B3" t="s">
        <v>35</v>
      </c>
      <c r="C3" t="s">
        <v>783</v>
      </c>
      <c r="D3" t="s">
        <v>26</v>
      </c>
      <c r="E3" t="s">
        <v>24</v>
      </c>
      <c r="F3" s="1">
        <v>45978</v>
      </c>
      <c r="G3">
        <v>9103.5499999999993</v>
      </c>
      <c r="H3">
        <v>91891.96</v>
      </c>
    </row>
    <row r="4" spans="1:8" x14ac:dyDescent="0.25">
      <c r="A4" t="s">
        <v>43</v>
      </c>
      <c r="B4" t="s">
        <v>40</v>
      </c>
      <c r="C4" t="s">
        <v>41</v>
      </c>
      <c r="D4" t="s">
        <v>17</v>
      </c>
      <c r="E4" t="s">
        <v>828</v>
      </c>
      <c r="F4" s="1">
        <v>45520</v>
      </c>
      <c r="G4">
        <v>1170.73</v>
      </c>
      <c r="H4">
        <v>14118.38</v>
      </c>
    </row>
    <row r="5" spans="1:8" x14ac:dyDescent="0.25">
      <c r="A5" t="s">
        <v>298</v>
      </c>
      <c r="B5" t="s">
        <v>70</v>
      </c>
      <c r="C5" t="s">
        <v>764</v>
      </c>
      <c r="D5" t="s">
        <v>48</v>
      </c>
      <c r="E5" t="s">
        <v>24</v>
      </c>
      <c r="F5" s="1">
        <v>45686</v>
      </c>
      <c r="G5">
        <v>10769.81</v>
      </c>
      <c r="H5">
        <v>114163.38</v>
      </c>
    </row>
    <row r="6" spans="1:8" x14ac:dyDescent="0.25">
      <c r="A6" t="s">
        <v>183</v>
      </c>
      <c r="B6" t="s">
        <v>40</v>
      </c>
      <c r="C6" t="s">
        <v>829</v>
      </c>
      <c r="D6" t="s">
        <v>26</v>
      </c>
      <c r="E6" t="s">
        <v>828</v>
      </c>
      <c r="F6" s="1">
        <v>45671</v>
      </c>
      <c r="G6">
        <v>656.34</v>
      </c>
      <c r="H6">
        <v>5590.07</v>
      </c>
    </row>
    <row r="7" spans="1:8" x14ac:dyDescent="0.25">
      <c r="A7" t="s">
        <v>147</v>
      </c>
      <c r="B7" t="s">
        <v>40</v>
      </c>
      <c r="C7" t="s">
        <v>764</v>
      </c>
      <c r="D7" t="s">
        <v>26</v>
      </c>
      <c r="E7" t="s">
        <v>828</v>
      </c>
      <c r="F7" s="1">
        <v>45592</v>
      </c>
      <c r="H7">
        <v>29827.19</v>
      </c>
    </row>
    <row r="8" spans="1:8" x14ac:dyDescent="0.25">
      <c r="A8" t="s">
        <v>571</v>
      </c>
      <c r="B8" t="s">
        <v>834</v>
      </c>
      <c r="C8" t="s">
        <v>829</v>
      </c>
      <c r="D8" t="s">
        <v>48</v>
      </c>
      <c r="E8" t="s">
        <v>24</v>
      </c>
      <c r="F8" s="1">
        <v>46005</v>
      </c>
      <c r="G8">
        <v>2244.86</v>
      </c>
      <c r="H8">
        <v>26009.9</v>
      </c>
    </row>
    <row r="9" spans="1:8" x14ac:dyDescent="0.25">
      <c r="A9" t="s">
        <v>380</v>
      </c>
      <c r="B9" t="s">
        <v>46</v>
      </c>
      <c r="C9" t="s">
        <v>764</v>
      </c>
      <c r="D9" t="s">
        <v>17</v>
      </c>
      <c r="E9" t="s">
        <v>24</v>
      </c>
      <c r="F9" t="s">
        <v>381</v>
      </c>
      <c r="G9" t="s">
        <v>879</v>
      </c>
      <c r="H9">
        <v>13019.84</v>
      </c>
    </row>
    <row r="10" spans="1:8" x14ac:dyDescent="0.25">
      <c r="A10" t="s">
        <v>334</v>
      </c>
      <c r="B10" t="s">
        <v>853</v>
      </c>
      <c r="C10" t="s">
        <v>63</v>
      </c>
      <c r="D10" t="s">
        <v>17</v>
      </c>
      <c r="E10" t="s">
        <v>24</v>
      </c>
      <c r="F10" s="1">
        <v>46028</v>
      </c>
      <c r="G10">
        <v>9698.48</v>
      </c>
      <c r="H10">
        <v>126916.19</v>
      </c>
    </row>
    <row r="11" spans="1:8" x14ac:dyDescent="0.25">
      <c r="A11" t="s">
        <v>736</v>
      </c>
      <c r="B11" t="s">
        <v>834</v>
      </c>
      <c r="C11" t="s">
        <v>41</v>
      </c>
      <c r="D11" t="s">
        <v>17</v>
      </c>
      <c r="E11" t="s">
        <v>54</v>
      </c>
      <c r="F11" s="1">
        <v>45386</v>
      </c>
      <c r="G11">
        <v>473.53</v>
      </c>
      <c r="H11">
        <v>5879.45</v>
      </c>
    </row>
    <row r="12" spans="1:8" x14ac:dyDescent="0.25">
      <c r="A12" t="s">
        <v>369</v>
      </c>
      <c r="B12" t="s">
        <v>30</v>
      </c>
      <c r="C12" t="s">
        <v>41</v>
      </c>
      <c r="D12" t="s">
        <v>26</v>
      </c>
      <c r="E12" t="s">
        <v>24</v>
      </c>
      <c r="F12" s="1">
        <v>45406</v>
      </c>
      <c r="G12">
        <v>11438.85</v>
      </c>
      <c r="H12">
        <v>118215.53</v>
      </c>
    </row>
    <row r="13" spans="1:8" x14ac:dyDescent="0.25">
      <c r="A13" t="s">
        <v>319</v>
      </c>
      <c r="B13" t="s">
        <v>70</v>
      </c>
      <c r="C13" t="s">
        <v>63</v>
      </c>
      <c r="D13" t="s">
        <v>56</v>
      </c>
      <c r="E13" t="s">
        <v>24</v>
      </c>
      <c r="F13" s="1">
        <v>46060</v>
      </c>
      <c r="G13">
        <v>11379.71</v>
      </c>
      <c r="H13">
        <v>94649.91</v>
      </c>
    </row>
    <row r="14" spans="1:8" x14ac:dyDescent="0.25">
      <c r="A14" t="s">
        <v>492</v>
      </c>
      <c r="B14" t="s">
        <v>70</v>
      </c>
      <c r="C14" t="s">
        <v>36</v>
      </c>
      <c r="D14" t="s">
        <v>17</v>
      </c>
      <c r="E14" t="s">
        <v>24</v>
      </c>
      <c r="F14" s="1">
        <v>45770</v>
      </c>
      <c r="G14">
        <v>3263.73</v>
      </c>
      <c r="H14">
        <v>47611</v>
      </c>
    </row>
    <row r="15" spans="1:8" x14ac:dyDescent="0.25">
      <c r="A15" t="s">
        <v>410</v>
      </c>
      <c r="B15" t="s">
        <v>46</v>
      </c>
      <c r="C15" t="s">
        <v>764</v>
      </c>
      <c r="D15" t="s">
        <v>17</v>
      </c>
      <c r="E15" t="s">
        <v>54</v>
      </c>
      <c r="F15" s="1">
        <v>46039</v>
      </c>
      <c r="G15">
        <v>454.01</v>
      </c>
      <c r="H15">
        <v>5518.79</v>
      </c>
    </row>
    <row r="16" spans="1:8" x14ac:dyDescent="0.25">
      <c r="A16" t="s">
        <v>60</v>
      </c>
      <c r="B16" t="s">
        <v>40</v>
      </c>
      <c r="C16" t="s">
        <v>36</v>
      </c>
      <c r="D16" t="s">
        <v>56</v>
      </c>
      <c r="E16" t="s">
        <v>24</v>
      </c>
      <c r="F16" s="1">
        <v>45984</v>
      </c>
      <c r="G16">
        <v>4693.49</v>
      </c>
      <c r="H16">
        <v>53460.68</v>
      </c>
    </row>
    <row r="17" spans="1:8" x14ac:dyDescent="0.25">
      <c r="A17" t="s">
        <v>599</v>
      </c>
      <c r="B17" t="s">
        <v>30</v>
      </c>
      <c r="C17" t="s">
        <v>827</v>
      </c>
      <c r="D17" t="s">
        <v>17</v>
      </c>
      <c r="E17" t="s">
        <v>54</v>
      </c>
      <c r="F17" s="1">
        <v>45343</v>
      </c>
      <c r="G17">
        <v>381.37</v>
      </c>
      <c r="H17">
        <v>4472.74</v>
      </c>
    </row>
    <row r="18" spans="1:8" x14ac:dyDescent="0.25">
      <c r="A18" t="s">
        <v>584</v>
      </c>
      <c r="B18" t="s">
        <v>776</v>
      </c>
      <c r="C18" t="s">
        <v>36</v>
      </c>
      <c r="D18" t="s">
        <v>56</v>
      </c>
      <c r="E18" t="s">
        <v>24</v>
      </c>
      <c r="F18" s="1">
        <v>45595</v>
      </c>
      <c r="G18">
        <v>9420.48</v>
      </c>
      <c r="H18">
        <v>78976.350000000006</v>
      </c>
    </row>
    <row r="19" spans="1:8" x14ac:dyDescent="0.25">
      <c r="A19" t="s">
        <v>94</v>
      </c>
      <c r="B19" t="s">
        <v>35</v>
      </c>
      <c r="C19" t="s">
        <v>95</v>
      </c>
      <c r="D19" t="s">
        <v>17</v>
      </c>
      <c r="E19" t="s">
        <v>15</v>
      </c>
      <c r="G19">
        <v>156.47999999999999</v>
      </c>
      <c r="H19">
        <v>1390.13</v>
      </c>
    </row>
    <row r="20" spans="1:8" x14ac:dyDescent="0.25">
      <c r="A20" t="s">
        <v>753</v>
      </c>
      <c r="B20" t="s">
        <v>834</v>
      </c>
      <c r="C20" t="s">
        <v>41</v>
      </c>
      <c r="D20" t="s">
        <v>17</v>
      </c>
      <c r="E20" t="s">
        <v>763</v>
      </c>
      <c r="F20" s="1">
        <v>45457</v>
      </c>
      <c r="G20">
        <v>7392.84</v>
      </c>
      <c r="H20">
        <v>106584.24</v>
      </c>
    </row>
    <row r="21" spans="1:8" x14ac:dyDescent="0.25">
      <c r="A21" t="s">
        <v>257</v>
      </c>
      <c r="B21" t="s">
        <v>30</v>
      </c>
      <c r="C21" t="s">
        <v>829</v>
      </c>
      <c r="D21" t="s">
        <v>17</v>
      </c>
      <c r="E21" t="s">
        <v>828</v>
      </c>
      <c r="F21" s="1">
        <v>45438</v>
      </c>
      <c r="G21">
        <v>2118.14</v>
      </c>
      <c r="H21">
        <v>28606.73</v>
      </c>
    </row>
    <row r="22" spans="1:8" x14ac:dyDescent="0.25">
      <c r="A22" t="s">
        <v>282</v>
      </c>
      <c r="B22" t="s">
        <v>70</v>
      </c>
      <c r="C22" t="s">
        <v>829</v>
      </c>
      <c r="D22" t="s">
        <v>56</v>
      </c>
      <c r="E22" t="s">
        <v>24</v>
      </c>
      <c r="F22" s="1">
        <v>45385</v>
      </c>
      <c r="G22">
        <v>10407.19</v>
      </c>
      <c r="H22">
        <v>112209.08</v>
      </c>
    </row>
    <row r="23" spans="1:8" x14ac:dyDescent="0.25">
      <c r="A23" t="s">
        <v>176</v>
      </c>
      <c r="B23" t="s">
        <v>70</v>
      </c>
      <c r="C23" t="s">
        <v>63</v>
      </c>
      <c r="D23" t="s">
        <v>26</v>
      </c>
      <c r="E23" t="s">
        <v>24</v>
      </c>
      <c r="F23" s="1">
        <v>45576</v>
      </c>
      <c r="G23">
        <v>10850.54</v>
      </c>
      <c r="H23">
        <v>121710.44</v>
      </c>
    </row>
    <row r="24" spans="1:8" x14ac:dyDescent="0.25">
      <c r="A24" t="s">
        <v>229</v>
      </c>
      <c r="B24" t="s">
        <v>70</v>
      </c>
      <c r="C24" t="s">
        <v>41</v>
      </c>
      <c r="D24" t="s">
        <v>56</v>
      </c>
      <c r="E24" t="s">
        <v>54</v>
      </c>
      <c r="F24" s="1">
        <v>46086</v>
      </c>
      <c r="G24">
        <v>403.28</v>
      </c>
      <c r="H24">
        <v>3875.86</v>
      </c>
    </row>
    <row r="25" spans="1:8" x14ac:dyDescent="0.25">
      <c r="A25" t="s">
        <v>307</v>
      </c>
      <c r="B25" t="s">
        <v>35</v>
      </c>
      <c r="C25" t="s">
        <v>764</v>
      </c>
      <c r="D25" t="s">
        <v>48</v>
      </c>
      <c r="E25" t="s">
        <v>24</v>
      </c>
      <c r="F25" s="1">
        <v>45549</v>
      </c>
      <c r="G25">
        <v>2960.46</v>
      </c>
      <c r="H25">
        <v>30481.03</v>
      </c>
    </row>
    <row r="26" spans="1:8" x14ac:dyDescent="0.25">
      <c r="A26" t="s">
        <v>518</v>
      </c>
      <c r="B26" t="s">
        <v>70</v>
      </c>
      <c r="C26" t="s">
        <v>36</v>
      </c>
      <c r="D26" t="s">
        <v>26</v>
      </c>
      <c r="E26" t="s">
        <v>24</v>
      </c>
      <c r="F26" s="1">
        <v>45841</v>
      </c>
      <c r="G26">
        <v>4026.16</v>
      </c>
      <c r="H26">
        <v>44303.01</v>
      </c>
    </row>
    <row r="27" spans="1:8" x14ac:dyDescent="0.25">
      <c r="A27" t="s">
        <v>527</v>
      </c>
      <c r="B27" t="s">
        <v>66</v>
      </c>
      <c r="C27" t="s">
        <v>63</v>
      </c>
      <c r="D27" t="s">
        <v>56</v>
      </c>
      <c r="E27" t="s">
        <v>24</v>
      </c>
      <c r="F27" s="1">
        <v>45369</v>
      </c>
      <c r="G27">
        <v>8993.9500000000007</v>
      </c>
      <c r="H27">
        <v>115610.92</v>
      </c>
    </row>
    <row r="28" spans="1:8" x14ac:dyDescent="0.25">
      <c r="A28" t="s">
        <v>168</v>
      </c>
      <c r="B28" t="s">
        <v>40</v>
      </c>
      <c r="C28" t="s">
        <v>764</v>
      </c>
      <c r="D28" t="s">
        <v>56</v>
      </c>
      <c r="E28" t="s">
        <v>769</v>
      </c>
      <c r="F28" s="1">
        <v>45588</v>
      </c>
      <c r="G28">
        <v>11412.06</v>
      </c>
      <c r="H28">
        <v>145868.29</v>
      </c>
    </row>
    <row r="29" spans="1:8" x14ac:dyDescent="0.25">
      <c r="A29" t="s">
        <v>695</v>
      </c>
      <c r="B29" t="s">
        <v>834</v>
      </c>
      <c r="C29" t="s">
        <v>63</v>
      </c>
      <c r="D29" t="s">
        <v>48</v>
      </c>
      <c r="E29" t="s">
        <v>24</v>
      </c>
      <c r="F29" s="1">
        <v>45833</v>
      </c>
      <c r="G29">
        <v>1512.69</v>
      </c>
      <c r="H29">
        <v>13057.65</v>
      </c>
    </row>
    <row r="30" spans="1:8" x14ac:dyDescent="0.25">
      <c r="A30" t="s">
        <v>497</v>
      </c>
      <c r="B30" t="s">
        <v>834</v>
      </c>
      <c r="C30" t="s">
        <v>764</v>
      </c>
      <c r="D30" t="s">
        <v>26</v>
      </c>
      <c r="E30" t="s">
        <v>15</v>
      </c>
      <c r="F30" s="1">
        <v>45981</v>
      </c>
      <c r="G30">
        <v>89.63</v>
      </c>
      <c r="H30">
        <v>749.32</v>
      </c>
    </row>
    <row r="31" spans="1:8" x14ac:dyDescent="0.25">
      <c r="A31" t="s">
        <v>416</v>
      </c>
      <c r="B31" t="s">
        <v>70</v>
      </c>
      <c r="C31" t="s">
        <v>36</v>
      </c>
      <c r="D31" t="s">
        <v>26</v>
      </c>
      <c r="E31" t="s">
        <v>24</v>
      </c>
      <c r="F31" s="1">
        <v>45611</v>
      </c>
      <c r="G31">
        <v>7309.13</v>
      </c>
      <c r="H31">
        <v>95681.64</v>
      </c>
    </row>
    <row r="32" spans="1:8" x14ac:dyDescent="0.25">
      <c r="A32" t="s">
        <v>410</v>
      </c>
      <c r="B32" t="s">
        <v>46</v>
      </c>
      <c r="C32" t="s">
        <v>764</v>
      </c>
      <c r="D32" t="s">
        <v>17</v>
      </c>
      <c r="E32" t="s">
        <v>54</v>
      </c>
      <c r="F32" s="1">
        <v>46039</v>
      </c>
      <c r="G32">
        <v>454.01</v>
      </c>
      <c r="H32">
        <v>5518.79</v>
      </c>
    </row>
    <row r="33" spans="1:8" x14ac:dyDescent="0.25">
      <c r="A33" t="s">
        <v>541</v>
      </c>
      <c r="B33" t="s">
        <v>834</v>
      </c>
      <c r="C33" t="s">
        <v>41</v>
      </c>
      <c r="D33" t="s">
        <v>48</v>
      </c>
      <c r="E33" t="s">
        <v>24</v>
      </c>
      <c r="F33" s="1">
        <v>45307</v>
      </c>
      <c r="G33">
        <v>3976.08</v>
      </c>
      <c r="H33">
        <v>33745.379999999997</v>
      </c>
    </row>
    <row r="34" spans="1:8" x14ac:dyDescent="0.25">
      <c r="A34" t="s">
        <v>531</v>
      </c>
      <c r="B34" t="s">
        <v>40</v>
      </c>
      <c r="C34" t="s">
        <v>36</v>
      </c>
      <c r="D34" t="s">
        <v>26</v>
      </c>
      <c r="E34" t="s">
        <v>24</v>
      </c>
      <c r="F34" s="1">
        <v>46119</v>
      </c>
      <c r="G34">
        <v>7280.25</v>
      </c>
      <c r="H34">
        <v>72168.34</v>
      </c>
    </row>
    <row r="35" spans="1:8" x14ac:dyDescent="0.25">
      <c r="A35" t="s">
        <v>52</v>
      </c>
      <c r="B35" t="s">
        <v>30</v>
      </c>
      <c r="C35" t="s">
        <v>865</v>
      </c>
      <c r="D35" t="s">
        <v>56</v>
      </c>
      <c r="E35" t="s">
        <v>54</v>
      </c>
      <c r="F35" s="1">
        <v>45396</v>
      </c>
      <c r="G35">
        <v>20.91</v>
      </c>
      <c r="H35">
        <v>232.64</v>
      </c>
    </row>
    <row r="36" spans="1:8" x14ac:dyDescent="0.25">
      <c r="A36" t="s">
        <v>452</v>
      </c>
      <c r="B36" t="s">
        <v>779</v>
      </c>
      <c r="C36" t="s">
        <v>764</v>
      </c>
      <c r="D36" t="s">
        <v>26</v>
      </c>
      <c r="E36" t="s">
        <v>24</v>
      </c>
      <c r="F36" s="1">
        <v>45361</v>
      </c>
      <c r="G36">
        <v>7582.99</v>
      </c>
      <c r="H36">
        <v>66737.13</v>
      </c>
    </row>
    <row r="37" spans="1:8" x14ac:dyDescent="0.25">
      <c r="A37" t="s">
        <v>151</v>
      </c>
      <c r="B37" t="s">
        <v>40</v>
      </c>
      <c r="C37" t="s">
        <v>63</v>
      </c>
      <c r="D37" t="s">
        <v>56</v>
      </c>
      <c r="E37" t="s">
        <v>15</v>
      </c>
      <c r="F37" s="1">
        <v>45935</v>
      </c>
      <c r="G37">
        <v>179.9</v>
      </c>
      <c r="H37">
        <v>1847.69</v>
      </c>
    </row>
    <row r="38" spans="1:8" x14ac:dyDescent="0.25">
      <c r="A38" t="s">
        <v>648</v>
      </c>
      <c r="B38" t="s">
        <v>70</v>
      </c>
      <c r="C38" t="s">
        <v>36</v>
      </c>
      <c r="D38" t="s">
        <v>26</v>
      </c>
      <c r="E38" t="s">
        <v>24</v>
      </c>
      <c r="F38" s="1">
        <v>45563</v>
      </c>
      <c r="G38">
        <v>6709.79</v>
      </c>
      <c r="H38">
        <v>70168.960000000006</v>
      </c>
    </row>
    <row r="39" spans="1:8" x14ac:dyDescent="0.25">
      <c r="A39" t="s">
        <v>348</v>
      </c>
      <c r="B39" t="s">
        <v>46</v>
      </c>
      <c r="C39" t="s">
        <v>63</v>
      </c>
      <c r="D39" t="s">
        <v>56</v>
      </c>
      <c r="E39" t="s">
        <v>24</v>
      </c>
      <c r="F39" s="1">
        <v>45811</v>
      </c>
      <c r="G39">
        <v>11778.3</v>
      </c>
      <c r="H39">
        <v>124129.17</v>
      </c>
    </row>
    <row r="40" spans="1:8" x14ac:dyDescent="0.25">
      <c r="A40" t="s">
        <v>614</v>
      </c>
      <c r="B40" t="s">
        <v>772</v>
      </c>
      <c r="C40" t="s">
        <v>63</v>
      </c>
      <c r="D40" t="s">
        <v>26</v>
      </c>
      <c r="E40" t="s">
        <v>843</v>
      </c>
      <c r="F40" s="1">
        <v>45361</v>
      </c>
      <c r="G40">
        <v>-200</v>
      </c>
      <c r="H40">
        <v>-5000</v>
      </c>
    </row>
    <row r="41" spans="1:8" x14ac:dyDescent="0.25">
      <c r="A41" t="s">
        <v>489</v>
      </c>
      <c r="B41" t="s">
        <v>837</v>
      </c>
      <c r="C41" t="s">
        <v>829</v>
      </c>
      <c r="D41" t="s">
        <v>48</v>
      </c>
      <c r="E41" t="s">
        <v>24</v>
      </c>
      <c r="F41" s="1">
        <v>45725</v>
      </c>
      <c r="G41">
        <v>5173.92</v>
      </c>
      <c r="H41">
        <v>56269.8</v>
      </c>
    </row>
    <row r="42" spans="1:8" x14ac:dyDescent="0.25">
      <c r="A42" t="s">
        <v>480</v>
      </c>
      <c r="B42" t="s">
        <v>40</v>
      </c>
      <c r="C42" t="s">
        <v>764</v>
      </c>
      <c r="D42" t="s">
        <v>56</v>
      </c>
      <c r="E42" t="s">
        <v>828</v>
      </c>
      <c r="F42" s="1">
        <v>45486</v>
      </c>
      <c r="G42">
        <v>1828.85</v>
      </c>
      <c r="H42">
        <v>19401.41</v>
      </c>
    </row>
    <row r="43" spans="1:8" x14ac:dyDescent="0.25">
      <c r="A43" t="s">
        <v>552</v>
      </c>
      <c r="B43" t="s">
        <v>40</v>
      </c>
      <c r="C43" t="s">
        <v>41</v>
      </c>
      <c r="D43" t="s">
        <v>17</v>
      </c>
      <c r="E43" t="s">
        <v>24</v>
      </c>
      <c r="F43" s="1">
        <v>45789</v>
      </c>
      <c r="G43">
        <v>7835.5</v>
      </c>
      <c r="H43">
        <v>71317.66</v>
      </c>
    </row>
    <row r="44" spans="1:8" x14ac:dyDescent="0.25">
      <c r="A44" t="s">
        <v>129</v>
      </c>
      <c r="B44" t="s">
        <v>46</v>
      </c>
      <c r="C44" t="s">
        <v>764</v>
      </c>
      <c r="D44" t="s">
        <v>17</v>
      </c>
      <c r="E44" t="s">
        <v>24</v>
      </c>
      <c r="F44" s="1">
        <v>45910</v>
      </c>
      <c r="G44">
        <v>4308.22</v>
      </c>
      <c r="H44">
        <v>53086.82</v>
      </c>
    </row>
    <row r="45" spans="1:8" x14ac:dyDescent="0.25">
      <c r="A45" t="s">
        <v>331</v>
      </c>
      <c r="B45" t="s">
        <v>70</v>
      </c>
      <c r="C45" t="s">
        <v>764</v>
      </c>
      <c r="D45" t="s">
        <v>48</v>
      </c>
      <c r="F45" s="1">
        <v>45756</v>
      </c>
      <c r="G45">
        <v>417.86</v>
      </c>
      <c r="H45">
        <v>5380.11</v>
      </c>
    </row>
    <row r="46" spans="1:8" x14ac:dyDescent="0.25">
      <c r="A46" t="s">
        <v>269</v>
      </c>
      <c r="B46" t="s">
        <v>766</v>
      </c>
      <c r="C46" t="s">
        <v>63</v>
      </c>
      <c r="D46" t="s">
        <v>56</v>
      </c>
      <c r="E46" t="s">
        <v>24</v>
      </c>
      <c r="G46">
        <v>4148.93</v>
      </c>
      <c r="H46">
        <v>41763.089999999997</v>
      </c>
    </row>
    <row r="47" spans="1:8" x14ac:dyDescent="0.25">
      <c r="A47" t="s">
        <v>286</v>
      </c>
      <c r="B47" t="s">
        <v>70</v>
      </c>
      <c r="C47" t="s">
        <v>41</v>
      </c>
      <c r="D47" t="s">
        <v>48</v>
      </c>
      <c r="E47" t="s">
        <v>24</v>
      </c>
      <c r="F47" s="1">
        <v>45404</v>
      </c>
      <c r="G47">
        <v>10158.42</v>
      </c>
      <c r="H47">
        <v>87688.7</v>
      </c>
    </row>
    <row r="48" spans="1:8" x14ac:dyDescent="0.25">
      <c r="A48" t="s">
        <v>373</v>
      </c>
      <c r="B48" t="s">
        <v>40</v>
      </c>
      <c r="C48" t="s">
        <v>764</v>
      </c>
      <c r="D48" t="s">
        <v>17</v>
      </c>
      <c r="E48" t="s">
        <v>24</v>
      </c>
      <c r="F48" s="1">
        <v>45606</v>
      </c>
      <c r="G48">
        <v>9113.7800000000007</v>
      </c>
      <c r="H48">
        <v>125849.68</v>
      </c>
    </row>
    <row r="49" spans="1:8" x14ac:dyDescent="0.25">
      <c r="A49" t="s">
        <v>419</v>
      </c>
      <c r="B49" t="s">
        <v>35</v>
      </c>
      <c r="C49" t="s">
        <v>41</v>
      </c>
      <c r="D49" t="s">
        <v>56</v>
      </c>
      <c r="E49" t="s">
        <v>872</v>
      </c>
      <c r="F49" s="1">
        <v>45979</v>
      </c>
      <c r="G49">
        <v>48.57</v>
      </c>
      <c r="H49">
        <v>612.58000000000004</v>
      </c>
    </row>
    <row r="50" spans="1:8" x14ac:dyDescent="0.25">
      <c r="A50" t="s">
        <v>279</v>
      </c>
      <c r="B50" t="s">
        <v>834</v>
      </c>
      <c r="C50" t="s">
        <v>41</v>
      </c>
      <c r="D50" t="s">
        <v>56</v>
      </c>
      <c r="E50" t="s">
        <v>54</v>
      </c>
      <c r="F50" s="1">
        <v>45813</v>
      </c>
      <c r="G50">
        <v>222.96</v>
      </c>
      <c r="H50">
        <v>2839.23</v>
      </c>
    </row>
    <row r="51" spans="1:8" x14ac:dyDescent="0.25">
      <c r="A51" t="s">
        <v>313</v>
      </c>
      <c r="B51" t="s">
        <v>30</v>
      </c>
      <c r="C51" t="s">
        <v>41</v>
      </c>
      <c r="D51" t="s">
        <v>17</v>
      </c>
      <c r="E51" t="s">
        <v>24</v>
      </c>
      <c r="F51" s="1">
        <v>46030</v>
      </c>
      <c r="G51">
        <v>1216.06</v>
      </c>
      <c r="H51">
        <v>13680.52</v>
      </c>
    </row>
    <row r="52" spans="1:8" x14ac:dyDescent="0.25">
      <c r="A52" t="s">
        <v>357</v>
      </c>
      <c r="B52" t="s">
        <v>35</v>
      </c>
      <c r="C52" t="s">
        <v>36</v>
      </c>
      <c r="D52" t="s">
        <v>26</v>
      </c>
      <c r="E52" t="s">
        <v>763</v>
      </c>
      <c r="F52" s="1">
        <v>45844</v>
      </c>
      <c r="G52">
        <v>10468.790000000001</v>
      </c>
      <c r="H52">
        <v>154702</v>
      </c>
    </row>
    <row r="53" spans="1:8" x14ac:dyDescent="0.25">
      <c r="A53" t="s">
        <v>465</v>
      </c>
      <c r="B53" t="s">
        <v>35</v>
      </c>
      <c r="C53" t="s">
        <v>36</v>
      </c>
      <c r="D53" t="s">
        <v>48</v>
      </c>
      <c r="E53" t="s">
        <v>54</v>
      </c>
      <c r="F53" s="1">
        <v>45427</v>
      </c>
      <c r="G53">
        <v>375.24</v>
      </c>
      <c r="H53">
        <v>3822.88</v>
      </c>
    </row>
    <row r="54" spans="1:8" x14ac:dyDescent="0.25">
      <c r="A54" t="s">
        <v>164</v>
      </c>
      <c r="B54" t="s">
        <v>771</v>
      </c>
      <c r="C54" t="s">
        <v>36</v>
      </c>
      <c r="D54" t="s">
        <v>26</v>
      </c>
      <c r="E54" t="s">
        <v>828</v>
      </c>
      <c r="F54" s="3">
        <v>45969</v>
      </c>
      <c r="G54">
        <v>2237.41</v>
      </c>
      <c r="H54">
        <v>20641.189999999999</v>
      </c>
    </row>
    <row r="55" spans="1:8" x14ac:dyDescent="0.25">
      <c r="A55" t="s">
        <v>688</v>
      </c>
      <c r="B55" t="s">
        <v>772</v>
      </c>
      <c r="C55" t="s">
        <v>764</v>
      </c>
      <c r="D55" t="s">
        <v>26</v>
      </c>
      <c r="E55" t="s">
        <v>24</v>
      </c>
      <c r="F55" s="1">
        <v>46012</v>
      </c>
      <c r="G55">
        <v>6197.89</v>
      </c>
      <c r="H55">
        <v>51214.720000000001</v>
      </c>
    </row>
    <row r="56" spans="1:8" x14ac:dyDescent="0.25">
      <c r="A56" t="s">
        <v>554</v>
      </c>
      <c r="B56" t="s">
        <v>766</v>
      </c>
      <c r="C56" t="s">
        <v>63</v>
      </c>
      <c r="D56" t="s">
        <v>26</v>
      </c>
      <c r="E56" t="s">
        <v>24</v>
      </c>
      <c r="F56" s="1">
        <v>45510</v>
      </c>
      <c r="G56">
        <v>1679.76</v>
      </c>
      <c r="H56">
        <v>17252.28</v>
      </c>
    </row>
    <row r="57" spans="1:8" x14ac:dyDescent="0.25">
      <c r="A57" t="s">
        <v>272</v>
      </c>
      <c r="B57" t="s">
        <v>40</v>
      </c>
      <c r="C57" t="s">
        <v>829</v>
      </c>
      <c r="D57" t="s">
        <v>26</v>
      </c>
      <c r="E57" t="s">
        <v>15</v>
      </c>
      <c r="F57" s="1">
        <v>45889</v>
      </c>
      <c r="G57">
        <v>88.51</v>
      </c>
      <c r="H57">
        <v>1206.3599999999999</v>
      </c>
    </row>
    <row r="58" spans="1:8" x14ac:dyDescent="0.25">
      <c r="A58" t="s">
        <v>687</v>
      </c>
      <c r="B58" t="s">
        <v>837</v>
      </c>
      <c r="C58" t="s">
        <v>829</v>
      </c>
      <c r="D58" t="s">
        <v>48</v>
      </c>
      <c r="E58" t="s">
        <v>24</v>
      </c>
      <c r="F58" s="1">
        <v>45848</v>
      </c>
      <c r="G58">
        <v>5233.92</v>
      </c>
      <c r="H58">
        <v>58788.42</v>
      </c>
    </row>
    <row r="59" spans="1:8" x14ac:dyDescent="0.25">
      <c r="A59" t="s">
        <v>159</v>
      </c>
      <c r="B59" t="s">
        <v>66</v>
      </c>
      <c r="C59" t="s">
        <v>764</v>
      </c>
      <c r="D59" t="s">
        <v>17</v>
      </c>
      <c r="E59" t="s">
        <v>54</v>
      </c>
      <c r="F59" s="1">
        <v>46013</v>
      </c>
      <c r="G59">
        <v>403.26</v>
      </c>
      <c r="H59">
        <v>4389.2299999999996</v>
      </c>
    </row>
    <row r="60" spans="1:8" x14ac:dyDescent="0.25">
      <c r="A60" t="s">
        <v>29</v>
      </c>
      <c r="B60" t="s">
        <v>30</v>
      </c>
      <c r="C60" t="s">
        <v>14</v>
      </c>
      <c r="D60" t="s">
        <v>17</v>
      </c>
      <c r="E60" t="s">
        <v>828</v>
      </c>
      <c r="F60" s="1">
        <v>45317</v>
      </c>
      <c r="G60">
        <v>2840.65</v>
      </c>
      <c r="H60">
        <v>28037.81</v>
      </c>
    </row>
    <row r="61" spans="1:8" x14ac:dyDescent="0.25">
      <c r="A61" t="s">
        <v>165</v>
      </c>
      <c r="C61" t="s">
        <v>36</v>
      </c>
      <c r="D61" t="s">
        <v>56</v>
      </c>
      <c r="E61" t="s">
        <v>855</v>
      </c>
      <c r="F61" s="1">
        <v>45525</v>
      </c>
      <c r="G61">
        <v>98.52</v>
      </c>
      <c r="H61">
        <v>1208.49</v>
      </c>
    </row>
    <row r="62" spans="1:8" x14ac:dyDescent="0.25">
      <c r="A62" t="s">
        <v>624</v>
      </c>
      <c r="B62" t="s">
        <v>40</v>
      </c>
      <c r="C62" t="s">
        <v>773</v>
      </c>
      <c r="D62" t="s">
        <v>26</v>
      </c>
      <c r="F62" s="1">
        <v>45884</v>
      </c>
      <c r="G62">
        <v>9744.92</v>
      </c>
      <c r="H62">
        <v>109344.61</v>
      </c>
    </row>
    <row r="63" spans="1:8" x14ac:dyDescent="0.25">
      <c r="A63" t="s">
        <v>672</v>
      </c>
      <c r="B63" t="s">
        <v>40</v>
      </c>
      <c r="C63" t="s">
        <v>827</v>
      </c>
      <c r="D63" t="s">
        <v>56</v>
      </c>
      <c r="E63" t="s">
        <v>24</v>
      </c>
      <c r="F63" s="1">
        <v>45510</v>
      </c>
      <c r="H63">
        <v>80857.100000000006</v>
      </c>
    </row>
    <row r="64" spans="1:8" x14ac:dyDescent="0.25">
      <c r="A64" t="s">
        <v>741</v>
      </c>
      <c r="B64" t="s">
        <v>70</v>
      </c>
      <c r="C64" t="s">
        <v>829</v>
      </c>
      <c r="D64" t="s">
        <v>17</v>
      </c>
      <c r="E64" t="s">
        <v>54</v>
      </c>
      <c r="F64" s="1">
        <v>45337</v>
      </c>
      <c r="G64">
        <v>352.71</v>
      </c>
      <c r="H64">
        <v>3443.85</v>
      </c>
    </row>
    <row r="65" spans="1:8" x14ac:dyDescent="0.25">
      <c r="A65" t="s">
        <v>477</v>
      </c>
      <c r="B65" t="s">
        <v>832</v>
      </c>
      <c r="C65" t="s">
        <v>847</v>
      </c>
      <c r="D65" t="s">
        <v>26</v>
      </c>
      <c r="E65" t="s">
        <v>24</v>
      </c>
      <c r="F65" s="1">
        <v>46118</v>
      </c>
      <c r="G65">
        <v>3471.05</v>
      </c>
      <c r="H65">
        <v>38261.85</v>
      </c>
    </row>
    <row r="66" spans="1:8" x14ac:dyDescent="0.25">
      <c r="A66" t="s">
        <v>141</v>
      </c>
      <c r="B66" t="s">
        <v>70</v>
      </c>
      <c r="C66" t="s">
        <v>63</v>
      </c>
      <c r="D66" t="s">
        <v>48</v>
      </c>
      <c r="E66" t="s">
        <v>15</v>
      </c>
      <c r="F66" s="1">
        <v>45679</v>
      </c>
      <c r="G66">
        <v>69.14</v>
      </c>
      <c r="H66">
        <v>893.79</v>
      </c>
    </row>
    <row r="67" spans="1:8" x14ac:dyDescent="0.25">
      <c r="A67" t="s">
        <v>737</v>
      </c>
      <c r="B67" t="s">
        <v>766</v>
      </c>
      <c r="C67" t="s">
        <v>765</v>
      </c>
      <c r="D67" t="s">
        <v>17</v>
      </c>
      <c r="E67" t="s">
        <v>24</v>
      </c>
      <c r="F67" s="1">
        <v>45941</v>
      </c>
      <c r="G67">
        <v>7948.66</v>
      </c>
      <c r="H67">
        <v>82209.38</v>
      </c>
    </row>
    <row r="68" spans="1:8" x14ac:dyDescent="0.25">
      <c r="A68" t="s">
        <v>455</v>
      </c>
      <c r="C68" t="s">
        <v>774</v>
      </c>
      <c r="D68" t="s">
        <v>26</v>
      </c>
      <c r="E68" t="s">
        <v>54</v>
      </c>
      <c r="F68" s="1">
        <v>45364</v>
      </c>
      <c r="H68">
        <v>2756.59</v>
      </c>
    </row>
    <row r="69" spans="1:8" x14ac:dyDescent="0.25">
      <c r="A69" t="s">
        <v>154</v>
      </c>
      <c r="B69" t="s">
        <v>66</v>
      </c>
      <c r="C69" t="s">
        <v>829</v>
      </c>
      <c r="D69" t="s">
        <v>26</v>
      </c>
      <c r="E69" t="s">
        <v>24</v>
      </c>
      <c r="F69" s="3">
        <v>45662</v>
      </c>
      <c r="G69">
        <v>1010.45</v>
      </c>
      <c r="H69">
        <v>10619.06</v>
      </c>
    </row>
    <row r="70" spans="1:8" x14ac:dyDescent="0.25">
      <c r="A70" t="s">
        <v>309</v>
      </c>
      <c r="B70" t="s">
        <v>70</v>
      </c>
      <c r="C70" t="s">
        <v>831</v>
      </c>
      <c r="D70" t="s">
        <v>17</v>
      </c>
      <c r="E70" t="s">
        <v>24</v>
      </c>
      <c r="F70" s="1">
        <v>45858</v>
      </c>
      <c r="G70">
        <v>5270.98</v>
      </c>
      <c r="H70">
        <v>64677.96</v>
      </c>
    </row>
    <row r="71" spans="1:8" x14ac:dyDescent="0.25">
      <c r="A71" t="s">
        <v>99</v>
      </c>
      <c r="B71" t="s">
        <v>837</v>
      </c>
      <c r="D71" t="s">
        <v>56</v>
      </c>
      <c r="E71" t="s">
        <v>54</v>
      </c>
      <c r="F71" s="1">
        <v>45895</v>
      </c>
      <c r="G71">
        <v>367.53</v>
      </c>
      <c r="H71">
        <v>3198.45</v>
      </c>
    </row>
    <row r="72" spans="1:8" x14ac:dyDescent="0.25">
      <c r="A72" t="s">
        <v>157</v>
      </c>
      <c r="B72" t="s">
        <v>40</v>
      </c>
      <c r="C72" t="s">
        <v>36</v>
      </c>
      <c r="D72" t="s">
        <v>48</v>
      </c>
      <c r="E72" t="s">
        <v>24</v>
      </c>
      <c r="F72" s="1">
        <v>45488</v>
      </c>
      <c r="G72">
        <v>6479.08</v>
      </c>
      <c r="H72">
        <v>62907.86</v>
      </c>
    </row>
    <row r="73" spans="1:8" x14ac:dyDescent="0.25">
      <c r="A73" t="s">
        <v>167</v>
      </c>
      <c r="B73" t="s">
        <v>70</v>
      </c>
      <c r="C73" t="s">
        <v>63</v>
      </c>
      <c r="D73" t="s">
        <v>17</v>
      </c>
      <c r="E73" t="s">
        <v>24</v>
      </c>
      <c r="F73" s="1">
        <v>46083</v>
      </c>
      <c r="G73">
        <v>5459.92</v>
      </c>
      <c r="H73">
        <v>58299.99</v>
      </c>
    </row>
    <row r="74" spans="1:8" x14ac:dyDescent="0.25">
      <c r="A74" t="s">
        <v>12</v>
      </c>
      <c r="B74" t="s">
        <v>878</v>
      </c>
      <c r="C74" t="s">
        <v>829</v>
      </c>
      <c r="D74" t="s">
        <v>17</v>
      </c>
      <c r="E74" t="s">
        <v>15</v>
      </c>
      <c r="F74" s="1">
        <v>45946</v>
      </c>
      <c r="G74">
        <v>112.18</v>
      </c>
      <c r="H74">
        <v>1164.33</v>
      </c>
    </row>
    <row r="75" spans="1:8" x14ac:dyDescent="0.25">
      <c r="A75" t="s">
        <v>62</v>
      </c>
      <c r="B75" t="s">
        <v>837</v>
      </c>
      <c r="C75" t="s">
        <v>63</v>
      </c>
      <c r="D75" t="s">
        <v>26</v>
      </c>
      <c r="E75" t="s">
        <v>24</v>
      </c>
      <c r="F75" s="1">
        <v>46050</v>
      </c>
      <c r="G75">
        <v>11230.51</v>
      </c>
      <c r="H75">
        <v>115978.37</v>
      </c>
    </row>
    <row r="76" spans="1:8" x14ac:dyDescent="0.25">
      <c r="A76" t="s">
        <v>539</v>
      </c>
      <c r="B76" t="s">
        <v>878</v>
      </c>
      <c r="C76" t="s">
        <v>36</v>
      </c>
      <c r="D76" t="s">
        <v>56</v>
      </c>
      <c r="E76" t="s">
        <v>24</v>
      </c>
      <c r="F76" s="1">
        <v>45845</v>
      </c>
      <c r="G76">
        <v>3906.83</v>
      </c>
      <c r="H76">
        <v>35172.25</v>
      </c>
    </row>
    <row r="77" spans="1:8" x14ac:dyDescent="0.25">
      <c r="A77" t="s">
        <v>81</v>
      </c>
      <c r="B77" t="s">
        <v>70</v>
      </c>
      <c r="C77" t="s">
        <v>827</v>
      </c>
      <c r="D77" t="s">
        <v>48</v>
      </c>
      <c r="E77" t="s">
        <v>24</v>
      </c>
      <c r="F77" s="1">
        <v>45908</v>
      </c>
      <c r="H77">
        <v>126073.72</v>
      </c>
    </row>
    <row r="78" spans="1:8" x14ac:dyDescent="0.25">
      <c r="A78" t="s">
        <v>730</v>
      </c>
      <c r="B78" t="s">
        <v>839</v>
      </c>
      <c r="C78" t="s">
        <v>63</v>
      </c>
      <c r="D78" t="s">
        <v>48</v>
      </c>
      <c r="E78" t="s">
        <v>24</v>
      </c>
      <c r="F78" s="1">
        <v>45792</v>
      </c>
      <c r="H78">
        <v>55615.09</v>
      </c>
    </row>
    <row r="79" spans="1:8" x14ac:dyDescent="0.25">
      <c r="A79" t="s">
        <v>745</v>
      </c>
      <c r="B79" t="s">
        <v>834</v>
      </c>
      <c r="C79" t="s">
        <v>36</v>
      </c>
      <c r="D79" t="s">
        <v>56</v>
      </c>
      <c r="E79" t="s">
        <v>24</v>
      </c>
      <c r="F79" s="1">
        <v>46081</v>
      </c>
      <c r="G79">
        <v>5930.53</v>
      </c>
      <c r="H79">
        <v>72464.59</v>
      </c>
    </row>
    <row r="80" spans="1:8" x14ac:dyDescent="0.25">
      <c r="A80" t="s">
        <v>208</v>
      </c>
      <c r="D80" t="s">
        <v>56</v>
      </c>
      <c r="E80" t="s">
        <v>24</v>
      </c>
      <c r="F80" s="1">
        <v>45542</v>
      </c>
      <c r="G80">
        <v>8269.7099999999991</v>
      </c>
      <c r="H80">
        <v>106637.53</v>
      </c>
    </row>
    <row r="81" spans="1:8" x14ac:dyDescent="0.25">
      <c r="A81" t="s">
        <v>173</v>
      </c>
      <c r="B81" t="s">
        <v>70</v>
      </c>
      <c r="C81" t="s">
        <v>63</v>
      </c>
      <c r="D81" t="s">
        <v>17</v>
      </c>
      <c r="E81" t="s">
        <v>24</v>
      </c>
      <c r="F81" s="1">
        <v>45395</v>
      </c>
      <c r="G81">
        <v>8128.96</v>
      </c>
      <c r="H81">
        <v>78243.83</v>
      </c>
    </row>
    <row r="82" spans="1:8" x14ac:dyDescent="0.25">
      <c r="A82" t="s">
        <v>326</v>
      </c>
      <c r="B82" t="s">
        <v>782</v>
      </c>
      <c r="C82" t="s">
        <v>41</v>
      </c>
      <c r="D82" t="s">
        <v>17</v>
      </c>
      <c r="E82" t="s">
        <v>15</v>
      </c>
      <c r="F82" s="3">
        <v>45406</v>
      </c>
      <c r="G82">
        <v>188.55</v>
      </c>
      <c r="H82">
        <v>2217.88</v>
      </c>
    </row>
    <row r="83" spans="1:8" x14ac:dyDescent="0.25">
      <c r="A83" t="s">
        <v>262</v>
      </c>
      <c r="B83" t="s">
        <v>837</v>
      </c>
      <c r="C83" t="s">
        <v>63</v>
      </c>
      <c r="D83" t="s">
        <v>56</v>
      </c>
      <c r="E83" t="s">
        <v>15</v>
      </c>
      <c r="F83" s="1">
        <v>45544</v>
      </c>
      <c r="G83">
        <v>183.49</v>
      </c>
      <c r="H83">
        <v>2112.44</v>
      </c>
    </row>
    <row r="84" spans="1:8" x14ac:dyDescent="0.25">
      <c r="A84" t="s">
        <v>76</v>
      </c>
      <c r="B84" t="s">
        <v>834</v>
      </c>
      <c r="C84" t="s">
        <v>764</v>
      </c>
      <c r="D84" t="s">
        <v>17</v>
      </c>
      <c r="E84" t="s">
        <v>828</v>
      </c>
      <c r="F84" s="1">
        <v>45387</v>
      </c>
      <c r="G84" t="s">
        <v>877</v>
      </c>
      <c r="H84">
        <v>18410.060000000001</v>
      </c>
    </row>
    <row r="85" spans="1:8" x14ac:dyDescent="0.25">
      <c r="A85" t="s">
        <v>563</v>
      </c>
      <c r="B85" t="s">
        <v>776</v>
      </c>
      <c r="C85" t="s">
        <v>63</v>
      </c>
      <c r="D85" t="s">
        <v>26</v>
      </c>
      <c r="E85" t="s">
        <v>828</v>
      </c>
      <c r="F85" s="1">
        <v>45563</v>
      </c>
      <c r="G85">
        <v>2599</v>
      </c>
      <c r="H85">
        <v>22276.21</v>
      </c>
    </row>
    <row r="86" spans="1:8" x14ac:dyDescent="0.25">
      <c r="A86" t="s">
        <v>249</v>
      </c>
      <c r="B86" t="s">
        <v>40</v>
      </c>
      <c r="C86" t="s">
        <v>63</v>
      </c>
      <c r="D86" t="s">
        <v>26</v>
      </c>
      <c r="E86" t="s">
        <v>24</v>
      </c>
      <c r="F86" s="1">
        <v>45963</v>
      </c>
      <c r="G86">
        <v>10395.07</v>
      </c>
      <c r="H86">
        <v>92722.8</v>
      </c>
    </row>
    <row r="87" spans="1:8" x14ac:dyDescent="0.25">
      <c r="A87" t="s">
        <v>240</v>
      </c>
      <c r="B87" t="s">
        <v>70</v>
      </c>
      <c r="C87" t="s">
        <v>36</v>
      </c>
      <c r="D87" t="s">
        <v>17</v>
      </c>
      <c r="E87" t="s">
        <v>24</v>
      </c>
      <c r="G87">
        <v>10690.57</v>
      </c>
      <c r="H87">
        <v>136475.66</v>
      </c>
    </row>
    <row r="88" spans="1:8" x14ac:dyDescent="0.25">
      <c r="A88" t="s">
        <v>202</v>
      </c>
      <c r="B88" t="s">
        <v>30</v>
      </c>
      <c r="C88" t="s">
        <v>63</v>
      </c>
      <c r="D88" t="s">
        <v>48</v>
      </c>
      <c r="E88" t="s">
        <v>54</v>
      </c>
      <c r="F88" s="1">
        <v>45467</v>
      </c>
      <c r="G88">
        <v>303.33</v>
      </c>
      <c r="H88">
        <v>3236.39</v>
      </c>
    </row>
    <row r="89" spans="1:8" x14ac:dyDescent="0.25">
      <c r="A89" t="s">
        <v>107</v>
      </c>
      <c r="B89" t="s">
        <v>834</v>
      </c>
      <c r="C89" t="s">
        <v>41</v>
      </c>
      <c r="D89" t="s">
        <v>48</v>
      </c>
      <c r="E89" t="s">
        <v>863</v>
      </c>
      <c r="F89" s="1">
        <v>45455</v>
      </c>
      <c r="G89">
        <v>235.35</v>
      </c>
      <c r="H89">
        <v>3317.62</v>
      </c>
    </row>
    <row r="90" spans="1:8" x14ac:dyDescent="0.25">
      <c r="A90" t="s">
        <v>720</v>
      </c>
      <c r="B90" t="s">
        <v>768</v>
      </c>
      <c r="C90" t="s">
        <v>764</v>
      </c>
      <c r="D90" t="s">
        <v>48</v>
      </c>
      <c r="E90" t="s">
        <v>24</v>
      </c>
      <c r="F90" s="1">
        <v>45507</v>
      </c>
      <c r="G90">
        <v>10629.74</v>
      </c>
      <c r="H90">
        <v>133115.06</v>
      </c>
    </row>
    <row r="91" spans="1:8" x14ac:dyDescent="0.25">
      <c r="A91" t="s">
        <v>116</v>
      </c>
      <c r="B91" t="s">
        <v>784</v>
      </c>
      <c r="C91" t="s">
        <v>36</v>
      </c>
      <c r="D91" t="s">
        <v>26</v>
      </c>
      <c r="E91" t="s">
        <v>24</v>
      </c>
      <c r="F91" s="1">
        <v>46073</v>
      </c>
      <c r="G91">
        <v>8090.38</v>
      </c>
      <c r="H91">
        <v>69271.509999999995</v>
      </c>
    </row>
    <row r="92" spans="1:8" x14ac:dyDescent="0.25">
      <c r="A92" t="s">
        <v>504</v>
      </c>
      <c r="B92" t="s">
        <v>66</v>
      </c>
      <c r="C92" t="s">
        <v>36</v>
      </c>
      <c r="D92" t="s">
        <v>48</v>
      </c>
      <c r="E92" t="s">
        <v>24</v>
      </c>
      <c r="F92" s="1">
        <v>45354</v>
      </c>
      <c r="G92">
        <v>3298.01</v>
      </c>
      <c r="H92">
        <v>38098.239999999998</v>
      </c>
    </row>
    <row r="93" spans="1:8" x14ac:dyDescent="0.25">
      <c r="A93" t="s">
        <v>690</v>
      </c>
      <c r="B93" t="s">
        <v>834</v>
      </c>
      <c r="C93" t="s">
        <v>63</v>
      </c>
      <c r="D93" t="s">
        <v>26</v>
      </c>
      <c r="E93" t="s">
        <v>854</v>
      </c>
      <c r="F93" s="1">
        <v>45601</v>
      </c>
      <c r="G93">
        <v>2021.49</v>
      </c>
      <c r="H93">
        <v>21389.72</v>
      </c>
    </row>
    <row r="94" spans="1:8" x14ac:dyDescent="0.25">
      <c r="A94" t="s">
        <v>576</v>
      </c>
      <c r="B94" t="s">
        <v>860</v>
      </c>
      <c r="C94" t="s">
        <v>764</v>
      </c>
      <c r="D94" t="s">
        <v>48</v>
      </c>
      <c r="E94" t="s">
        <v>24</v>
      </c>
      <c r="F94" s="1">
        <v>45861</v>
      </c>
      <c r="G94">
        <v>1479.58</v>
      </c>
      <c r="H94">
        <v>18860.98</v>
      </c>
    </row>
    <row r="95" spans="1:8" x14ac:dyDescent="0.25">
      <c r="A95" t="s">
        <v>314</v>
      </c>
      <c r="B95" t="s">
        <v>834</v>
      </c>
      <c r="D95" t="s">
        <v>17</v>
      </c>
      <c r="E95" t="s">
        <v>833</v>
      </c>
      <c r="F95" s="1">
        <v>45409</v>
      </c>
      <c r="G95">
        <v>10078.25</v>
      </c>
      <c r="H95">
        <v>130085.42</v>
      </c>
    </row>
    <row r="96" spans="1:8" x14ac:dyDescent="0.25">
      <c r="A96" t="s">
        <v>462</v>
      </c>
      <c r="B96" t="s">
        <v>834</v>
      </c>
      <c r="C96" t="s">
        <v>764</v>
      </c>
      <c r="D96" t="s">
        <v>56</v>
      </c>
      <c r="E96" t="s">
        <v>24</v>
      </c>
      <c r="F96" s="1">
        <v>45789</v>
      </c>
      <c r="G96">
        <v>11248.15</v>
      </c>
      <c r="H96">
        <v>155133.75</v>
      </c>
    </row>
    <row r="97" spans="1:8" x14ac:dyDescent="0.25">
      <c r="A97" t="s">
        <v>551</v>
      </c>
      <c r="B97" t="s">
        <v>30</v>
      </c>
      <c r="C97" t="s">
        <v>831</v>
      </c>
      <c r="D97" t="s">
        <v>56</v>
      </c>
      <c r="E97" t="s">
        <v>24</v>
      </c>
      <c r="F97" s="3">
        <v>45708</v>
      </c>
      <c r="G97">
        <v>11357.03</v>
      </c>
      <c r="H97">
        <v>126920.72</v>
      </c>
    </row>
    <row r="98" spans="1:8" x14ac:dyDescent="0.25">
      <c r="A98" t="s">
        <v>248</v>
      </c>
      <c r="B98" t="s">
        <v>70</v>
      </c>
      <c r="C98" t="s">
        <v>41</v>
      </c>
      <c r="D98" t="s">
        <v>56</v>
      </c>
      <c r="E98" t="s">
        <v>828</v>
      </c>
      <c r="F98" s="1">
        <v>45509</v>
      </c>
      <c r="G98">
        <v>2688.71</v>
      </c>
      <c r="H98">
        <v>28376.720000000001</v>
      </c>
    </row>
    <row r="99" spans="1:8" x14ac:dyDescent="0.25">
      <c r="A99" t="s">
        <v>671</v>
      </c>
      <c r="B99" t="s">
        <v>40</v>
      </c>
      <c r="C99" t="s">
        <v>36</v>
      </c>
      <c r="D99" t="s">
        <v>48</v>
      </c>
      <c r="E99" t="s">
        <v>24</v>
      </c>
      <c r="F99" s="1">
        <v>45842</v>
      </c>
      <c r="G99">
        <v>2514.69</v>
      </c>
      <c r="H99">
        <v>35644.06</v>
      </c>
    </row>
    <row r="100" spans="1:8" x14ac:dyDescent="0.25">
      <c r="A100" t="s">
        <v>701</v>
      </c>
      <c r="B100" t="s">
        <v>40</v>
      </c>
      <c r="C100" t="s">
        <v>835</v>
      </c>
      <c r="D100" t="s">
        <v>56</v>
      </c>
      <c r="E100" t="s">
        <v>24</v>
      </c>
      <c r="F100" s="1">
        <v>45859</v>
      </c>
      <c r="G100">
        <v>10446.469999999999</v>
      </c>
      <c r="H100">
        <v>153350.21</v>
      </c>
    </row>
    <row r="101" spans="1:8" x14ac:dyDescent="0.25">
      <c r="A101" t="s">
        <v>152</v>
      </c>
      <c r="B101" t="s">
        <v>837</v>
      </c>
      <c r="C101" t="s">
        <v>41</v>
      </c>
      <c r="D101" t="s">
        <v>56</v>
      </c>
      <c r="E101" t="s">
        <v>54</v>
      </c>
      <c r="F101" s="1">
        <v>45925</v>
      </c>
      <c r="G101">
        <v>95.04</v>
      </c>
      <c r="H101">
        <v>797.66</v>
      </c>
    </row>
    <row r="102" spans="1:8" x14ac:dyDescent="0.25">
      <c r="A102" t="s">
        <v>564</v>
      </c>
      <c r="B102" t="s">
        <v>871</v>
      </c>
      <c r="C102" t="s">
        <v>764</v>
      </c>
      <c r="D102" t="s">
        <v>56</v>
      </c>
      <c r="E102" t="s">
        <v>769</v>
      </c>
      <c r="F102" s="1">
        <v>46094</v>
      </c>
      <c r="G102">
        <v>1812</v>
      </c>
      <c r="H102">
        <v>20116.439999999999</v>
      </c>
    </row>
    <row r="103" spans="1:8" x14ac:dyDescent="0.25">
      <c r="A103" t="s">
        <v>656</v>
      </c>
      <c r="B103" t="s">
        <v>860</v>
      </c>
      <c r="C103" t="s">
        <v>41</v>
      </c>
      <c r="D103" t="s">
        <v>48</v>
      </c>
      <c r="E103" t="s">
        <v>24</v>
      </c>
      <c r="F103" s="1">
        <v>45760</v>
      </c>
      <c r="G103">
        <v>797.45</v>
      </c>
      <c r="H103">
        <v>7348.1</v>
      </c>
    </row>
    <row r="104" spans="1:8" x14ac:dyDescent="0.25">
      <c r="A104" t="s">
        <v>532</v>
      </c>
      <c r="B104" t="s">
        <v>876</v>
      </c>
      <c r="C104" t="s">
        <v>41</v>
      </c>
      <c r="D104" t="s">
        <v>17</v>
      </c>
      <c r="E104" t="s">
        <v>24</v>
      </c>
      <c r="F104" s="1">
        <v>45855</v>
      </c>
      <c r="G104">
        <v>9242.39</v>
      </c>
      <c r="H104">
        <v>123264.52</v>
      </c>
    </row>
    <row r="105" spans="1:8" x14ac:dyDescent="0.25">
      <c r="A105" t="s">
        <v>379</v>
      </c>
      <c r="B105" t="s">
        <v>834</v>
      </c>
      <c r="C105" t="s">
        <v>63</v>
      </c>
      <c r="D105" t="s">
        <v>56</v>
      </c>
      <c r="E105" t="s">
        <v>24</v>
      </c>
      <c r="F105" s="1">
        <v>45372</v>
      </c>
      <c r="G105">
        <v>11508.78</v>
      </c>
      <c r="H105">
        <v>154454.5</v>
      </c>
    </row>
    <row r="106" spans="1:8" x14ac:dyDescent="0.25">
      <c r="A106" t="s">
        <v>672</v>
      </c>
      <c r="B106" t="s">
        <v>40</v>
      </c>
      <c r="C106" t="s">
        <v>827</v>
      </c>
      <c r="D106" t="s">
        <v>56</v>
      </c>
      <c r="E106" t="s">
        <v>24</v>
      </c>
      <c r="F106" s="1">
        <v>45510</v>
      </c>
      <c r="H106">
        <v>80857.100000000006</v>
      </c>
    </row>
    <row r="107" spans="1:8" x14ac:dyDescent="0.25">
      <c r="A107" t="s">
        <v>674</v>
      </c>
      <c r="B107" t="s">
        <v>40</v>
      </c>
      <c r="C107" t="s">
        <v>36</v>
      </c>
      <c r="D107" t="s">
        <v>17</v>
      </c>
      <c r="E107" t="s">
        <v>24</v>
      </c>
      <c r="F107" s="1">
        <v>45563</v>
      </c>
      <c r="G107">
        <v>3698.8</v>
      </c>
      <c r="H107">
        <v>37958.78</v>
      </c>
    </row>
    <row r="108" spans="1:8" x14ac:dyDescent="0.25">
      <c r="A108" t="s">
        <v>354</v>
      </c>
      <c r="B108" t="s">
        <v>876</v>
      </c>
      <c r="C108" t="s">
        <v>827</v>
      </c>
      <c r="D108" t="s">
        <v>56</v>
      </c>
      <c r="E108" t="s">
        <v>54</v>
      </c>
      <c r="F108" s="1">
        <v>46072</v>
      </c>
      <c r="G108">
        <v>41.97</v>
      </c>
      <c r="H108">
        <v>353.55</v>
      </c>
    </row>
    <row r="109" spans="1:8" x14ac:dyDescent="0.25">
      <c r="A109" t="s">
        <v>529</v>
      </c>
      <c r="B109" t="s">
        <v>40</v>
      </c>
      <c r="C109" t="s">
        <v>829</v>
      </c>
      <c r="D109" t="s">
        <v>56</v>
      </c>
      <c r="E109" t="s">
        <v>24</v>
      </c>
      <c r="F109" s="1">
        <v>45745</v>
      </c>
      <c r="H109">
        <v>30183.78</v>
      </c>
    </row>
    <row r="110" spans="1:8" x14ac:dyDescent="0.25">
      <c r="A110" t="s">
        <v>371</v>
      </c>
      <c r="B110" t="s">
        <v>30</v>
      </c>
      <c r="C110" t="s">
        <v>41</v>
      </c>
      <c r="D110" t="s">
        <v>26</v>
      </c>
      <c r="E110" t="s">
        <v>24</v>
      </c>
      <c r="F110" s="1">
        <v>46143</v>
      </c>
      <c r="G110">
        <v>10101.48</v>
      </c>
      <c r="H110">
        <v>136459.34</v>
      </c>
    </row>
    <row r="111" spans="1:8" x14ac:dyDescent="0.25">
      <c r="A111" t="s">
        <v>118</v>
      </c>
      <c r="B111" t="s">
        <v>35</v>
      </c>
      <c r="C111" t="s">
        <v>36</v>
      </c>
      <c r="D111" t="s">
        <v>17</v>
      </c>
      <c r="E111" t="s">
        <v>828</v>
      </c>
      <c r="F111" s="1">
        <v>45636</v>
      </c>
      <c r="G111">
        <v>1255.55</v>
      </c>
      <c r="H111">
        <v>12932.11</v>
      </c>
    </row>
    <row r="112" spans="1:8" x14ac:dyDescent="0.25">
      <c r="A112" t="s">
        <v>519</v>
      </c>
      <c r="B112" t="s">
        <v>839</v>
      </c>
      <c r="C112" t="s">
        <v>865</v>
      </c>
      <c r="D112" t="s">
        <v>26</v>
      </c>
      <c r="E112" t="s">
        <v>24</v>
      </c>
      <c r="F112" s="1">
        <v>45751</v>
      </c>
      <c r="G112">
        <v>3151.19</v>
      </c>
      <c r="H112">
        <v>37583.49</v>
      </c>
    </row>
    <row r="113" spans="1:8" x14ac:dyDescent="0.25">
      <c r="A113" t="s">
        <v>325</v>
      </c>
      <c r="B113" t="s">
        <v>70</v>
      </c>
      <c r="C113" t="s">
        <v>36</v>
      </c>
      <c r="D113" t="s">
        <v>56</v>
      </c>
      <c r="E113" t="s">
        <v>24</v>
      </c>
      <c r="F113" s="1">
        <v>45640</v>
      </c>
      <c r="G113">
        <v>5985.27</v>
      </c>
      <c r="H113">
        <v>57719.55</v>
      </c>
    </row>
    <row r="114" spans="1:8" x14ac:dyDescent="0.25">
      <c r="A114" t="s">
        <v>757</v>
      </c>
      <c r="B114" t="s">
        <v>40</v>
      </c>
      <c r="C114" t="s">
        <v>829</v>
      </c>
      <c r="D114" t="s">
        <v>17</v>
      </c>
      <c r="E114" t="s">
        <v>24</v>
      </c>
      <c r="F114" s="1">
        <v>45856</v>
      </c>
      <c r="G114">
        <v>1302.82</v>
      </c>
      <c r="H114">
        <v>16461.060000000001</v>
      </c>
    </row>
    <row r="115" spans="1:8" x14ac:dyDescent="0.25">
      <c r="A115" t="s">
        <v>562</v>
      </c>
      <c r="B115" t="s">
        <v>30</v>
      </c>
      <c r="C115" t="s">
        <v>63</v>
      </c>
      <c r="D115" t="s">
        <v>17</v>
      </c>
      <c r="E115" t="s">
        <v>24</v>
      </c>
      <c r="F115" s="1">
        <v>45691</v>
      </c>
      <c r="G115">
        <v>3403.5</v>
      </c>
      <c r="H115">
        <v>28413.57</v>
      </c>
    </row>
    <row r="116" spans="1:8" x14ac:dyDescent="0.25">
      <c r="A116" t="s">
        <v>515</v>
      </c>
      <c r="B116" t="s">
        <v>35</v>
      </c>
      <c r="C116" t="s">
        <v>829</v>
      </c>
      <c r="D116" t="s">
        <v>56</v>
      </c>
      <c r="E116" t="s">
        <v>828</v>
      </c>
      <c r="F116" s="1">
        <v>45546</v>
      </c>
      <c r="G116">
        <v>1696.13</v>
      </c>
      <c r="H116">
        <v>14933.06</v>
      </c>
    </row>
    <row r="117" spans="1:8" x14ac:dyDescent="0.25">
      <c r="A117" t="s">
        <v>338</v>
      </c>
      <c r="B117" t="s">
        <v>70</v>
      </c>
      <c r="C117" t="s">
        <v>829</v>
      </c>
      <c r="D117" t="s">
        <v>17</v>
      </c>
      <c r="E117" t="s">
        <v>24</v>
      </c>
      <c r="F117" s="1">
        <v>46072</v>
      </c>
      <c r="G117">
        <v>3638.76</v>
      </c>
      <c r="H117">
        <v>50345.34</v>
      </c>
    </row>
    <row r="118" spans="1:8" x14ac:dyDescent="0.25">
      <c r="A118" t="s">
        <v>534</v>
      </c>
      <c r="B118" t="s">
        <v>40</v>
      </c>
      <c r="D118" t="s">
        <v>56</v>
      </c>
      <c r="E118" t="s">
        <v>24</v>
      </c>
      <c r="F118" s="1">
        <v>45392</v>
      </c>
      <c r="G118">
        <v>7363.09</v>
      </c>
      <c r="H118">
        <v>106402.27</v>
      </c>
    </row>
    <row r="119" spans="1:8" x14ac:dyDescent="0.25">
      <c r="A119" t="s">
        <v>749</v>
      </c>
      <c r="B119" t="s">
        <v>70</v>
      </c>
      <c r="C119" t="s">
        <v>41</v>
      </c>
      <c r="D119" t="s">
        <v>48</v>
      </c>
      <c r="E119" t="s">
        <v>833</v>
      </c>
      <c r="F119" s="1">
        <v>45944</v>
      </c>
      <c r="G119">
        <v>2163.38</v>
      </c>
    </row>
    <row r="120" spans="1:8" x14ac:dyDescent="0.25">
      <c r="A120" t="s">
        <v>693</v>
      </c>
      <c r="B120" t="s">
        <v>771</v>
      </c>
      <c r="C120" t="s">
        <v>770</v>
      </c>
      <c r="D120" t="s">
        <v>56</v>
      </c>
      <c r="E120" t="s">
        <v>24</v>
      </c>
      <c r="F120" s="1">
        <v>46118</v>
      </c>
      <c r="G120">
        <v>9245.75</v>
      </c>
      <c r="H120">
        <v>115688.98</v>
      </c>
    </row>
    <row r="121" spans="1:8" x14ac:dyDescent="0.25">
      <c r="A121" t="s">
        <v>96</v>
      </c>
      <c r="B121" t="s">
        <v>40</v>
      </c>
      <c r="C121" t="s">
        <v>829</v>
      </c>
      <c r="D121" t="s">
        <v>48</v>
      </c>
      <c r="E121" t="s">
        <v>24</v>
      </c>
      <c r="F121" s="1">
        <v>45517</v>
      </c>
      <c r="G121">
        <v>5234.7</v>
      </c>
      <c r="H121">
        <v>77250.960000000006</v>
      </c>
    </row>
    <row r="122" spans="1:8" x14ac:dyDescent="0.25">
      <c r="A122" t="s">
        <v>178</v>
      </c>
      <c r="B122" t="s">
        <v>30</v>
      </c>
      <c r="C122" t="s">
        <v>764</v>
      </c>
      <c r="D122" t="s">
        <v>56</v>
      </c>
      <c r="E122" t="s">
        <v>24</v>
      </c>
      <c r="F122" s="1">
        <v>45942</v>
      </c>
      <c r="G122">
        <v>8169.27</v>
      </c>
      <c r="H122">
        <v>116758.15</v>
      </c>
    </row>
    <row r="123" spans="1:8" x14ac:dyDescent="0.25">
      <c r="A123" t="s">
        <v>668</v>
      </c>
      <c r="B123" t="s">
        <v>66</v>
      </c>
      <c r="C123" t="s">
        <v>41</v>
      </c>
      <c r="D123" t="s">
        <v>56</v>
      </c>
      <c r="E123" t="s">
        <v>24</v>
      </c>
      <c r="F123" s="1">
        <v>45394</v>
      </c>
      <c r="G123">
        <v>7126.84</v>
      </c>
      <c r="H123">
        <v>85923.15</v>
      </c>
    </row>
    <row r="124" spans="1:8" x14ac:dyDescent="0.25">
      <c r="A124" t="s">
        <v>162</v>
      </c>
      <c r="B124" t="s">
        <v>30</v>
      </c>
      <c r="C124" t="s">
        <v>829</v>
      </c>
      <c r="D124" t="s">
        <v>26</v>
      </c>
      <c r="E124" t="s">
        <v>24</v>
      </c>
      <c r="F124" s="1">
        <v>45338</v>
      </c>
      <c r="G124">
        <v>11313.03</v>
      </c>
      <c r="H124">
        <v>104763.16</v>
      </c>
    </row>
    <row r="125" spans="1:8" x14ac:dyDescent="0.25">
      <c r="A125" t="s">
        <v>702</v>
      </c>
      <c r="B125" t="s">
        <v>834</v>
      </c>
      <c r="C125" t="s">
        <v>764</v>
      </c>
      <c r="D125" t="s">
        <v>56</v>
      </c>
      <c r="E125" t="s">
        <v>24</v>
      </c>
      <c r="F125" s="3">
        <v>45598</v>
      </c>
      <c r="G125">
        <v>9986.66</v>
      </c>
      <c r="H125">
        <v>131548.75</v>
      </c>
    </row>
    <row r="126" spans="1:8" x14ac:dyDescent="0.25">
      <c r="A126" t="s">
        <v>72</v>
      </c>
      <c r="B126" t="s">
        <v>787</v>
      </c>
      <c r="C126" t="s">
        <v>63</v>
      </c>
      <c r="D126" t="s">
        <v>26</v>
      </c>
      <c r="E126" t="s">
        <v>24</v>
      </c>
      <c r="F126" s="1">
        <v>45724</v>
      </c>
      <c r="G126">
        <v>8343.77</v>
      </c>
      <c r="H126">
        <v>117540.46</v>
      </c>
    </row>
    <row r="127" spans="1:8" x14ac:dyDescent="0.25">
      <c r="A127" t="s">
        <v>653</v>
      </c>
      <c r="B127" t="s">
        <v>66</v>
      </c>
      <c r="C127" t="s">
        <v>764</v>
      </c>
      <c r="D127" t="s">
        <v>17</v>
      </c>
      <c r="E127" t="s">
        <v>24</v>
      </c>
      <c r="F127" s="1">
        <v>45952</v>
      </c>
      <c r="G127">
        <v>8947.14</v>
      </c>
      <c r="H127">
        <v>78015.77</v>
      </c>
    </row>
    <row r="128" spans="1:8" x14ac:dyDescent="0.25">
      <c r="A128" t="s">
        <v>321</v>
      </c>
      <c r="B128" t="s">
        <v>46</v>
      </c>
      <c r="C128" t="s">
        <v>829</v>
      </c>
      <c r="D128" t="s">
        <v>56</v>
      </c>
      <c r="E128" t="s">
        <v>24</v>
      </c>
      <c r="F128" s="1">
        <v>46079</v>
      </c>
      <c r="G128">
        <v>10627.55</v>
      </c>
      <c r="H128">
        <v>159110.28</v>
      </c>
    </row>
    <row r="129" spans="1:8" x14ac:dyDescent="0.25">
      <c r="A129" t="s">
        <v>724</v>
      </c>
      <c r="B129" t="s">
        <v>767</v>
      </c>
      <c r="C129" t="s">
        <v>36</v>
      </c>
      <c r="D129" t="s">
        <v>56</v>
      </c>
      <c r="E129" t="s">
        <v>24</v>
      </c>
      <c r="F129" s="1">
        <v>45500</v>
      </c>
      <c r="G129">
        <v>7745.26</v>
      </c>
      <c r="H129">
        <v>115690.19</v>
      </c>
    </row>
    <row r="130" spans="1:8" x14ac:dyDescent="0.25">
      <c r="A130" t="s">
        <v>77</v>
      </c>
      <c r="B130" t="s">
        <v>70</v>
      </c>
      <c r="C130" t="s">
        <v>36</v>
      </c>
      <c r="D130" t="s">
        <v>48</v>
      </c>
      <c r="E130" t="s">
        <v>24</v>
      </c>
      <c r="F130" s="1">
        <v>45515</v>
      </c>
      <c r="G130">
        <v>10559.2</v>
      </c>
      <c r="H130">
        <v>147745.29</v>
      </c>
    </row>
    <row r="131" spans="1:8" x14ac:dyDescent="0.25">
      <c r="A131" t="s">
        <v>621</v>
      </c>
      <c r="B131" t="s">
        <v>834</v>
      </c>
      <c r="C131" t="s">
        <v>63</v>
      </c>
      <c r="D131" t="s">
        <v>26</v>
      </c>
      <c r="E131" t="s">
        <v>54</v>
      </c>
      <c r="F131" s="1">
        <v>45414</v>
      </c>
      <c r="G131">
        <v>132.28</v>
      </c>
      <c r="H131">
        <v>1952.9</v>
      </c>
    </row>
    <row r="132" spans="1:8" x14ac:dyDescent="0.25">
      <c r="A132" t="s">
        <v>130</v>
      </c>
      <c r="B132" t="s">
        <v>40</v>
      </c>
      <c r="C132" t="s">
        <v>36</v>
      </c>
      <c r="D132" t="s">
        <v>56</v>
      </c>
      <c r="E132" t="s">
        <v>828</v>
      </c>
      <c r="F132" s="1">
        <v>45562</v>
      </c>
      <c r="G132">
        <v>180.04</v>
      </c>
      <c r="H132">
        <v>1736.2</v>
      </c>
    </row>
    <row r="133" spans="1:8" x14ac:dyDescent="0.25">
      <c r="A133" t="s">
        <v>487</v>
      </c>
      <c r="B133" t="s">
        <v>30</v>
      </c>
      <c r="C133" t="s">
        <v>829</v>
      </c>
      <c r="D133" t="s">
        <v>48</v>
      </c>
      <c r="E133" t="s">
        <v>24</v>
      </c>
      <c r="F133" s="1">
        <v>45654</v>
      </c>
      <c r="G133">
        <v>3275.59</v>
      </c>
      <c r="H133">
        <v>41567.54</v>
      </c>
    </row>
    <row r="134" spans="1:8" x14ac:dyDescent="0.25">
      <c r="A134" t="s">
        <v>544</v>
      </c>
      <c r="B134" t="s">
        <v>40</v>
      </c>
      <c r="C134" t="s">
        <v>36</v>
      </c>
      <c r="D134" t="s">
        <v>17</v>
      </c>
      <c r="E134" t="s">
        <v>15</v>
      </c>
      <c r="F134" s="3">
        <v>46063</v>
      </c>
      <c r="G134">
        <v>25.32</v>
      </c>
      <c r="H134">
        <v>374.8</v>
      </c>
    </row>
    <row r="135" spans="1:8" x14ac:dyDescent="0.25">
      <c r="A135" t="s">
        <v>679</v>
      </c>
      <c r="B135" t="s">
        <v>40</v>
      </c>
      <c r="C135" t="s">
        <v>36</v>
      </c>
      <c r="D135" t="s">
        <v>48</v>
      </c>
      <c r="E135" t="s">
        <v>24</v>
      </c>
      <c r="F135" s="1">
        <v>45542</v>
      </c>
      <c r="G135">
        <v>11644.14</v>
      </c>
      <c r="H135">
        <v>131374.39999999999</v>
      </c>
    </row>
    <row r="136" spans="1:8" x14ac:dyDescent="0.25">
      <c r="A136" t="s">
        <v>631</v>
      </c>
      <c r="B136" t="s">
        <v>70</v>
      </c>
      <c r="C136" t="s">
        <v>63</v>
      </c>
      <c r="D136" t="s">
        <v>17</v>
      </c>
      <c r="E136" t="s">
        <v>24</v>
      </c>
      <c r="F136" s="1">
        <v>45375</v>
      </c>
      <c r="G136">
        <v>2213.38</v>
      </c>
      <c r="H136">
        <v>19347.25</v>
      </c>
    </row>
    <row r="137" spans="1:8" x14ac:dyDescent="0.25">
      <c r="A137" t="s">
        <v>86</v>
      </c>
      <c r="B137" t="s">
        <v>772</v>
      </c>
      <c r="C137" t="s">
        <v>764</v>
      </c>
      <c r="D137" t="s">
        <v>26</v>
      </c>
      <c r="E137" t="s">
        <v>843</v>
      </c>
      <c r="F137" s="1">
        <v>45495</v>
      </c>
      <c r="G137">
        <v>9698.7000000000007</v>
      </c>
      <c r="H137">
        <v>144693.92000000001</v>
      </c>
    </row>
    <row r="138" spans="1:8" x14ac:dyDescent="0.25">
      <c r="A138" t="s">
        <v>428</v>
      </c>
      <c r="B138" t="s">
        <v>837</v>
      </c>
      <c r="C138" t="s">
        <v>36</v>
      </c>
      <c r="D138" t="s">
        <v>48</v>
      </c>
      <c r="E138" t="s">
        <v>24</v>
      </c>
      <c r="F138" s="3">
        <v>45415</v>
      </c>
      <c r="G138">
        <v>7008.22</v>
      </c>
      <c r="H138">
        <v>76977.7</v>
      </c>
    </row>
    <row r="139" spans="1:8" x14ac:dyDescent="0.25">
      <c r="A139" t="s">
        <v>111</v>
      </c>
      <c r="B139" t="s">
        <v>40</v>
      </c>
      <c r="C139" t="s">
        <v>36</v>
      </c>
      <c r="D139" t="s">
        <v>56</v>
      </c>
      <c r="E139" t="s">
        <v>843</v>
      </c>
      <c r="F139" s="1">
        <v>45640</v>
      </c>
      <c r="G139">
        <v>4521.07</v>
      </c>
      <c r="H139">
        <v>60901.87</v>
      </c>
    </row>
    <row r="140" spans="1:8" x14ac:dyDescent="0.25">
      <c r="A140" t="s">
        <v>183</v>
      </c>
      <c r="B140" t="s">
        <v>40</v>
      </c>
      <c r="C140" t="s">
        <v>829</v>
      </c>
      <c r="D140" t="s">
        <v>26</v>
      </c>
      <c r="E140" t="s">
        <v>828</v>
      </c>
      <c r="F140" s="1">
        <v>45671</v>
      </c>
      <c r="G140">
        <v>656.34</v>
      </c>
      <c r="H140">
        <v>5590.07</v>
      </c>
    </row>
    <row r="141" spans="1:8" x14ac:dyDescent="0.25">
      <c r="A141" t="s">
        <v>443</v>
      </c>
      <c r="B141" t="s">
        <v>66</v>
      </c>
      <c r="C141" t="s">
        <v>63</v>
      </c>
      <c r="D141" t="s">
        <v>26</v>
      </c>
      <c r="E141" t="s">
        <v>15</v>
      </c>
      <c r="F141" s="1">
        <v>45517</v>
      </c>
      <c r="G141">
        <v>72.44</v>
      </c>
      <c r="H141">
        <v>940.64</v>
      </c>
    </row>
    <row r="142" spans="1:8" x14ac:dyDescent="0.25">
      <c r="A142" t="s">
        <v>355</v>
      </c>
      <c r="B142" t="s">
        <v>40</v>
      </c>
      <c r="C142" t="s">
        <v>829</v>
      </c>
      <c r="D142" t="s">
        <v>56</v>
      </c>
      <c r="E142" t="s">
        <v>24</v>
      </c>
      <c r="F142" s="1">
        <v>45457</v>
      </c>
      <c r="G142">
        <v>5429.05</v>
      </c>
      <c r="H142">
        <v>53916.82</v>
      </c>
    </row>
    <row r="143" spans="1:8" x14ac:dyDescent="0.25">
      <c r="A143" t="s">
        <v>463</v>
      </c>
      <c r="B143" t="s">
        <v>35</v>
      </c>
      <c r="C143" t="s">
        <v>36</v>
      </c>
      <c r="D143" t="s">
        <v>56</v>
      </c>
      <c r="E143" t="s">
        <v>15</v>
      </c>
      <c r="F143" s="1">
        <v>45511</v>
      </c>
      <c r="G143" t="s">
        <v>875</v>
      </c>
      <c r="H143">
        <v>602.04</v>
      </c>
    </row>
    <row r="144" spans="1:8" x14ac:dyDescent="0.25">
      <c r="A144" t="s">
        <v>242</v>
      </c>
      <c r="B144" t="s">
        <v>771</v>
      </c>
      <c r="C144" t="s">
        <v>764</v>
      </c>
      <c r="D144" t="s">
        <v>48</v>
      </c>
      <c r="E144" t="s">
        <v>15</v>
      </c>
      <c r="F144" s="1">
        <v>45359</v>
      </c>
      <c r="G144">
        <v>143.66999999999999</v>
      </c>
      <c r="H144">
        <v>1247.08</v>
      </c>
    </row>
    <row r="145" spans="1:8" x14ac:dyDescent="0.25">
      <c r="A145" t="s">
        <v>645</v>
      </c>
      <c r="B145" t="s">
        <v>30</v>
      </c>
      <c r="C145" t="s">
        <v>764</v>
      </c>
      <c r="D145" t="s">
        <v>48</v>
      </c>
      <c r="E145" t="s">
        <v>24</v>
      </c>
      <c r="F145" s="1">
        <v>46025</v>
      </c>
      <c r="G145">
        <v>3997.05</v>
      </c>
      <c r="H145">
        <v>46822.38</v>
      </c>
    </row>
    <row r="146" spans="1:8" x14ac:dyDescent="0.25">
      <c r="A146" t="s">
        <v>96</v>
      </c>
      <c r="B146" t="s">
        <v>40</v>
      </c>
      <c r="C146" t="s">
        <v>829</v>
      </c>
      <c r="D146" t="s">
        <v>48</v>
      </c>
      <c r="E146" t="s">
        <v>24</v>
      </c>
      <c r="F146" s="1">
        <v>45517</v>
      </c>
      <c r="G146">
        <v>5234.7</v>
      </c>
      <c r="H146">
        <v>77250.960000000006</v>
      </c>
    </row>
    <row r="147" spans="1:8" x14ac:dyDescent="0.25">
      <c r="A147" t="s">
        <v>222</v>
      </c>
      <c r="B147" t="s">
        <v>66</v>
      </c>
      <c r="C147" t="s">
        <v>764</v>
      </c>
      <c r="D147" t="s">
        <v>48</v>
      </c>
      <c r="E147" t="s">
        <v>54</v>
      </c>
      <c r="F147" s="1">
        <v>45993</v>
      </c>
      <c r="G147">
        <v>46.69</v>
      </c>
      <c r="H147">
        <v>617.05999999999995</v>
      </c>
    </row>
    <row r="148" spans="1:8" x14ac:dyDescent="0.25">
      <c r="A148" t="s">
        <v>568</v>
      </c>
      <c r="B148" t="s">
        <v>834</v>
      </c>
      <c r="C148" t="s">
        <v>36</v>
      </c>
      <c r="D148" t="s">
        <v>17</v>
      </c>
      <c r="E148" t="s">
        <v>15</v>
      </c>
      <c r="F148" s="1">
        <v>45584</v>
      </c>
      <c r="G148" t="s">
        <v>874</v>
      </c>
      <c r="H148">
        <v>1257.78</v>
      </c>
    </row>
    <row r="149" spans="1:8" x14ac:dyDescent="0.25">
      <c r="A149" t="s">
        <v>467</v>
      </c>
      <c r="B149" t="s">
        <v>40</v>
      </c>
      <c r="C149" t="s">
        <v>764</v>
      </c>
      <c r="D149" t="s">
        <v>48</v>
      </c>
      <c r="E149" t="s">
        <v>15</v>
      </c>
      <c r="F149" s="1">
        <v>46032</v>
      </c>
      <c r="G149">
        <v>113.97</v>
      </c>
      <c r="H149">
        <v>1161.0899999999999</v>
      </c>
    </row>
    <row r="150" spans="1:8" x14ac:dyDescent="0.25">
      <c r="A150" t="s">
        <v>280</v>
      </c>
      <c r="C150" t="s">
        <v>829</v>
      </c>
      <c r="D150" t="s">
        <v>56</v>
      </c>
      <c r="E150" t="s">
        <v>24</v>
      </c>
      <c r="F150" s="1">
        <v>45797</v>
      </c>
      <c r="G150">
        <v>2330.3200000000002</v>
      </c>
      <c r="H150">
        <v>29643.64</v>
      </c>
    </row>
    <row r="151" spans="1:8" x14ac:dyDescent="0.25">
      <c r="A151" t="s">
        <v>132</v>
      </c>
      <c r="B151" t="s">
        <v>70</v>
      </c>
      <c r="C151" t="s">
        <v>36</v>
      </c>
      <c r="D151" t="s">
        <v>17</v>
      </c>
      <c r="E151" t="s">
        <v>24</v>
      </c>
      <c r="F151" s="1">
        <v>46118</v>
      </c>
      <c r="G151">
        <v>10585.94</v>
      </c>
      <c r="H151">
        <v>135402.60999999999</v>
      </c>
    </row>
    <row r="152" spans="1:8" x14ac:dyDescent="0.25">
      <c r="A152" t="s">
        <v>358</v>
      </c>
      <c r="B152" t="s">
        <v>30</v>
      </c>
      <c r="C152" t="s">
        <v>36</v>
      </c>
      <c r="D152" t="s">
        <v>17</v>
      </c>
      <c r="E152" t="s">
        <v>24</v>
      </c>
      <c r="F152" s="3">
        <v>46089</v>
      </c>
      <c r="G152">
        <v>2589.88</v>
      </c>
      <c r="H152">
        <v>37923.81</v>
      </c>
    </row>
    <row r="153" spans="1:8" x14ac:dyDescent="0.25">
      <c r="A153" t="s">
        <v>84</v>
      </c>
      <c r="B153" t="s">
        <v>834</v>
      </c>
      <c r="C153" t="s">
        <v>829</v>
      </c>
      <c r="D153" t="s">
        <v>56</v>
      </c>
      <c r="E153" t="s">
        <v>24</v>
      </c>
      <c r="F153" s="1">
        <v>45866</v>
      </c>
      <c r="G153">
        <v>2368.77</v>
      </c>
      <c r="H153">
        <v>25271.5</v>
      </c>
    </row>
    <row r="154" spans="1:8" x14ac:dyDescent="0.25">
      <c r="A154" t="s">
        <v>74</v>
      </c>
      <c r="B154" t="s">
        <v>35</v>
      </c>
      <c r="C154" t="s">
        <v>783</v>
      </c>
      <c r="D154" t="s">
        <v>48</v>
      </c>
      <c r="E154" t="s">
        <v>24</v>
      </c>
      <c r="F154" s="1">
        <v>45322</v>
      </c>
      <c r="G154">
        <v>4567.3</v>
      </c>
      <c r="H154">
        <v>44173.279999999999</v>
      </c>
    </row>
    <row r="155" spans="1:8" x14ac:dyDescent="0.25">
      <c r="A155" t="s">
        <v>406</v>
      </c>
      <c r="B155" t="s">
        <v>46</v>
      </c>
      <c r="C155" t="s">
        <v>764</v>
      </c>
      <c r="D155" t="s">
        <v>56</v>
      </c>
      <c r="E155" t="s">
        <v>24</v>
      </c>
      <c r="F155" s="1">
        <v>45725</v>
      </c>
      <c r="G155" t="s">
        <v>873</v>
      </c>
      <c r="H155">
        <v>35859</v>
      </c>
    </row>
    <row r="156" spans="1:8" x14ac:dyDescent="0.25">
      <c r="A156" t="s">
        <v>147</v>
      </c>
      <c r="B156" t="s">
        <v>40</v>
      </c>
      <c r="C156" t="s">
        <v>764</v>
      </c>
      <c r="D156" t="s">
        <v>26</v>
      </c>
      <c r="E156" t="s">
        <v>828</v>
      </c>
      <c r="F156" s="1">
        <v>45592</v>
      </c>
      <c r="H156">
        <v>29827.19</v>
      </c>
    </row>
    <row r="157" spans="1:8" x14ac:dyDescent="0.25">
      <c r="A157" t="s">
        <v>382</v>
      </c>
      <c r="B157" t="s">
        <v>30</v>
      </c>
      <c r="C157" t="s">
        <v>63</v>
      </c>
      <c r="D157" t="s">
        <v>48</v>
      </c>
      <c r="E157" t="s">
        <v>24</v>
      </c>
      <c r="F157" s="1">
        <v>46041</v>
      </c>
      <c r="G157">
        <v>856.84</v>
      </c>
      <c r="H157">
        <v>10429.35</v>
      </c>
    </row>
    <row r="158" spans="1:8" x14ac:dyDescent="0.25">
      <c r="A158" t="s">
        <v>377</v>
      </c>
      <c r="B158" t="s">
        <v>70</v>
      </c>
      <c r="C158" t="s">
        <v>764</v>
      </c>
      <c r="D158" t="s">
        <v>56</v>
      </c>
      <c r="E158" t="s">
        <v>24</v>
      </c>
      <c r="F158" s="1">
        <v>45538</v>
      </c>
      <c r="G158">
        <v>3078.55</v>
      </c>
      <c r="H158">
        <v>42149.57</v>
      </c>
    </row>
    <row r="159" spans="1:8" x14ac:dyDescent="0.25">
      <c r="A159" t="s">
        <v>190</v>
      </c>
      <c r="B159" t="s">
        <v>66</v>
      </c>
      <c r="C159" t="s">
        <v>831</v>
      </c>
      <c r="D159" t="s">
        <v>56</v>
      </c>
      <c r="E159" t="s">
        <v>833</v>
      </c>
      <c r="F159" s="1">
        <v>45565</v>
      </c>
      <c r="G159">
        <v>2501.31</v>
      </c>
      <c r="H159">
        <v>36854.81</v>
      </c>
    </row>
    <row r="160" spans="1:8" x14ac:dyDescent="0.25">
      <c r="A160" t="s">
        <v>709</v>
      </c>
      <c r="B160" t="s">
        <v>30</v>
      </c>
      <c r="C160" t="s">
        <v>41</v>
      </c>
      <c r="D160" t="s">
        <v>26</v>
      </c>
      <c r="E160" t="s">
        <v>24</v>
      </c>
      <c r="F160" s="1">
        <v>45410</v>
      </c>
      <c r="G160">
        <v>6462.05</v>
      </c>
      <c r="H160">
        <v>79063.45</v>
      </c>
    </row>
    <row r="161" spans="1:8" x14ac:dyDescent="0.25">
      <c r="A161" t="s">
        <v>459</v>
      </c>
      <c r="B161" t="s">
        <v>778</v>
      </c>
      <c r="C161" t="s">
        <v>765</v>
      </c>
      <c r="D161" t="s">
        <v>17</v>
      </c>
      <c r="E161" t="s">
        <v>54</v>
      </c>
      <c r="F161" s="1">
        <v>45577</v>
      </c>
      <c r="G161">
        <v>161.15</v>
      </c>
      <c r="H161">
        <v>2291.0100000000002</v>
      </c>
    </row>
    <row r="162" spans="1:8" x14ac:dyDescent="0.25">
      <c r="A162" t="s">
        <v>82</v>
      </c>
      <c r="C162" t="s">
        <v>777</v>
      </c>
      <c r="D162" t="s">
        <v>48</v>
      </c>
      <c r="E162" t="s">
        <v>828</v>
      </c>
      <c r="F162" s="1">
        <v>45319</v>
      </c>
      <c r="G162">
        <v>786.54</v>
      </c>
      <c r="H162">
        <v>11321.47</v>
      </c>
    </row>
    <row r="163" spans="1:8" x14ac:dyDescent="0.25">
      <c r="A163" t="s">
        <v>404</v>
      </c>
      <c r="B163" t="s">
        <v>40</v>
      </c>
      <c r="C163" t="s">
        <v>36</v>
      </c>
      <c r="D163" t="s">
        <v>17</v>
      </c>
      <c r="E163" t="s">
        <v>24</v>
      </c>
      <c r="F163" s="1">
        <v>45913</v>
      </c>
      <c r="G163">
        <v>2383.31</v>
      </c>
      <c r="H163">
        <v>26089.439999999999</v>
      </c>
    </row>
    <row r="164" spans="1:8" x14ac:dyDescent="0.25">
      <c r="A164" t="s">
        <v>655</v>
      </c>
      <c r="B164" t="s">
        <v>40</v>
      </c>
      <c r="C164" t="s">
        <v>63</v>
      </c>
      <c r="D164" t="s">
        <v>17</v>
      </c>
      <c r="E164" t="s">
        <v>24</v>
      </c>
      <c r="F164" s="1">
        <v>45599</v>
      </c>
      <c r="G164">
        <v>7442.71</v>
      </c>
      <c r="H164">
        <v>72877.36</v>
      </c>
    </row>
    <row r="165" spans="1:8" x14ac:dyDescent="0.25">
      <c r="A165" t="s">
        <v>590</v>
      </c>
      <c r="B165" t="s">
        <v>70</v>
      </c>
      <c r="C165" t="s">
        <v>63</v>
      </c>
      <c r="D165" t="s">
        <v>26</v>
      </c>
      <c r="E165" t="s">
        <v>24</v>
      </c>
      <c r="F165" s="1">
        <v>46045</v>
      </c>
      <c r="G165">
        <v>7268.04</v>
      </c>
      <c r="H165">
        <v>97021.98</v>
      </c>
    </row>
    <row r="166" spans="1:8" x14ac:dyDescent="0.25">
      <c r="A166" t="s">
        <v>42</v>
      </c>
      <c r="B166" t="s">
        <v>775</v>
      </c>
      <c r="C166" t="s">
        <v>36</v>
      </c>
      <c r="D166" t="s">
        <v>17</v>
      </c>
      <c r="E166" t="s">
        <v>769</v>
      </c>
      <c r="F166" s="1">
        <v>45542</v>
      </c>
      <c r="G166">
        <v>914.32</v>
      </c>
      <c r="H166">
        <v>12674.61</v>
      </c>
    </row>
    <row r="167" spans="1:8" x14ac:dyDescent="0.25">
      <c r="A167" t="s">
        <v>227</v>
      </c>
      <c r="B167" t="s">
        <v>66</v>
      </c>
      <c r="C167" t="s">
        <v>41</v>
      </c>
      <c r="D167" t="s">
        <v>48</v>
      </c>
      <c r="E167" t="s">
        <v>54</v>
      </c>
      <c r="F167" s="1">
        <v>46078</v>
      </c>
      <c r="H167">
        <v>2084.5</v>
      </c>
    </row>
    <row r="168" spans="1:8" x14ac:dyDescent="0.25">
      <c r="A168" t="s">
        <v>115</v>
      </c>
      <c r="B168" t="s">
        <v>30</v>
      </c>
      <c r="C168" t="s">
        <v>36</v>
      </c>
      <c r="D168" t="s">
        <v>26</v>
      </c>
      <c r="E168" t="s">
        <v>828</v>
      </c>
      <c r="F168" s="1">
        <v>45512</v>
      </c>
      <c r="G168">
        <v>999999</v>
      </c>
      <c r="H168">
        <v>-100</v>
      </c>
    </row>
    <row r="169" spans="1:8" x14ac:dyDescent="0.25">
      <c r="A169" t="s">
        <v>635</v>
      </c>
      <c r="B169" t="s">
        <v>40</v>
      </c>
      <c r="C169" t="s">
        <v>63</v>
      </c>
      <c r="D169" t="s">
        <v>26</v>
      </c>
      <c r="F169" s="1">
        <v>45889</v>
      </c>
      <c r="H169">
        <v>2333.87</v>
      </c>
    </row>
    <row r="170" spans="1:8" x14ac:dyDescent="0.25">
      <c r="A170" t="s">
        <v>73</v>
      </c>
      <c r="B170" t="s">
        <v>70</v>
      </c>
      <c r="C170" t="s">
        <v>63</v>
      </c>
      <c r="D170" t="s">
        <v>56</v>
      </c>
      <c r="E170" t="s">
        <v>24</v>
      </c>
      <c r="F170" s="1">
        <v>45324</v>
      </c>
      <c r="G170">
        <v>8169.73</v>
      </c>
      <c r="H170">
        <v>121446.49</v>
      </c>
    </row>
    <row r="171" spans="1:8" x14ac:dyDescent="0.25">
      <c r="A171" t="s">
        <v>738</v>
      </c>
      <c r="B171" t="s">
        <v>35</v>
      </c>
      <c r="C171" t="s">
        <v>765</v>
      </c>
      <c r="D171" t="s">
        <v>48</v>
      </c>
      <c r="E171" t="s">
        <v>855</v>
      </c>
      <c r="F171" s="1">
        <v>45725</v>
      </c>
      <c r="G171">
        <v>76.989999999999995</v>
      </c>
      <c r="H171">
        <v>793.6</v>
      </c>
    </row>
    <row r="172" spans="1:8" x14ac:dyDescent="0.25">
      <c r="A172" t="s">
        <v>583</v>
      </c>
      <c r="C172" t="s">
        <v>36</v>
      </c>
      <c r="D172" t="s">
        <v>17</v>
      </c>
      <c r="E172" t="s">
        <v>872</v>
      </c>
      <c r="F172" s="1">
        <v>45486</v>
      </c>
      <c r="G172">
        <v>123.68</v>
      </c>
      <c r="H172">
        <v>1841.73</v>
      </c>
    </row>
    <row r="173" spans="1:8" x14ac:dyDescent="0.25">
      <c r="A173" t="s">
        <v>34</v>
      </c>
      <c r="B173" t="s">
        <v>35</v>
      </c>
      <c r="C173" t="s">
        <v>36</v>
      </c>
      <c r="D173" t="s">
        <v>26</v>
      </c>
      <c r="E173" t="s">
        <v>24</v>
      </c>
      <c r="F173" s="1">
        <v>46051</v>
      </c>
      <c r="G173">
        <v>8446.73</v>
      </c>
      <c r="H173">
        <v>67725.52</v>
      </c>
    </row>
    <row r="174" spans="1:8" x14ac:dyDescent="0.25">
      <c r="A174" t="s">
        <v>447</v>
      </c>
      <c r="B174" t="s">
        <v>871</v>
      </c>
      <c r="C174" t="s">
        <v>829</v>
      </c>
      <c r="D174" t="s">
        <v>56</v>
      </c>
      <c r="E174" t="s">
        <v>24</v>
      </c>
      <c r="F174" s="1">
        <v>46016</v>
      </c>
      <c r="G174">
        <v>2259.4</v>
      </c>
      <c r="H174">
        <v>22739.24</v>
      </c>
    </row>
    <row r="175" spans="1:8" x14ac:dyDescent="0.25">
      <c r="A175" t="s">
        <v>660</v>
      </c>
      <c r="B175" t="s">
        <v>834</v>
      </c>
      <c r="C175" t="s">
        <v>829</v>
      </c>
      <c r="D175" t="s">
        <v>17</v>
      </c>
      <c r="E175" t="s">
        <v>24</v>
      </c>
      <c r="F175" s="1">
        <v>45366</v>
      </c>
      <c r="G175">
        <v>10395.94</v>
      </c>
      <c r="H175">
        <v>88651.1</v>
      </c>
    </row>
    <row r="176" spans="1:8" x14ac:dyDescent="0.25">
      <c r="A176" t="s">
        <v>137</v>
      </c>
      <c r="B176" t="s">
        <v>13</v>
      </c>
      <c r="C176" t="s">
        <v>829</v>
      </c>
      <c r="D176" t="s">
        <v>48</v>
      </c>
      <c r="E176" t="s">
        <v>24</v>
      </c>
      <c r="F176" s="1">
        <v>45762</v>
      </c>
      <c r="G176" t="s">
        <v>870</v>
      </c>
      <c r="H176">
        <v>101958.82</v>
      </c>
    </row>
    <row r="177" spans="1:8" x14ac:dyDescent="0.25">
      <c r="A177" t="s">
        <v>218</v>
      </c>
      <c r="B177" t="s">
        <v>70</v>
      </c>
      <c r="C177" t="s">
        <v>764</v>
      </c>
      <c r="D177" t="s">
        <v>56</v>
      </c>
      <c r="E177" t="s">
        <v>15</v>
      </c>
      <c r="F177" s="1">
        <v>45996</v>
      </c>
      <c r="G177">
        <v>56.76</v>
      </c>
      <c r="H177">
        <v>763.32</v>
      </c>
    </row>
    <row r="178" spans="1:8" x14ac:dyDescent="0.25">
      <c r="A178" t="s">
        <v>525</v>
      </c>
      <c r="B178" t="s">
        <v>70</v>
      </c>
      <c r="C178" t="s">
        <v>36</v>
      </c>
      <c r="D178" t="s">
        <v>56</v>
      </c>
      <c r="E178" t="s">
        <v>24</v>
      </c>
      <c r="F178" s="1">
        <v>45765</v>
      </c>
      <c r="G178">
        <v>8436.8799999999992</v>
      </c>
      <c r="H178">
        <v>103461.16</v>
      </c>
    </row>
    <row r="179" spans="1:8" x14ac:dyDescent="0.25">
      <c r="A179" t="s">
        <v>444</v>
      </c>
      <c r="B179" t="s">
        <v>46</v>
      </c>
      <c r="C179" t="s">
        <v>36</v>
      </c>
      <c r="D179" t="s">
        <v>56</v>
      </c>
      <c r="E179" t="s">
        <v>24</v>
      </c>
      <c r="F179" s="1">
        <v>45299</v>
      </c>
      <c r="G179">
        <v>10753.11</v>
      </c>
      <c r="H179">
        <v>114696.23</v>
      </c>
    </row>
    <row r="180" spans="1:8" x14ac:dyDescent="0.25">
      <c r="A180" t="s">
        <v>93</v>
      </c>
      <c r="B180" t="s">
        <v>40</v>
      </c>
      <c r="C180" t="s">
        <v>764</v>
      </c>
      <c r="D180" t="s">
        <v>26</v>
      </c>
      <c r="E180" t="s">
        <v>54</v>
      </c>
      <c r="F180" s="1">
        <v>45850</v>
      </c>
      <c r="G180">
        <v>462.24</v>
      </c>
      <c r="H180">
        <v>6819.78</v>
      </c>
    </row>
    <row r="181" spans="1:8" x14ac:dyDescent="0.25">
      <c r="A181" t="s">
        <v>454</v>
      </c>
      <c r="B181" t="s">
        <v>46</v>
      </c>
      <c r="C181" t="s">
        <v>41</v>
      </c>
      <c r="D181" t="s">
        <v>17</v>
      </c>
      <c r="E181" t="s">
        <v>15</v>
      </c>
      <c r="F181" s="1">
        <v>45630</v>
      </c>
      <c r="G181">
        <v>154.93</v>
      </c>
      <c r="H181">
        <v>2191.3200000000002</v>
      </c>
    </row>
    <row r="182" spans="1:8" x14ac:dyDescent="0.25">
      <c r="A182" t="s">
        <v>640</v>
      </c>
      <c r="B182" t="s">
        <v>837</v>
      </c>
      <c r="C182" t="s">
        <v>764</v>
      </c>
      <c r="D182" t="s">
        <v>17</v>
      </c>
      <c r="E182" t="s">
        <v>24</v>
      </c>
      <c r="F182" s="1">
        <v>45559</v>
      </c>
      <c r="G182">
        <v>11093.71</v>
      </c>
      <c r="H182">
        <v>149252.82999999999</v>
      </c>
    </row>
    <row r="183" spans="1:8" x14ac:dyDescent="0.25">
      <c r="A183" t="s">
        <v>88</v>
      </c>
      <c r="B183" t="s">
        <v>70</v>
      </c>
      <c r="C183" t="s">
        <v>36</v>
      </c>
      <c r="D183" t="s">
        <v>26</v>
      </c>
      <c r="E183" t="s">
        <v>54</v>
      </c>
      <c r="F183" s="1">
        <v>46025</v>
      </c>
      <c r="G183">
        <v>88.53</v>
      </c>
      <c r="H183">
        <v>1199.29</v>
      </c>
    </row>
    <row r="184" spans="1:8" x14ac:dyDescent="0.25">
      <c r="A184" t="s">
        <v>45</v>
      </c>
      <c r="B184" t="s">
        <v>46</v>
      </c>
      <c r="C184" t="s">
        <v>36</v>
      </c>
      <c r="D184" t="s">
        <v>48</v>
      </c>
      <c r="E184" t="s">
        <v>24</v>
      </c>
      <c r="F184" s="1">
        <v>45434</v>
      </c>
      <c r="G184">
        <v>6854.04</v>
      </c>
      <c r="H184">
        <v>86495.14</v>
      </c>
    </row>
    <row r="185" spans="1:8" x14ac:dyDescent="0.25">
      <c r="A185" t="s">
        <v>320</v>
      </c>
      <c r="B185" t="s">
        <v>40</v>
      </c>
      <c r="C185" t="s">
        <v>41</v>
      </c>
      <c r="D185" t="s">
        <v>26</v>
      </c>
      <c r="E185" t="s">
        <v>843</v>
      </c>
      <c r="F185" s="1">
        <v>45565</v>
      </c>
      <c r="G185">
        <v>724.62</v>
      </c>
      <c r="H185">
        <v>5985.71</v>
      </c>
    </row>
    <row r="186" spans="1:8" x14ac:dyDescent="0.25">
      <c r="A186" t="s">
        <v>722</v>
      </c>
      <c r="B186" t="s">
        <v>40</v>
      </c>
      <c r="C186" t="s">
        <v>829</v>
      </c>
      <c r="D186" t="s">
        <v>56</v>
      </c>
      <c r="E186" t="s">
        <v>828</v>
      </c>
      <c r="F186" s="1">
        <v>45643</v>
      </c>
      <c r="G186">
        <v>183.72</v>
      </c>
      <c r="H186">
        <v>2379.79</v>
      </c>
    </row>
    <row r="187" spans="1:8" x14ac:dyDescent="0.25">
      <c r="A187" t="s">
        <v>215</v>
      </c>
      <c r="B187" t="s">
        <v>70</v>
      </c>
      <c r="C187" t="s">
        <v>63</v>
      </c>
      <c r="D187" t="s">
        <v>17</v>
      </c>
      <c r="E187" t="s">
        <v>54</v>
      </c>
      <c r="F187" s="1">
        <v>45568</v>
      </c>
      <c r="H187">
        <v>2964.7</v>
      </c>
    </row>
    <row r="188" spans="1:8" x14ac:dyDescent="0.25">
      <c r="A188" t="s">
        <v>104</v>
      </c>
      <c r="B188" t="s">
        <v>40</v>
      </c>
      <c r="C188" t="s">
        <v>829</v>
      </c>
      <c r="D188" t="s">
        <v>26</v>
      </c>
      <c r="E188" t="s">
        <v>828</v>
      </c>
      <c r="F188" s="1">
        <v>46069</v>
      </c>
      <c r="G188">
        <v>1209.3699999999999</v>
      </c>
      <c r="H188">
        <v>9804.89</v>
      </c>
    </row>
    <row r="189" spans="1:8" x14ac:dyDescent="0.25">
      <c r="A189" t="s">
        <v>284</v>
      </c>
      <c r="B189" t="s">
        <v>66</v>
      </c>
      <c r="C189" t="s">
        <v>36</v>
      </c>
      <c r="D189" t="s">
        <v>17</v>
      </c>
      <c r="E189" t="s">
        <v>24</v>
      </c>
      <c r="F189" s="1">
        <v>45340</v>
      </c>
      <c r="G189" t="s">
        <v>869</v>
      </c>
      <c r="H189">
        <v>108841.48</v>
      </c>
    </row>
    <row r="190" spans="1:8" x14ac:dyDescent="0.25">
      <c r="A190" t="s">
        <v>743</v>
      </c>
      <c r="B190" t="s">
        <v>839</v>
      </c>
      <c r="C190" t="s">
        <v>36</v>
      </c>
      <c r="D190" t="s">
        <v>56</v>
      </c>
      <c r="E190" t="s">
        <v>828</v>
      </c>
      <c r="F190" s="1">
        <v>45295</v>
      </c>
      <c r="G190">
        <v>1304.92</v>
      </c>
    </row>
    <row r="191" spans="1:8" x14ac:dyDescent="0.25">
      <c r="A191" t="s">
        <v>230</v>
      </c>
      <c r="B191" t="s">
        <v>46</v>
      </c>
      <c r="C191" t="s">
        <v>829</v>
      </c>
      <c r="D191" t="s">
        <v>17</v>
      </c>
      <c r="E191" t="s">
        <v>24</v>
      </c>
      <c r="F191" s="1">
        <v>45349</v>
      </c>
      <c r="G191" t="s">
        <v>868</v>
      </c>
      <c r="H191">
        <v>29875.83</v>
      </c>
    </row>
    <row r="192" spans="1:8" x14ac:dyDescent="0.25">
      <c r="A192" t="s">
        <v>223</v>
      </c>
      <c r="B192" t="s">
        <v>779</v>
      </c>
      <c r="C192" t="s">
        <v>829</v>
      </c>
      <c r="D192" t="s">
        <v>17</v>
      </c>
      <c r="E192" t="s">
        <v>786</v>
      </c>
      <c r="F192" s="3">
        <v>45624</v>
      </c>
      <c r="G192">
        <v>190.4</v>
      </c>
      <c r="H192">
        <v>2633.21</v>
      </c>
    </row>
    <row r="193" spans="1:8" x14ac:dyDescent="0.25">
      <c r="A193" t="s">
        <v>659</v>
      </c>
      <c r="B193" t="s">
        <v>35</v>
      </c>
      <c r="C193" t="s">
        <v>36</v>
      </c>
      <c r="D193" t="s">
        <v>56</v>
      </c>
      <c r="E193" t="s">
        <v>24</v>
      </c>
      <c r="F193" s="1">
        <v>46061</v>
      </c>
      <c r="G193">
        <v>8254.43</v>
      </c>
      <c r="H193">
        <v>109900.03</v>
      </c>
    </row>
    <row r="194" spans="1:8" x14ac:dyDescent="0.25">
      <c r="A194" t="s">
        <v>312</v>
      </c>
      <c r="B194" t="s">
        <v>40</v>
      </c>
      <c r="C194" t="s">
        <v>36</v>
      </c>
      <c r="D194" t="s">
        <v>48</v>
      </c>
      <c r="E194" t="s">
        <v>24</v>
      </c>
      <c r="F194" s="1">
        <v>45988</v>
      </c>
      <c r="G194">
        <v>5858.13</v>
      </c>
      <c r="H194">
        <v>72920.990000000005</v>
      </c>
    </row>
    <row r="195" spans="1:8" x14ac:dyDescent="0.25">
      <c r="A195" t="s">
        <v>349</v>
      </c>
      <c r="B195" t="s">
        <v>35</v>
      </c>
      <c r="C195" t="s">
        <v>95</v>
      </c>
      <c r="D195" t="s">
        <v>48</v>
      </c>
      <c r="E195" t="s">
        <v>24</v>
      </c>
      <c r="F195" s="1">
        <v>45915</v>
      </c>
      <c r="G195">
        <v>6642.42</v>
      </c>
      <c r="H195">
        <v>98749.5</v>
      </c>
    </row>
    <row r="196" spans="1:8" x14ac:dyDescent="0.25">
      <c r="A196" t="s">
        <v>582</v>
      </c>
      <c r="B196" t="s">
        <v>40</v>
      </c>
      <c r="C196" t="s">
        <v>770</v>
      </c>
      <c r="D196" t="s">
        <v>56</v>
      </c>
      <c r="F196" s="1">
        <v>45450</v>
      </c>
      <c r="G196">
        <v>298.06</v>
      </c>
      <c r="H196">
        <v>2844.57</v>
      </c>
    </row>
    <row r="197" spans="1:8" x14ac:dyDescent="0.25">
      <c r="A197" t="s">
        <v>266</v>
      </c>
      <c r="B197" t="s">
        <v>70</v>
      </c>
      <c r="C197" t="s">
        <v>764</v>
      </c>
      <c r="D197" t="s">
        <v>17</v>
      </c>
      <c r="E197" t="s">
        <v>24</v>
      </c>
      <c r="F197" s="1">
        <v>45561</v>
      </c>
      <c r="G197">
        <v>6608.02</v>
      </c>
      <c r="H197">
        <v>96538.64</v>
      </c>
    </row>
    <row r="198" spans="1:8" x14ac:dyDescent="0.25">
      <c r="A198" t="s">
        <v>336</v>
      </c>
      <c r="B198" t="s">
        <v>70</v>
      </c>
      <c r="C198" t="s">
        <v>63</v>
      </c>
      <c r="D198" t="s">
        <v>56</v>
      </c>
      <c r="E198" t="s">
        <v>24</v>
      </c>
      <c r="F198" s="1">
        <v>45804</v>
      </c>
      <c r="G198" t="s">
        <v>867</v>
      </c>
      <c r="H198">
        <v>76949.399999999994</v>
      </c>
    </row>
    <row r="199" spans="1:8" x14ac:dyDescent="0.25">
      <c r="A199" t="s">
        <v>602</v>
      </c>
      <c r="B199" t="s">
        <v>46</v>
      </c>
      <c r="C199" t="s">
        <v>36</v>
      </c>
      <c r="D199" t="s">
        <v>26</v>
      </c>
      <c r="E199" t="s">
        <v>24</v>
      </c>
      <c r="F199" s="1">
        <v>45780</v>
      </c>
      <c r="G199">
        <v>3543.43</v>
      </c>
      <c r="H199">
        <v>42206.02</v>
      </c>
    </row>
    <row r="200" spans="1:8" x14ac:dyDescent="0.25">
      <c r="A200" t="s">
        <v>617</v>
      </c>
      <c r="B200" t="s">
        <v>837</v>
      </c>
      <c r="C200" t="s">
        <v>829</v>
      </c>
      <c r="D200" t="s">
        <v>56</v>
      </c>
      <c r="E200" t="s">
        <v>24</v>
      </c>
      <c r="F200" s="1">
        <v>45532</v>
      </c>
      <c r="G200">
        <v>1318.57</v>
      </c>
      <c r="H200">
        <v>13220.78</v>
      </c>
    </row>
    <row r="201" spans="1:8" x14ac:dyDescent="0.25">
      <c r="A201" t="s">
        <v>592</v>
      </c>
      <c r="B201" t="s">
        <v>66</v>
      </c>
      <c r="D201" t="s">
        <v>56</v>
      </c>
      <c r="E201" t="s">
        <v>15</v>
      </c>
      <c r="F201" s="1">
        <v>45847</v>
      </c>
      <c r="G201" t="s">
        <v>866</v>
      </c>
      <c r="H201">
        <v>859.94</v>
      </c>
    </row>
    <row r="202" spans="1:8" x14ac:dyDescent="0.25">
      <c r="A202" t="s">
        <v>740</v>
      </c>
      <c r="B202" t="s">
        <v>40</v>
      </c>
      <c r="C202" t="s">
        <v>63</v>
      </c>
      <c r="D202" t="s">
        <v>56</v>
      </c>
      <c r="E202" t="s">
        <v>763</v>
      </c>
      <c r="F202" s="1">
        <v>45575</v>
      </c>
      <c r="G202">
        <v>3856.41</v>
      </c>
      <c r="H202">
        <v>41286.53</v>
      </c>
    </row>
    <row r="203" spans="1:8" x14ac:dyDescent="0.25">
      <c r="A203" t="s">
        <v>395</v>
      </c>
      <c r="B203" t="s">
        <v>30</v>
      </c>
      <c r="C203" t="s">
        <v>829</v>
      </c>
      <c r="D203" t="s">
        <v>48</v>
      </c>
      <c r="E203" t="s">
        <v>24</v>
      </c>
      <c r="F203" s="1">
        <v>45967</v>
      </c>
      <c r="G203">
        <v>3446.8</v>
      </c>
      <c r="H203">
        <v>36217.93</v>
      </c>
    </row>
    <row r="204" spans="1:8" x14ac:dyDescent="0.25">
      <c r="A204" t="s">
        <v>713</v>
      </c>
      <c r="B204" t="s">
        <v>856</v>
      </c>
      <c r="C204" t="s">
        <v>41</v>
      </c>
      <c r="D204" t="s">
        <v>17</v>
      </c>
      <c r="E204" t="s">
        <v>769</v>
      </c>
      <c r="G204">
        <v>6232.67</v>
      </c>
      <c r="H204">
        <v>91645.53</v>
      </c>
    </row>
    <row r="205" spans="1:8" x14ac:dyDescent="0.25">
      <c r="A205" t="s">
        <v>263</v>
      </c>
      <c r="B205" t="s">
        <v>70</v>
      </c>
      <c r="C205" t="s">
        <v>829</v>
      </c>
      <c r="D205" t="s">
        <v>26</v>
      </c>
      <c r="E205" t="s">
        <v>24</v>
      </c>
      <c r="F205" s="3">
        <v>46054</v>
      </c>
      <c r="G205">
        <v>1895.62</v>
      </c>
      <c r="H205">
        <v>18781.22</v>
      </c>
    </row>
    <row r="206" spans="1:8" x14ac:dyDescent="0.25">
      <c r="A206" t="s">
        <v>634</v>
      </c>
      <c r="B206" t="s">
        <v>834</v>
      </c>
      <c r="C206" t="s">
        <v>865</v>
      </c>
      <c r="D206" t="s">
        <v>17</v>
      </c>
      <c r="E206" t="s">
        <v>54</v>
      </c>
      <c r="F206" s="1">
        <v>45965</v>
      </c>
      <c r="G206">
        <v>71.12</v>
      </c>
      <c r="H206">
        <v>768.32</v>
      </c>
    </row>
    <row r="207" spans="1:8" x14ac:dyDescent="0.25">
      <c r="A207" t="s">
        <v>149</v>
      </c>
      <c r="B207" t="s">
        <v>66</v>
      </c>
      <c r="C207" t="s">
        <v>764</v>
      </c>
      <c r="D207" t="s">
        <v>56</v>
      </c>
      <c r="E207" t="s">
        <v>828</v>
      </c>
      <c r="F207" s="1">
        <v>46141</v>
      </c>
      <c r="G207">
        <v>435.37</v>
      </c>
      <c r="H207">
        <v>3571.18</v>
      </c>
    </row>
    <row r="208" spans="1:8" x14ac:dyDescent="0.25">
      <c r="A208" t="s">
        <v>385</v>
      </c>
      <c r="C208" t="s">
        <v>36</v>
      </c>
      <c r="D208" t="s">
        <v>26</v>
      </c>
      <c r="E208" t="s">
        <v>24</v>
      </c>
      <c r="F208" s="1">
        <v>46127</v>
      </c>
      <c r="G208">
        <v>10151.129999999999</v>
      </c>
      <c r="H208">
        <v>151132.01999999999</v>
      </c>
    </row>
    <row r="209" spans="1:8" x14ac:dyDescent="0.25">
      <c r="A209" t="s">
        <v>300</v>
      </c>
      <c r="B209" t="s">
        <v>40</v>
      </c>
      <c r="C209" t="s">
        <v>41</v>
      </c>
      <c r="D209" t="s">
        <v>17</v>
      </c>
      <c r="E209" t="s">
        <v>54</v>
      </c>
      <c r="F209" s="1">
        <v>45682</v>
      </c>
      <c r="G209">
        <v>40.29</v>
      </c>
      <c r="H209">
        <v>512.64</v>
      </c>
    </row>
    <row r="210" spans="1:8" x14ac:dyDescent="0.25">
      <c r="A210" t="s">
        <v>330</v>
      </c>
      <c r="B210" t="s">
        <v>766</v>
      </c>
      <c r="C210" t="s">
        <v>63</v>
      </c>
      <c r="D210" t="s">
        <v>48</v>
      </c>
      <c r="E210" t="s">
        <v>24</v>
      </c>
      <c r="F210" s="1">
        <v>45453</v>
      </c>
      <c r="G210">
        <v>10753.88</v>
      </c>
      <c r="H210">
        <v>157497.73000000001</v>
      </c>
    </row>
    <row r="211" spans="1:8" x14ac:dyDescent="0.25">
      <c r="A211" t="s">
        <v>394</v>
      </c>
      <c r="B211" t="s">
        <v>40</v>
      </c>
      <c r="C211" t="s">
        <v>41</v>
      </c>
      <c r="D211" t="s">
        <v>26</v>
      </c>
      <c r="E211" t="s">
        <v>855</v>
      </c>
      <c r="F211" s="1">
        <v>45423</v>
      </c>
      <c r="G211">
        <v>999999</v>
      </c>
      <c r="H211">
        <v>9999999</v>
      </c>
    </row>
    <row r="212" spans="1:8" x14ac:dyDescent="0.25">
      <c r="A212" t="s">
        <v>611</v>
      </c>
      <c r="B212" t="s">
        <v>839</v>
      </c>
      <c r="C212" t="s">
        <v>829</v>
      </c>
      <c r="D212" t="s">
        <v>56</v>
      </c>
      <c r="E212" t="s">
        <v>24</v>
      </c>
      <c r="F212" s="1">
        <v>45482</v>
      </c>
      <c r="G212">
        <v>5903.99</v>
      </c>
      <c r="H212">
        <v>50449.82</v>
      </c>
    </row>
    <row r="213" spans="1:8" x14ac:dyDescent="0.25">
      <c r="A213" t="s">
        <v>499</v>
      </c>
      <c r="B213" t="s">
        <v>40</v>
      </c>
      <c r="C213" t="s">
        <v>764</v>
      </c>
      <c r="D213" t="s">
        <v>56</v>
      </c>
      <c r="E213" t="s">
        <v>848</v>
      </c>
      <c r="F213" s="1">
        <v>45961</v>
      </c>
      <c r="G213" t="s">
        <v>864</v>
      </c>
      <c r="H213">
        <v>86.32</v>
      </c>
    </row>
    <row r="214" spans="1:8" x14ac:dyDescent="0.25">
      <c r="A214" t="s">
        <v>335</v>
      </c>
      <c r="B214" t="s">
        <v>851</v>
      </c>
      <c r="C214" t="s">
        <v>41</v>
      </c>
      <c r="D214" t="s">
        <v>56</v>
      </c>
      <c r="E214" t="s">
        <v>24</v>
      </c>
      <c r="F214" s="1">
        <v>45561</v>
      </c>
      <c r="G214">
        <v>10824.83</v>
      </c>
      <c r="H214">
        <v>153689.82</v>
      </c>
    </row>
    <row r="215" spans="1:8" x14ac:dyDescent="0.25">
      <c r="A215" t="s">
        <v>172</v>
      </c>
      <c r="B215" t="s">
        <v>35</v>
      </c>
      <c r="C215" t="s">
        <v>41</v>
      </c>
      <c r="D215" t="s">
        <v>26</v>
      </c>
      <c r="E215" t="s">
        <v>24</v>
      </c>
      <c r="F215" s="1">
        <v>45530</v>
      </c>
      <c r="G215">
        <v>7666.29</v>
      </c>
      <c r="H215">
        <v>92624.88</v>
      </c>
    </row>
    <row r="216" spans="1:8" x14ac:dyDescent="0.25">
      <c r="A216" t="s">
        <v>216</v>
      </c>
      <c r="B216" t="s">
        <v>40</v>
      </c>
      <c r="C216" t="s">
        <v>36</v>
      </c>
      <c r="D216" t="s">
        <v>26</v>
      </c>
      <c r="E216" t="s">
        <v>24</v>
      </c>
      <c r="F216" s="1">
        <v>45947</v>
      </c>
      <c r="G216">
        <v>8076.78</v>
      </c>
      <c r="H216">
        <v>113522.95</v>
      </c>
    </row>
    <row r="217" spans="1:8" x14ac:dyDescent="0.25">
      <c r="A217" t="s">
        <v>429</v>
      </c>
      <c r="B217" t="s">
        <v>40</v>
      </c>
      <c r="C217" t="s">
        <v>829</v>
      </c>
      <c r="D217" t="s">
        <v>17</v>
      </c>
      <c r="E217" t="s">
        <v>24</v>
      </c>
      <c r="F217" s="1">
        <v>45545</v>
      </c>
      <c r="G217">
        <v>972.29</v>
      </c>
      <c r="H217">
        <v>8513.11</v>
      </c>
    </row>
    <row r="218" spans="1:8" x14ac:dyDescent="0.25">
      <c r="A218" t="s">
        <v>268</v>
      </c>
      <c r="B218" t="s">
        <v>40</v>
      </c>
      <c r="C218" t="s">
        <v>829</v>
      </c>
      <c r="D218" t="s">
        <v>26</v>
      </c>
      <c r="E218" t="s">
        <v>24</v>
      </c>
      <c r="F218" s="1">
        <v>46056</v>
      </c>
      <c r="G218">
        <v>6927.64</v>
      </c>
      <c r="H218">
        <v>102332.94</v>
      </c>
    </row>
    <row r="219" spans="1:8" x14ac:dyDescent="0.25">
      <c r="A219" t="s">
        <v>187</v>
      </c>
      <c r="B219" t="s">
        <v>66</v>
      </c>
      <c r="C219" t="s">
        <v>41</v>
      </c>
      <c r="D219" t="s">
        <v>56</v>
      </c>
      <c r="E219" t="s">
        <v>24</v>
      </c>
      <c r="F219" s="1">
        <v>45506</v>
      </c>
      <c r="G219">
        <v>4860.17</v>
      </c>
      <c r="H219">
        <v>72482.45</v>
      </c>
    </row>
    <row r="220" spans="1:8" x14ac:dyDescent="0.25">
      <c r="A220" t="s">
        <v>277</v>
      </c>
      <c r="B220" t="s">
        <v>40</v>
      </c>
      <c r="C220" t="s">
        <v>783</v>
      </c>
      <c r="D220" t="s">
        <v>48</v>
      </c>
      <c r="E220" t="s">
        <v>769</v>
      </c>
      <c r="F220" s="1">
        <v>45433</v>
      </c>
      <c r="H220">
        <v>104690.57</v>
      </c>
    </row>
    <row r="221" spans="1:8" x14ac:dyDescent="0.25">
      <c r="A221" t="s">
        <v>558</v>
      </c>
      <c r="B221" t="s">
        <v>30</v>
      </c>
      <c r="C221" t="s">
        <v>36</v>
      </c>
      <c r="D221" t="s">
        <v>17</v>
      </c>
      <c r="E221" t="s">
        <v>24</v>
      </c>
      <c r="F221" s="1">
        <v>45460</v>
      </c>
      <c r="G221">
        <v>6005.21</v>
      </c>
      <c r="H221">
        <v>85174.27</v>
      </c>
    </row>
    <row r="222" spans="1:8" x14ac:dyDescent="0.25">
      <c r="A222" t="s">
        <v>639</v>
      </c>
      <c r="B222" t="s">
        <v>70</v>
      </c>
      <c r="C222" t="s">
        <v>764</v>
      </c>
      <c r="D222" t="s">
        <v>56</v>
      </c>
      <c r="E222" t="s">
        <v>863</v>
      </c>
      <c r="F222" s="1">
        <v>45615</v>
      </c>
      <c r="G222">
        <v>412.12</v>
      </c>
      <c r="H222">
        <v>3936.16</v>
      </c>
    </row>
    <row r="223" spans="1:8" x14ac:dyDescent="0.25">
      <c r="A223" t="s">
        <v>451</v>
      </c>
      <c r="B223" t="s">
        <v>779</v>
      </c>
      <c r="C223" t="s">
        <v>764</v>
      </c>
      <c r="D223" t="s">
        <v>26</v>
      </c>
      <c r="E223" t="s">
        <v>24</v>
      </c>
      <c r="F223" s="1">
        <v>45526</v>
      </c>
      <c r="G223">
        <v>7980.26</v>
      </c>
      <c r="H223">
        <v>108145.87</v>
      </c>
    </row>
    <row r="224" spans="1:8" x14ac:dyDescent="0.25">
      <c r="A224" t="s">
        <v>175</v>
      </c>
      <c r="B224" t="s">
        <v>776</v>
      </c>
      <c r="C224" t="s">
        <v>63</v>
      </c>
      <c r="D224" t="s">
        <v>48</v>
      </c>
      <c r="E224" t="s">
        <v>843</v>
      </c>
      <c r="F224" s="1">
        <v>45681</v>
      </c>
      <c r="G224">
        <v>1933.19</v>
      </c>
      <c r="H224">
        <v>24097.86</v>
      </c>
    </row>
    <row r="225" spans="1:8" x14ac:dyDescent="0.25">
      <c r="A225" t="s">
        <v>206</v>
      </c>
      <c r="B225" t="s">
        <v>834</v>
      </c>
      <c r="C225" t="s">
        <v>41</v>
      </c>
      <c r="D225" t="s">
        <v>17</v>
      </c>
      <c r="E225" t="s">
        <v>24</v>
      </c>
      <c r="F225" s="1">
        <v>46038</v>
      </c>
      <c r="G225" t="s">
        <v>862</v>
      </c>
      <c r="H225">
        <v>56202.21</v>
      </c>
    </row>
    <row r="226" spans="1:8" x14ac:dyDescent="0.25">
      <c r="A226" t="s">
        <v>296</v>
      </c>
      <c r="B226" t="s">
        <v>66</v>
      </c>
      <c r="C226" t="s">
        <v>764</v>
      </c>
      <c r="D226" t="s">
        <v>56</v>
      </c>
      <c r="E226" t="s">
        <v>24</v>
      </c>
      <c r="F226" s="1">
        <v>45902</v>
      </c>
      <c r="G226">
        <v>3196.68</v>
      </c>
      <c r="H226">
        <v>34099.56</v>
      </c>
    </row>
    <row r="227" spans="1:8" x14ac:dyDescent="0.25">
      <c r="A227" t="s">
        <v>293</v>
      </c>
      <c r="B227" t="s">
        <v>35</v>
      </c>
      <c r="C227" t="s">
        <v>63</v>
      </c>
      <c r="D227" t="s">
        <v>17</v>
      </c>
      <c r="E227" t="s">
        <v>54</v>
      </c>
      <c r="F227" s="1">
        <v>45988</v>
      </c>
      <c r="G227">
        <v>219.94</v>
      </c>
      <c r="H227">
        <v>2912.68</v>
      </c>
    </row>
    <row r="228" spans="1:8" x14ac:dyDescent="0.25">
      <c r="A228" t="s">
        <v>344</v>
      </c>
      <c r="B228" t="s">
        <v>66</v>
      </c>
      <c r="C228" t="s">
        <v>14</v>
      </c>
      <c r="D228" t="s">
        <v>26</v>
      </c>
      <c r="E228" t="s">
        <v>54</v>
      </c>
      <c r="F228" s="3">
        <v>45932</v>
      </c>
      <c r="G228">
        <v>399.07</v>
      </c>
      <c r="H228">
        <v>5120.8500000000004</v>
      </c>
    </row>
    <row r="229" spans="1:8" x14ac:dyDescent="0.25">
      <c r="A229" t="s">
        <v>411</v>
      </c>
      <c r="B229" t="s">
        <v>70</v>
      </c>
      <c r="C229" t="s">
        <v>827</v>
      </c>
      <c r="D229" t="s">
        <v>48</v>
      </c>
      <c r="E229" t="s">
        <v>24</v>
      </c>
      <c r="F229" s="1">
        <v>45998</v>
      </c>
      <c r="G229">
        <v>4816.03</v>
      </c>
      <c r="H229">
        <v>53766.34</v>
      </c>
    </row>
    <row r="230" spans="1:8" x14ac:dyDescent="0.25">
      <c r="A230" t="s">
        <v>161</v>
      </c>
      <c r="B230" t="s">
        <v>30</v>
      </c>
      <c r="C230" t="s">
        <v>829</v>
      </c>
      <c r="D230" t="s">
        <v>56</v>
      </c>
      <c r="F230" s="1">
        <v>45363</v>
      </c>
      <c r="G230">
        <v>343.43</v>
      </c>
      <c r="H230">
        <v>4386.49</v>
      </c>
    </row>
    <row r="231" spans="1:8" x14ac:dyDescent="0.25">
      <c r="A231" t="s">
        <v>717</v>
      </c>
      <c r="B231" t="s">
        <v>70</v>
      </c>
      <c r="C231" t="s">
        <v>829</v>
      </c>
      <c r="D231" t="s">
        <v>48</v>
      </c>
      <c r="E231" t="s">
        <v>54</v>
      </c>
      <c r="F231" s="1">
        <v>45580</v>
      </c>
      <c r="G231">
        <v>65.510000000000005</v>
      </c>
      <c r="H231">
        <v>974.57</v>
      </c>
    </row>
    <row r="232" spans="1:8" x14ac:dyDescent="0.25">
      <c r="A232" t="s">
        <v>390</v>
      </c>
      <c r="B232" t="s">
        <v>70</v>
      </c>
      <c r="C232" t="s">
        <v>777</v>
      </c>
      <c r="D232" t="s">
        <v>56</v>
      </c>
      <c r="E232" t="s">
        <v>24</v>
      </c>
      <c r="F232" s="1">
        <v>45837</v>
      </c>
      <c r="G232">
        <v>5945.95</v>
      </c>
      <c r="H232">
        <v>80803.06</v>
      </c>
    </row>
    <row r="233" spans="1:8" x14ac:dyDescent="0.25">
      <c r="A233" t="s">
        <v>759</v>
      </c>
      <c r="B233" t="s">
        <v>837</v>
      </c>
      <c r="C233" t="s">
        <v>36</v>
      </c>
      <c r="D233" t="s">
        <v>56</v>
      </c>
      <c r="E233" t="s">
        <v>24</v>
      </c>
      <c r="F233" s="1">
        <v>46014</v>
      </c>
      <c r="G233">
        <v>9385.76</v>
      </c>
      <c r="H233">
        <v>83558.25</v>
      </c>
    </row>
    <row r="234" spans="1:8" x14ac:dyDescent="0.25">
      <c r="A234" t="s">
        <v>232</v>
      </c>
      <c r="B234" t="s">
        <v>35</v>
      </c>
      <c r="C234" t="s">
        <v>764</v>
      </c>
      <c r="D234" t="s">
        <v>17</v>
      </c>
      <c r="E234" t="s">
        <v>24</v>
      </c>
      <c r="F234" s="3">
        <v>45526</v>
      </c>
      <c r="G234">
        <v>1031.46</v>
      </c>
      <c r="H234">
        <v>9832.94</v>
      </c>
    </row>
    <row r="235" spans="1:8" x14ac:dyDescent="0.25">
      <c r="A235" t="s">
        <v>468</v>
      </c>
      <c r="C235" t="s">
        <v>95</v>
      </c>
      <c r="D235" t="s">
        <v>17</v>
      </c>
      <c r="E235" t="s">
        <v>24</v>
      </c>
      <c r="G235" t="s">
        <v>861</v>
      </c>
      <c r="H235">
        <v>80075.789999999994</v>
      </c>
    </row>
    <row r="236" spans="1:8" x14ac:dyDescent="0.25">
      <c r="A236" t="s">
        <v>669</v>
      </c>
      <c r="B236" t="s">
        <v>35</v>
      </c>
      <c r="C236" t="s">
        <v>41</v>
      </c>
      <c r="D236" t="s">
        <v>17</v>
      </c>
      <c r="E236" t="s">
        <v>54</v>
      </c>
      <c r="F236" s="1">
        <v>45367</v>
      </c>
      <c r="G236">
        <v>381.55</v>
      </c>
      <c r="H236">
        <v>4871.6099999999997</v>
      </c>
    </row>
    <row r="237" spans="1:8" x14ac:dyDescent="0.25">
      <c r="A237" t="s">
        <v>699</v>
      </c>
      <c r="B237" t="s">
        <v>860</v>
      </c>
      <c r="C237" t="s">
        <v>829</v>
      </c>
      <c r="D237" t="s">
        <v>56</v>
      </c>
      <c r="E237" t="s">
        <v>24</v>
      </c>
      <c r="F237" s="1">
        <v>46128</v>
      </c>
      <c r="G237">
        <v>9384.2999999999993</v>
      </c>
      <c r="H237">
        <v>113196.3</v>
      </c>
    </row>
    <row r="238" spans="1:8" x14ac:dyDescent="0.25">
      <c r="A238" t="s">
        <v>579</v>
      </c>
      <c r="B238" t="s">
        <v>46</v>
      </c>
      <c r="C238" t="s">
        <v>41</v>
      </c>
      <c r="D238" t="s">
        <v>17</v>
      </c>
      <c r="E238" t="s">
        <v>24</v>
      </c>
      <c r="F238" s="1">
        <v>46027</v>
      </c>
      <c r="G238">
        <v>6917.84</v>
      </c>
      <c r="H238">
        <v>80859.44</v>
      </c>
    </row>
    <row r="239" spans="1:8" x14ac:dyDescent="0.25">
      <c r="A239" t="s">
        <v>647</v>
      </c>
      <c r="B239" t="s">
        <v>70</v>
      </c>
      <c r="C239" t="s">
        <v>41</v>
      </c>
      <c r="D239" t="s">
        <v>56</v>
      </c>
      <c r="E239" t="s">
        <v>24</v>
      </c>
      <c r="F239" s="1">
        <v>45536</v>
      </c>
      <c r="G239">
        <v>3630.83</v>
      </c>
      <c r="H239">
        <v>48775.11</v>
      </c>
    </row>
    <row r="240" spans="1:8" x14ac:dyDescent="0.25">
      <c r="A240" t="s">
        <v>408</v>
      </c>
      <c r="B240" t="s">
        <v>837</v>
      </c>
      <c r="C240" t="s">
        <v>36</v>
      </c>
      <c r="D240" t="s">
        <v>17</v>
      </c>
      <c r="E240" t="s">
        <v>24</v>
      </c>
      <c r="F240" s="1">
        <v>45844</v>
      </c>
      <c r="G240">
        <v>11182.2</v>
      </c>
      <c r="H240">
        <v>124546.52</v>
      </c>
    </row>
    <row r="241" spans="1:8" x14ac:dyDescent="0.25">
      <c r="A241" t="s">
        <v>433</v>
      </c>
      <c r="B241" t="s">
        <v>30</v>
      </c>
      <c r="C241" t="s">
        <v>764</v>
      </c>
      <c r="D241" t="s">
        <v>56</v>
      </c>
      <c r="E241" t="s">
        <v>848</v>
      </c>
      <c r="F241" s="1">
        <v>45638</v>
      </c>
      <c r="G241">
        <v>34.479999999999997</v>
      </c>
      <c r="H241">
        <v>492.89</v>
      </c>
    </row>
    <row r="242" spans="1:8" x14ac:dyDescent="0.25">
      <c r="A242" t="s">
        <v>438</v>
      </c>
      <c r="B242" t="s">
        <v>70</v>
      </c>
      <c r="C242" t="s">
        <v>36</v>
      </c>
      <c r="D242" t="s">
        <v>26</v>
      </c>
      <c r="E242" t="s">
        <v>54</v>
      </c>
      <c r="F242" s="1">
        <v>45859</v>
      </c>
      <c r="G242">
        <v>210.03</v>
      </c>
      <c r="H242">
        <v>1865.77</v>
      </c>
    </row>
    <row r="243" spans="1:8" x14ac:dyDescent="0.25">
      <c r="A243" t="s">
        <v>501</v>
      </c>
      <c r="B243" t="s">
        <v>40</v>
      </c>
      <c r="C243" t="s">
        <v>63</v>
      </c>
      <c r="D243" t="s">
        <v>17</v>
      </c>
      <c r="E243" t="s">
        <v>24</v>
      </c>
      <c r="F243" s="1">
        <v>45953</v>
      </c>
      <c r="G243">
        <v>3883.71</v>
      </c>
      <c r="H243">
        <v>39563.910000000003</v>
      </c>
    </row>
    <row r="244" spans="1:8" x14ac:dyDescent="0.25">
      <c r="A244" t="s">
        <v>622</v>
      </c>
      <c r="C244" t="s">
        <v>829</v>
      </c>
      <c r="D244" t="s">
        <v>17</v>
      </c>
      <c r="E244" t="s">
        <v>24</v>
      </c>
      <c r="F244" s="3">
        <v>45875</v>
      </c>
      <c r="G244">
        <v>500000</v>
      </c>
      <c r="H244">
        <v>9999999</v>
      </c>
    </row>
    <row r="245" spans="1:8" x14ac:dyDescent="0.25">
      <c r="A245" t="s">
        <v>517</v>
      </c>
      <c r="B245" t="s">
        <v>30</v>
      </c>
      <c r="C245" t="s">
        <v>774</v>
      </c>
      <c r="D245" t="s">
        <v>48</v>
      </c>
      <c r="E245" t="s">
        <v>828</v>
      </c>
      <c r="F245" s="1">
        <v>45486</v>
      </c>
      <c r="G245">
        <v>1415.86</v>
      </c>
      <c r="H245">
        <v>13568.35</v>
      </c>
    </row>
    <row r="246" spans="1:8" x14ac:dyDescent="0.25">
      <c r="A246" t="s">
        <v>103</v>
      </c>
      <c r="B246" t="s">
        <v>70</v>
      </c>
      <c r="C246" t="s">
        <v>764</v>
      </c>
      <c r="D246" t="s">
        <v>56</v>
      </c>
      <c r="E246" t="s">
        <v>24</v>
      </c>
      <c r="F246" s="3">
        <v>45298</v>
      </c>
      <c r="G246">
        <v>8564.7000000000007</v>
      </c>
      <c r="H246">
        <v>123101.22</v>
      </c>
    </row>
    <row r="247" spans="1:8" x14ac:dyDescent="0.25">
      <c r="A247" t="s">
        <v>340</v>
      </c>
      <c r="B247" t="s">
        <v>779</v>
      </c>
      <c r="C247" t="s">
        <v>41</v>
      </c>
      <c r="D247" t="s">
        <v>56</v>
      </c>
      <c r="E247" t="s">
        <v>24</v>
      </c>
      <c r="F247" s="1">
        <v>45474</v>
      </c>
      <c r="G247">
        <v>6084.88</v>
      </c>
      <c r="H247">
        <v>74902.23</v>
      </c>
    </row>
    <row r="248" spans="1:8" x14ac:dyDescent="0.25">
      <c r="A248" t="s">
        <v>261</v>
      </c>
      <c r="B248" t="s">
        <v>837</v>
      </c>
      <c r="C248" t="s">
        <v>783</v>
      </c>
      <c r="D248" t="s">
        <v>17</v>
      </c>
      <c r="E248" t="s">
        <v>54</v>
      </c>
      <c r="F248" s="1">
        <v>45434</v>
      </c>
      <c r="G248">
        <v>278.7</v>
      </c>
      <c r="H248">
        <v>2943.35</v>
      </c>
    </row>
    <row r="249" spans="1:8" x14ac:dyDescent="0.25">
      <c r="A249" t="s">
        <v>608</v>
      </c>
      <c r="B249" t="s">
        <v>66</v>
      </c>
      <c r="C249" t="s">
        <v>764</v>
      </c>
      <c r="D249" t="s">
        <v>17</v>
      </c>
      <c r="E249" t="s">
        <v>24</v>
      </c>
      <c r="F249" s="1">
        <v>45812</v>
      </c>
      <c r="G249">
        <v>5197.95</v>
      </c>
      <c r="H249">
        <v>57455.73</v>
      </c>
    </row>
    <row r="250" spans="1:8" x14ac:dyDescent="0.25">
      <c r="A250" t="s">
        <v>676</v>
      </c>
      <c r="B250" t="s">
        <v>851</v>
      </c>
      <c r="C250" t="s">
        <v>764</v>
      </c>
      <c r="D250" t="s">
        <v>26</v>
      </c>
      <c r="E250" t="s">
        <v>828</v>
      </c>
      <c r="F250" s="1">
        <v>45649</v>
      </c>
      <c r="G250">
        <v>1364.07</v>
      </c>
      <c r="H250">
        <v>13931.21</v>
      </c>
    </row>
    <row r="251" spans="1:8" x14ac:dyDescent="0.25">
      <c r="A251" t="s">
        <v>483</v>
      </c>
      <c r="B251" t="s">
        <v>766</v>
      </c>
      <c r="C251" t="s">
        <v>829</v>
      </c>
      <c r="D251" t="s">
        <v>56</v>
      </c>
      <c r="E251" t="s">
        <v>15</v>
      </c>
      <c r="F251" s="1">
        <v>45391</v>
      </c>
      <c r="G251">
        <v>111.16</v>
      </c>
      <c r="H251">
        <v>935.95</v>
      </c>
    </row>
    <row r="252" spans="1:8" x14ac:dyDescent="0.25">
      <c r="A252" t="s">
        <v>649</v>
      </c>
      <c r="C252" t="s">
        <v>829</v>
      </c>
      <c r="D252" t="s">
        <v>17</v>
      </c>
      <c r="E252" t="s">
        <v>24</v>
      </c>
      <c r="F252" s="1">
        <v>45697</v>
      </c>
      <c r="G252">
        <v>5534.23</v>
      </c>
      <c r="H252">
        <v>81395.039999999994</v>
      </c>
    </row>
    <row r="253" spans="1:8" x14ac:dyDescent="0.25">
      <c r="A253" t="s">
        <v>135</v>
      </c>
      <c r="B253" t="s">
        <v>70</v>
      </c>
      <c r="C253" t="s">
        <v>829</v>
      </c>
      <c r="D253" t="s">
        <v>26</v>
      </c>
      <c r="E253" t="s">
        <v>54</v>
      </c>
      <c r="F253" s="3">
        <v>46039</v>
      </c>
      <c r="G253">
        <v>290.29000000000002</v>
      </c>
      <c r="H253">
        <v>2784.58</v>
      </c>
    </row>
    <row r="254" spans="1:8" x14ac:dyDescent="0.25">
      <c r="A254" t="s">
        <v>719</v>
      </c>
      <c r="B254" t="s">
        <v>856</v>
      </c>
      <c r="C254" t="s">
        <v>764</v>
      </c>
      <c r="D254" t="s">
        <v>26</v>
      </c>
      <c r="E254" t="s">
        <v>24</v>
      </c>
      <c r="F254" s="3">
        <v>45911</v>
      </c>
      <c r="G254">
        <v>3812.34</v>
      </c>
      <c r="H254">
        <v>32749.16</v>
      </c>
    </row>
    <row r="255" spans="1:8" x14ac:dyDescent="0.25">
      <c r="A255" t="s">
        <v>409</v>
      </c>
      <c r="B255" t="s">
        <v>837</v>
      </c>
      <c r="D255" t="s">
        <v>48</v>
      </c>
      <c r="E255" t="s">
        <v>54</v>
      </c>
      <c r="F255" s="1">
        <v>46065</v>
      </c>
      <c r="G255">
        <v>287.89999999999998</v>
      </c>
      <c r="H255">
        <v>3032.82</v>
      </c>
    </row>
    <row r="256" spans="1:8" x14ac:dyDescent="0.25">
      <c r="A256" t="s">
        <v>219</v>
      </c>
      <c r="B256" t="s">
        <v>40</v>
      </c>
      <c r="C256" t="s">
        <v>764</v>
      </c>
      <c r="D256" t="s">
        <v>56</v>
      </c>
      <c r="E256" t="s">
        <v>54</v>
      </c>
      <c r="F256" s="1">
        <v>45862</v>
      </c>
      <c r="G256">
        <v>331.93</v>
      </c>
      <c r="H256">
        <v>4917.62</v>
      </c>
    </row>
    <row r="257" spans="1:8" x14ac:dyDescent="0.25">
      <c r="A257" t="s">
        <v>181</v>
      </c>
      <c r="B257" t="s">
        <v>834</v>
      </c>
      <c r="C257" t="s">
        <v>41</v>
      </c>
      <c r="D257" t="s">
        <v>17</v>
      </c>
      <c r="E257" t="s">
        <v>24</v>
      </c>
      <c r="F257" s="1">
        <v>45458</v>
      </c>
      <c r="G257">
        <v>6875.74</v>
      </c>
      <c r="H257">
        <v>81313.789999999994</v>
      </c>
    </row>
    <row r="258" spans="1:8" x14ac:dyDescent="0.25">
      <c r="A258" t="s">
        <v>708</v>
      </c>
      <c r="B258" t="s">
        <v>30</v>
      </c>
      <c r="C258" t="s">
        <v>63</v>
      </c>
      <c r="D258" t="s">
        <v>48</v>
      </c>
      <c r="E258" t="s">
        <v>15</v>
      </c>
      <c r="F258" s="3">
        <v>45562</v>
      </c>
      <c r="G258">
        <v>10.84</v>
      </c>
      <c r="H258">
        <v>101</v>
      </c>
    </row>
    <row r="259" spans="1:8" x14ac:dyDescent="0.25">
      <c r="A259" t="s">
        <v>434</v>
      </c>
      <c r="C259" t="s">
        <v>764</v>
      </c>
      <c r="D259" t="s">
        <v>48</v>
      </c>
      <c r="E259" t="s">
        <v>24</v>
      </c>
      <c r="F259" s="1">
        <v>45313</v>
      </c>
      <c r="G259">
        <v>7946.75</v>
      </c>
      <c r="H259">
        <v>81492.19</v>
      </c>
    </row>
    <row r="260" spans="1:8" x14ac:dyDescent="0.25">
      <c r="A260" t="s">
        <v>588</v>
      </c>
      <c r="B260" t="s">
        <v>40</v>
      </c>
      <c r="C260" t="s">
        <v>41</v>
      </c>
      <c r="D260" t="s">
        <v>17</v>
      </c>
      <c r="E260" t="s">
        <v>54</v>
      </c>
      <c r="F260" s="1">
        <v>45885</v>
      </c>
      <c r="G260">
        <v>148.68</v>
      </c>
      <c r="H260">
        <v>1988.07</v>
      </c>
    </row>
    <row r="261" spans="1:8" x14ac:dyDescent="0.25">
      <c r="A261" t="s">
        <v>275</v>
      </c>
      <c r="B261" t="s">
        <v>46</v>
      </c>
      <c r="D261" t="s">
        <v>56</v>
      </c>
      <c r="E261" t="s">
        <v>54</v>
      </c>
      <c r="F261" s="1">
        <v>45662</v>
      </c>
      <c r="G261" t="s">
        <v>859</v>
      </c>
      <c r="H261">
        <v>3803.17</v>
      </c>
    </row>
    <row r="262" spans="1:8" x14ac:dyDescent="0.25">
      <c r="A262" t="s">
        <v>619</v>
      </c>
      <c r="B262" t="s">
        <v>46</v>
      </c>
      <c r="C262" t="s">
        <v>835</v>
      </c>
      <c r="D262" t="s">
        <v>17</v>
      </c>
      <c r="E262" t="s">
        <v>24</v>
      </c>
      <c r="F262" s="1">
        <v>45705</v>
      </c>
      <c r="G262">
        <v>3184.37</v>
      </c>
      <c r="H262">
        <v>34503.370000000003</v>
      </c>
    </row>
    <row r="263" spans="1:8" x14ac:dyDescent="0.25">
      <c r="A263" t="s">
        <v>106</v>
      </c>
      <c r="B263" t="s">
        <v>30</v>
      </c>
      <c r="C263" t="s">
        <v>36</v>
      </c>
      <c r="D263" t="s">
        <v>56</v>
      </c>
      <c r="E263" t="s">
        <v>15</v>
      </c>
      <c r="F263" s="1">
        <v>46117</v>
      </c>
      <c r="G263">
        <v>7.74</v>
      </c>
      <c r="H263">
        <v>69.73</v>
      </c>
    </row>
    <row r="264" spans="1:8" x14ac:dyDescent="0.25">
      <c r="A264" t="s">
        <v>520</v>
      </c>
      <c r="B264" t="s">
        <v>851</v>
      </c>
      <c r="C264" t="s">
        <v>829</v>
      </c>
      <c r="D264" t="s">
        <v>48</v>
      </c>
      <c r="E264" t="s">
        <v>24</v>
      </c>
      <c r="F264" s="1">
        <v>45435</v>
      </c>
      <c r="G264">
        <v>8794.77</v>
      </c>
      <c r="H264">
        <v>117603.91</v>
      </c>
    </row>
    <row r="265" spans="1:8" x14ac:dyDescent="0.25">
      <c r="A265" t="s">
        <v>342</v>
      </c>
      <c r="B265" t="s">
        <v>853</v>
      </c>
      <c r="D265" t="s">
        <v>48</v>
      </c>
      <c r="E265" t="s">
        <v>769</v>
      </c>
      <c r="F265" s="1">
        <v>45400</v>
      </c>
      <c r="H265">
        <v>81577.919999999998</v>
      </c>
    </row>
    <row r="266" spans="1:8" x14ac:dyDescent="0.25">
      <c r="A266" t="s">
        <v>484</v>
      </c>
      <c r="B266" t="s">
        <v>35</v>
      </c>
      <c r="C266" t="s">
        <v>829</v>
      </c>
      <c r="D266" t="s">
        <v>48</v>
      </c>
      <c r="E266" t="s">
        <v>828</v>
      </c>
      <c r="F266" s="1">
        <v>45966</v>
      </c>
      <c r="G266" t="s">
        <v>858</v>
      </c>
      <c r="H266">
        <v>23488.04</v>
      </c>
    </row>
    <row r="267" spans="1:8" x14ac:dyDescent="0.25">
      <c r="A267" t="s">
        <v>269</v>
      </c>
      <c r="B267" t="s">
        <v>766</v>
      </c>
      <c r="C267" t="s">
        <v>63</v>
      </c>
      <c r="D267" t="s">
        <v>56</v>
      </c>
      <c r="E267" t="s">
        <v>24</v>
      </c>
      <c r="G267">
        <v>4148.93</v>
      </c>
      <c r="H267">
        <v>41763.089999999997</v>
      </c>
    </row>
    <row r="268" spans="1:8" x14ac:dyDescent="0.25">
      <c r="A268" t="s">
        <v>636</v>
      </c>
      <c r="B268" t="s">
        <v>46</v>
      </c>
      <c r="C268" t="s">
        <v>764</v>
      </c>
      <c r="D268" t="s">
        <v>56</v>
      </c>
      <c r="E268" t="s">
        <v>54</v>
      </c>
      <c r="F268" s="1">
        <v>45870</v>
      </c>
      <c r="G268">
        <v>396.31</v>
      </c>
      <c r="H268">
        <v>5585.46</v>
      </c>
    </row>
    <row r="269" spans="1:8" x14ac:dyDescent="0.25">
      <c r="A269" t="s">
        <v>270</v>
      </c>
      <c r="B269" t="s">
        <v>834</v>
      </c>
      <c r="C269" t="s">
        <v>829</v>
      </c>
      <c r="D269" t="s">
        <v>26</v>
      </c>
      <c r="E269" t="s">
        <v>15</v>
      </c>
      <c r="F269" s="1">
        <v>45730</v>
      </c>
      <c r="G269">
        <v>151.05000000000001</v>
      </c>
      <c r="H269">
        <v>2128.71</v>
      </c>
    </row>
    <row r="270" spans="1:8" x14ac:dyDescent="0.25">
      <c r="A270" t="s">
        <v>509</v>
      </c>
      <c r="B270" t="s">
        <v>40</v>
      </c>
      <c r="C270" t="s">
        <v>764</v>
      </c>
      <c r="D270" t="s">
        <v>26</v>
      </c>
      <c r="E270" t="s">
        <v>15</v>
      </c>
      <c r="F270" s="1">
        <v>45639</v>
      </c>
      <c r="G270" t="s">
        <v>857</v>
      </c>
      <c r="H270">
        <v>1542.01</v>
      </c>
    </row>
    <row r="271" spans="1:8" x14ac:dyDescent="0.25">
      <c r="A271" t="s">
        <v>476</v>
      </c>
      <c r="B271" t="s">
        <v>66</v>
      </c>
      <c r="C271" t="s">
        <v>63</v>
      </c>
      <c r="D271" t="s">
        <v>56</v>
      </c>
      <c r="E271" t="s">
        <v>54</v>
      </c>
      <c r="F271" s="3">
        <v>45776</v>
      </c>
      <c r="G271">
        <v>177.41</v>
      </c>
      <c r="H271">
        <v>1525.29</v>
      </c>
    </row>
    <row r="272" spans="1:8" x14ac:dyDescent="0.25">
      <c r="A272" t="s">
        <v>238</v>
      </c>
      <c r="B272" t="s">
        <v>40</v>
      </c>
      <c r="D272" t="s">
        <v>26</v>
      </c>
      <c r="E272" t="s">
        <v>24</v>
      </c>
      <c r="F272" s="1">
        <v>45615</v>
      </c>
      <c r="G272">
        <v>5737.29</v>
      </c>
      <c r="H272">
        <v>76720.740000000005</v>
      </c>
    </row>
    <row r="273" spans="1:8" x14ac:dyDescent="0.25">
      <c r="A273" t="s">
        <v>600</v>
      </c>
      <c r="B273" t="s">
        <v>35</v>
      </c>
      <c r="C273" t="s">
        <v>36</v>
      </c>
      <c r="D273" t="s">
        <v>48</v>
      </c>
      <c r="E273" t="s">
        <v>24</v>
      </c>
      <c r="F273" s="1">
        <v>45890</v>
      </c>
      <c r="G273">
        <v>7693.42</v>
      </c>
      <c r="H273">
        <v>73939.73</v>
      </c>
    </row>
    <row r="274" spans="1:8" x14ac:dyDescent="0.25">
      <c r="A274" t="s">
        <v>193</v>
      </c>
      <c r="B274" t="s">
        <v>35</v>
      </c>
      <c r="C274" t="s">
        <v>36</v>
      </c>
      <c r="D274" t="s">
        <v>26</v>
      </c>
      <c r="E274" t="s">
        <v>24</v>
      </c>
      <c r="F274" s="1">
        <v>45991</v>
      </c>
      <c r="H274">
        <v>57891.32</v>
      </c>
    </row>
    <row r="275" spans="1:8" x14ac:dyDescent="0.25">
      <c r="A275" t="s">
        <v>265</v>
      </c>
      <c r="B275" t="s">
        <v>70</v>
      </c>
      <c r="C275" t="s">
        <v>36</v>
      </c>
      <c r="D275" t="s">
        <v>56</v>
      </c>
      <c r="E275" t="s">
        <v>24</v>
      </c>
      <c r="F275" s="1">
        <v>45843</v>
      </c>
      <c r="G275">
        <v>5843.4</v>
      </c>
      <c r="H275">
        <v>84135.28</v>
      </c>
    </row>
    <row r="276" spans="1:8" x14ac:dyDescent="0.25">
      <c r="A276" t="s">
        <v>396</v>
      </c>
      <c r="B276" t="s">
        <v>40</v>
      </c>
      <c r="C276" t="s">
        <v>770</v>
      </c>
      <c r="D276" t="s">
        <v>17</v>
      </c>
      <c r="E276" t="s">
        <v>24</v>
      </c>
      <c r="F276" s="1">
        <v>45778</v>
      </c>
      <c r="G276">
        <v>4742.29</v>
      </c>
      <c r="H276">
        <v>64111.12</v>
      </c>
    </row>
    <row r="277" spans="1:8" x14ac:dyDescent="0.25">
      <c r="A277" t="s">
        <v>516</v>
      </c>
      <c r="B277" t="s">
        <v>30</v>
      </c>
      <c r="C277" t="s">
        <v>829</v>
      </c>
      <c r="D277" t="s">
        <v>26</v>
      </c>
      <c r="E277" t="s">
        <v>24</v>
      </c>
      <c r="F277" s="1">
        <v>45488</v>
      </c>
      <c r="G277">
        <v>4545.82</v>
      </c>
      <c r="H277">
        <v>45230.81</v>
      </c>
    </row>
    <row r="278" spans="1:8" x14ac:dyDescent="0.25">
      <c r="A278" t="s">
        <v>195</v>
      </c>
      <c r="B278" t="s">
        <v>834</v>
      </c>
      <c r="C278" t="s">
        <v>36</v>
      </c>
      <c r="D278" t="s">
        <v>26</v>
      </c>
      <c r="E278" t="s">
        <v>24</v>
      </c>
      <c r="F278" s="1">
        <v>45955</v>
      </c>
      <c r="G278">
        <v>10087.84</v>
      </c>
      <c r="H278">
        <v>102037.01</v>
      </c>
    </row>
    <row r="279" spans="1:8" x14ac:dyDescent="0.25">
      <c r="A279" t="s">
        <v>721</v>
      </c>
      <c r="B279" t="s">
        <v>23</v>
      </c>
      <c r="C279" t="s">
        <v>36</v>
      </c>
      <c r="D279" t="s">
        <v>17</v>
      </c>
      <c r="E279" t="s">
        <v>24</v>
      </c>
      <c r="F279" s="1">
        <v>46026</v>
      </c>
      <c r="G279">
        <v>6074.19</v>
      </c>
      <c r="H279">
        <v>50257.82</v>
      </c>
    </row>
    <row r="280" spans="1:8" x14ac:dyDescent="0.25">
      <c r="A280" t="s">
        <v>237</v>
      </c>
      <c r="B280" t="s">
        <v>785</v>
      </c>
      <c r="C280" t="s">
        <v>36</v>
      </c>
      <c r="D280" t="s">
        <v>26</v>
      </c>
      <c r="E280" t="s">
        <v>24</v>
      </c>
      <c r="F280" s="1">
        <v>46116</v>
      </c>
      <c r="G280">
        <v>9337.6299999999992</v>
      </c>
      <c r="H280">
        <v>124088.15</v>
      </c>
    </row>
    <row r="281" spans="1:8" x14ac:dyDescent="0.25">
      <c r="A281" t="s">
        <v>323</v>
      </c>
      <c r="C281" t="s">
        <v>829</v>
      </c>
      <c r="D281" t="s">
        <v>17</v>
      </c>
      <c r="E281" t="s">
        <v>828</v>
      </c>
      <c r="F281" s="1">
        <v>45948</v>
      </c>
      <c r="G281">
        <v>1769.5</v>
      </c>
      <c r="H281">
        <v>15594.33</v>
      </c>
    </row>
    <row r="282" spans="1:8" x14ac:dyDescent="0.25">
      <c r="A282" t="s">
        <v>347</v>
      </c>
      <c r="B282" t="s">
        <v>40</v>
      </c>
      <c r="C282" t="s">
        <v>63</v>
      </c>
      <c r="D282" t="s">
        <v>26</v>
      </c>
      <c r="E282" t="s">
        <v>24</v>
      </c>
      <c r="G282">
        <v>11074.73</v>
      </c>
      <c r="H282">
        <v>106902.03</v>
      </c>
    </row>
    <row r="283" spans="1:8" x14ac:dyDescent="0.25">
      <c r="A283" t="s">
        <v>407</v>
      </c>
      <c r="B283" t="s">
        <v>834</v>
      </c>
      <c r="C283" t="s">
        <v>41</v>
      </c>
      <c r="D283" t="s">
        <v>26</v>
      </c>
      <c r="E283" t="s">
        <v>24</v>
      </c>
      <c r="F283" s="1">
        <v>45508</v>
      </c>
      <c r="G283">
        <v>7154.87</v>
      </c>
      <c r="H283">
        <v>60422.21</v>
      </c>
    </row>
    <row r="284" spans="1:8" x14ac:dyDescent="0.25">
      <c r="A284" t="s">
        <v>507</v>
      </c>
      <c r="B284" t="s">
        <v>834</v>
      </c>
      <c r="C284" t="s">
        <v>41</v>
      </c>
      <c r="D284" t="s">
        <v>56</v>
      </c>
      <c r="E284" t="s">
        <v>54</v>
      </c>
      <c r="F284" s="1">
        <v>46037</v>
      </c>
      <c r="G284">
        <v>184.51</v>
      </c>
      <c r="H284">
        <v>2098.86</v>
      </c>
    </row>
    <row r="285" spans="1:8" x14ac:dyDescent="0.25">
      <c r="A285" t="s">
        <v>541</v>
      </c>
      <c r="B285" t="s">
        <v>834</v>
      </c>
      <c r="C285" t="s">
        <v>41</v>
      </c>
      <c r="D285" t="s">
        <v>48</v>
      </c>
      <c r="E285" t="s">
        <v>24</v>
      </c>
      <c r="F285" s="1">
        <v>45307</v>
      </c>
      <c r="G285">
        <v>3976.08</v>
      </c>
      <c r="H285">
        <v>33745.379999999997</v>
      </c>
    </row>
    <row r="286" spans="1:8" x14ac:dyDescent="0.25">
      <c r="A286" t="s">
        <v>575</v>
      </c>
      <c r="B286" t="s">
        <v>856</v>
      </c>
      <c r="C286" t="s">
        <v>41</v>
      </c>
      <c r="D286" t="s">
        <v>48</v>
      </c>
      <c r="E286" t="s">
        <v>24</v>
      </c>
      <c r="F286" s="1">
        <v>46094</v>
      </c>
      <c r="G286">
        <v>11414.94</v>
      </c>
      <c r="H286">
        <v>100180.12</v>
      </c>
    </row>
    <row r="287" spans="1:8" x14ac:dyDescent="0.25">
      <c r="A287" t="s">
        <v>497</v>
      </c>
      <c r="B287" t="s">
        <v>834</v>
      </c>
      <c r="C287" t="s">
        <v>764</v>
      </c>
      <c r="D287" t="s">
        <v>26</v>
      </c>
      <c r="E287" t="s">
        <v>15</v>
      </c>
      <c r="F287" s="1">
        <v>45981</v>
      </c>
      <c r="G287">
        <v>89.63</v>
      </c>
      <c r="H287">
        <v>749.32</v>
      </c>
    </row>
    <row r="288" spans="1:8" x14ac:dyDescent="0.25">
      <c r="A288" t="s">
        <v>642</v>
      </c>
      <c r="B288" t="s">
        <v>837</v>
      </c>
      <c r="C288" t="s">
        <v>41</v>
      </c>
      <c r="D288" t="s">
        <v>56</v>
      </c>
      <c r="E288" t="s">
        <v>24</v>
      </c>
      <c r="F288" s="1">
        <v>45501</v>
      </c>
      <c r="G288">
        <v>5550.26</v>
      </c>
      <c r="H288">
        <v>47369.56</v>
      </c>
    </row>
    <row r="289" spans="1:8" x14ac:dyDescent="0.25">
      <c r="A289" t="s">
        <v>755</v>
      </c>
      <c r="B289" t="s">
        <v>35</v>
      </c>
      <c r="C289" t="s">
        <v>63</v>
      </c>
      <c r="D289" t="s">
        <v>48</v>
      </c>
      <c r="E289" t="s">
        <v>24</v>
      </c>
      <c r="F289" s="1">
        <v>45744</v>
      </c>
      <c r="G289">
        <v>2069.85</v>
      </c>
      <c r="H289">
        <v>26064.34</v>
      </c>
    </row>
    <row r="290" spans="1:8" x14ac:dyDescent="0.25">
      <c r="A290" t="s">
        <v>241</v>
      </c>
      <c r="B290" t="s">
        <v>834</v>
      </c>
      <c r="C290" t="s">
        <v>783</v>
      </c>
      <c r="D290" t="s">
        <v>17</v>
      </c>
      <c r="E290" t="s">
        <v>54</v>
      </c>
      <c r="F290" s="1">
        <v>45566</v>
      </c>
      <c r="G290">
        <v>287.83999999999997</v>
      </c>
    </row>
    <row r="291" spans="1:8" x14ac:dyDescent="0.25">
      <c r="A291" t="s">
        <v>744</v>
      </c>
      <c r="B291" t="s">
        <v>46</v>
      </c>
      <c r="C291" t="s">
        <v>764</v>
      </c>
      <c r="D291" t="s">
        <v>56</v>
      </c>
      <c r="E291" t="s">
        <v>24</v>
      </c>
      <c r="F291" s="1">
        <v>45633</v>
      </c>
      <c r="G291">
        <v>6048.75</v>
      </c>
      <c r="H291">
        <v>89224.33</v>
      </c>
    </row>
    <row r="292" spans="1:8" x14ac:dyDescent="0.25">
      <c r="A292" t="s">
        <v>374</v>
      </c>
      <c r="B292" t="s">
        <v>13</v>
      </c>
      <c r="C292" t="s">
        <v>41</v>
      </c>
      <c r="D292" t="s">
        <v>26</v>
      </c>
      <c r="E292" t="s">
        <v>54</v>
      </c>
      <c r="F292" s="1">
        <v>45537</v>
      </c>
      <c r="G292">
        <v>26.04</v>
      </c>
      <c r="H292">
        <v>309.33999999999997</v>
      </c>
    </row>
    <row r="293" spans="1:8" x14ac:dyDescent="0.25">
      <c r="A293" t="s">
        <v>264</v>
      </c>
      <c r="B293" t="s">
        <v>834</v>
      </c>
      <c r="C293" t="s">
        <v>63</v>
      </c>
      <c r="D293" t="s">
        <v>17</v>
      </c>
      <c r="E293" t="s">
        <v>828</v>
      </c>
      <c r="F293" s="1">
        <v>45866</v>
      </c>
      <c r="G293">
        <v>486.68</v>
      </c>
      <c r="H293">
        <v>4454</v>
      </c>
    </row>
    <row r="294" spans="1:8" x14ac:dyDescent="0.25">
      <c r="A294" t="s">
        <v>370</v>
      </c>
      <c r="B294" t="s">
        <v>66</v>
      </c>
      <c r="C294" t="s">
        <v>63</v>
      </c>
      <c r="D294" t="s">
        <v>56</v>
      </c>
      <c r="E294" t="s">
        <v>843</v>
      </c>
      <c r="F294" s="1">
        <v>45663</v>
      </c>
      <c r="G294">
        <v>5348</v>
      </c>
      <c r="H294">
        <v>79801.5</v>
      </c>
    </row>
    <row r="295" spans="1:8" x14ac:dyDescent="0.25">
      <c r="A295" t="s">
        <v>245</v>
      </c>
      <c r="B295" t="s">
        <v>35</v>
      </c>
      <c r="C295" t="s">
        <v>835</v>
      </c>
      <c r="D295" t="s">
        <v>56</v>
      </c>
      <c r="E295" t="s">
        <v>828</v>
      </c>
      <c r="F295" s="1">
        <v>46027</v>
      </c>
      <c r="G295">
        <v>527.96</v>
      </c>
      <c r="H295">
        <v>7138.16</v>
      </c>
    </row>
    <row r="296" spans="1:8" x14ac:dyDescent="0.25">
      <c r="A296" t="s">
        <v>675</v>
      </c>
      <c r="B296" t="s">
        <v>66</v>
      </c>
      <c r="C296" t="s">
        <v>764</v>
      </c>
      <c r="D296" t="s">
        <v>17</v>
      </c>
      <c r="E296" t="s">
        <v>24</v>
      </c>
      <c r="F296" s="1">
        <v>45427</v>
      </c>
      <c r="G296">
        <v>11964.87</v>
      </c>
      <c r="H296">
        <v>177041.93</v>
      </c>
    </row>
    <row r="297" spans="1:8" x14ac:dyDescent="0.25">
      <c r="A297" t="s">
        <v>478</v>
      </c>
      <c r="B297" t="s">
        <v>35</v>
      </c>
      <c r="C297" t="s">
        <v>63</v>
      </c>
      <c r="D297" t="s">
        <v>56</v>
      </c>
      <c r="E297" t="s">
        <v>54</v>
      </c>
      <c r="F297" s="1">
        <v>45708</v>
      </c>
      <c r="G297">
        <v>139.83000000000001</v>
      </c>
      <c r="H297">
        <v>1847.45</v>
      </c>
    </row>
    <row r="298" spans="1:8" x14ac:dyDescent="0.25">
      <c r="A298" t="s">
        <v>694</v>
      </c>
      <c r="B298" t="s">
        <v>35</v>
      </c>
      <c r="C298" t="s">
        <v>829</v>
      </c>
      <c r="D298" t="s">
        <v>48</v>
      </c>
      <c r="E298" t="s">
        <v>763</v>
      </c>
      <c r="F298" s="1">
        <v>45961</v>
      </c>
      <c r="G298">
        <v>922.02</v>
      </c>
      <c r="H298">
        <v>13684.23</v>
      </c>
    </row>
    <row r="299" spans="1:8" x14ac:dyDescent="0.25">
      <c r="A299" t="s">
        <v>613</v>
      </c>
      <c r="B299" t="s">
        <v>834</v>
      </c>
      <c r="C299" t="s">
        <v>829</v>
      </c>
      <c r="D299" t="s">
        <v>48</v>
      </c>
      <c r="E299" t="s">
        <v>24</v>
      </c>
      <c r="F299" s="1">
        <v>45901</v>
      </c>
      <c r="G299">
        <v>3813.21</v>
      </c>
      <c r="H299">
        <v>41964.34</v>
      </c>
    </row>
    <row r="300" spans="1:8" x14ac:dyDescent="0.25">
      <c r="A300" t="s">
        <v>628</v>
      </c>
      <c r="B300" t="s">
        <v>834</v>
      </c>
      <c r="C300" t="s">
        <v>63</v>
      </c>
      <c r="D300" t="s">
        <v>56</v>
      </c>
      <c r="E300" t="s">
        <v>855</v>
      </c>
      <c r="F300" s="1">
        <v>45332</v>
      </c>
      <c r="G300">
        <v>57.39</v>
      </c>
      <c r="H300">
        <v>604.49</v>
      </c>
    </row>
    <row r="301" spans="1:8" x14ac:dyDescent="0.25">
      <c r="A301" t="s">
        <v>580</v>
      </c>
      <c r="B301" t="s">
        <v>70</v>
      </c>
      <c r="C301" t="s">
        <v>41</v>
      </c>
      <c r="D301" t="s">
        <v>26</v>
      </c>
      <c r="E301" t="s">
        <v>24</v>
      </c>
      <c r="F301" s="1">
        <v>45790</v>
      </c>
      <c r="G301">
        <v>5286</v>
      </c>
      <c r="H301">
        <v>53700.13</v>
      </c>
    </row>
    <row r="302" spans="1:8" x14ac:dyDescent="0.25">
      <c r="A302" t="s">
        <v>487</v>
      </c>
      <c r="B302" t="s">
        <v>30</v>
      </c>
      <c r="C302" t="s">
        <v>829</v>
      </c>
      <c r="D302" t="s">
        <v>48</v>
      </c>
      <c r="E302" t="s">
        <v>24</v>
      </c>
      <c r="F302" s="1">
        <v>45654</v>
      </c>
      <c r="G302">
        <v>3275.59</v>
      </c>
      <c r="H302">
        <v>41567.54</v>
      </c>
    </row>
    <row r="303" spans="1:8" x14ac:dyDescent="0.25">
      <c r="A303" t="s">
        <v>473</v>
      </c>
      <c r="B303" t="s">
        <v>40</v>
      </c>
      <c r="C303" t="s">
        <v>829</v>
      </c>
      <c r="D303" t="s">
        <v>26</v>
      </c>
      <c r="E303" t="s">
        <v>828</v>
      </c>
      <c r="F303" s="3">
        <v>45540</v>
      </c>
      <c r="G303">
        <v>1042.54</v>
      </c>
      <c r="H303">
        <v>11801.42</v>
      </c>
    </row>
    <row r="304" spans="1:8" x14ac:dyDescent="0.25">
      <c r="A304" t="s">
        <v>597</v>
      </c>
      <c r="B304" t="s">
        <v>40</v>
      </c>
      <c r="C304" t="s">
        <v>764</v>
      </c>
      <c r="D304" t="s">
        <v>26</v>
      </c>
      <c r="E304" t="s">
        <v>854</v>
      </c>
      <c r="F304" s="1">
        <v>45350</v>
      </c>
      <c r="G304">
        <v>387.78</v>
      </c>
      <c r="H304">
        <v>3452.91</v>
      </c>
    </row>
    <row r="305" spans="1:8" x14ac:dyDescent="0.25">
      <c r="A305" t="s">
        <v>561</v>
      </c>
      <c r="B305" t="s">
        <v>776</v>
      </c>
      <c r="C305" t="s">
        <v>764</v>
      </c>
      <c r="D305" t="s">
        <v>48</v>
      </c>
      <c r="E305" t="s">
        <v>54</v>
      </c>
      <c r="F305" s="1">
        <v>45294</v>
      </c>
      <c r="H305">
        <v>6411.43</v>
      </c>
    </row>
    <row r="306" spans="1:8" x14ac:dyDescent="0.25">
      <c r="A306" t="s">
        <v>221</v>
      </c>
      <c r="B306" t="s">
        <v>46</v>
      </c>
      <c r="C306" t="s">
        <v>764</v>
      </c>
      <c r="D306" t="s">
        <v>17</v>
      </c>
      <c r="E306" t="s">
        <v>54</v>
      </c>
      <c r="F306" s="1">
        <v>45516</v>
      </c>
      <c r="G306">
        <v>309.63</v>
      </c>
      <c r="H306">
        <v>4450.72</v>
      </c>
    </row>
    <row r="307" spans="1:8" x14ac:dyDescent="0.25">
      <c r="A307" t="s">
        <v>318</v>
      </c>
      <c r="B307" t="s">
        <v>40</v>
      </c>
      <c r="C307" t="s">
        <v>829</v>
      </c>
      <c r="D307" t="s">
        <v>56</v>
      </c>
      <c r="E307" t="s">
        <v>24</v>
      </c>
      <c r="F307" s="1">
        <v>45723</v>
      </c>
      <c r="G307">
        <v>9352.65</v>
      </c>
      <c r="H307">
        <v>82459.8</v>
      </c>
    </row>
    <row r="308" spans="1:8" x14ac:dyDescent="0.25">
      <c r="A308" t="s">
        <v>511</v>
      </c>
      <c r="B308" t="s">
        <v>40</v>
      </c>
      <c r="C308" t="s">
        <v>41</v>
      </c>
      <c r="D308" t="s">
        <v>56</v>
      </c>
      <c r="E308" t="s">
        <v>843</v>
      </c>
      <c r="F308" s="1">
        <v>46111</v>
      </c>
      <c r="G308">
        <v>4453.21</v>
      </c>
      <c r="H308">
        <v>46539.6</v>
      </c>
    </row>
    <row r="309" spans="1:8" x14ac:dyDescent="0.25">
      <c r="A309" t="s">
        <v>658</v>
      </c>
      <c r="B309" t="s">
        <v>40</v>
      </c>
      <c r="C309" t="s">
        <v>63</v>
      </c>
      <c r="D309" t="s">
        <v>56</v>
      </c>
      <c r="E309" t="s">
        <v>24</v>
      </c>
      <c r="F309" s="1">
        <v>45615</v>
      </c>
      <c r="G309">
        <v>500000</v>
      </c>
      <c r="H309">
        <v>-5000</v>
      </c>
    </row>
    <row r="310" spans="1:8" x14ac:dyDescent="0.25">
      <c r="A310" t="s">
        <v>543</v>
      </c>
      <c r="B310" t="s">
        <v>834</v>
      </c>
      <c r="C310" t="s">
        <v>770</v>
      </c>
      <c r="D310" t="s">
        <v>48</v>
      </c>
      <c r="E310" t="s">
        <v>24</v>
      </c>
      <c r="F310" s="1">
        <v>45387</v>
      </c>
      <c r="G310">
        <v>8642.2099999999991</v>
      </c>
      <c r="H310">
        <v>113962.95</v>
      </c>
    </row>
    <row r="311" spans="1:8" x14ac:dyDescent="0.25">
      <c r="A311" t="s">
        <v>731</v>
      </c>
      <c r="B311" t="s">
        <v>35</v>
      </c>
      <c r="C311" t="s">
        <v>764</v>
      </c>
      <c r="D311" t="s">
        <v>48</v>
      </c>
      <c r="E311" t="s">
        <v>15</v>
      </c>
      <c r="F311" s="1">
        <v>45549</v>
      </c>
      <c r="G311">
        <v>44.94</v>
      </c>
      <c r="H311">
        <v>603.15</v>
      </c>
    </row>
    <row r="312" spans="1:8" x14ac:dyDescent="0.25">
      <c r="A312" t="s">
        <v>587</v>
      </c>
      <c r="B312" t="s">
        <v>30</v>
      </c>
      <c r="C312" t="s">
        <v>829</v>
      </c>
      <c r="D312" t="s">
        <v>26</v>
      </c>
      <c r="E312" t="s">
        <v>24</v>
      </c>
      <c r="F312" s="1">
        <v>45351</v>
      </c>
      <c r="G312">
        <v>10947.8</v>
      </c>
      <c r="H312">
        <v>160026.93</v>
      </c>
    </row>
    <row r="313" spans="1:8" x14ac:dyDescent="0.25">
      <c r="A313" t="s">
        <v>388</v>
      </c>
      <c r="B313" t="s">
        <v>830</v>
      </c>
      <c r="C313" t="s">
        <v>36</v>
      </c>
      <c r="D313" t="s">
        <v>17</v>
      </c>
      <c r="E313" t="s">
        <v>828</v>
      </c>
      <c r="F313" s="1">
        <v>46070</v>
      </c>
      <c r="G313">
        <v>791.78</v>
      </c>
      <c r="H313">
        <v>9328.36</v>
      </c>
    </row>
    <row r="314" spans="1:8" x14ac:dyDescent="0.25">
      <c r="A314" t="s">
        <v>232</v>
      </c>
      <c r="B314" t="s">
        <v>35</v>
      </c>
      <c r="C314" t="s">
        <v>764</v>
      </c>
      <c r="D314" t="s">
        <v>17</v>
      </c>
      <c r="E314" t="s">
        <v>24</v>
      </c>
      <c r="F314" s="3">
        <v>45526</v>
      </c>
      <c r="G314">
        <v>1031.46</v>
      </c>
      <c r="H314">
        <v>9832.94</v>
      </c>
    </row>
    <row r="315" spans="1:8" x14ac:dyDescent="0.25">
      <c r="A315" t="s">
        <v>517</v>
      </c>
      <c r="B315" t="s">
        <v>30</v>
      </c>
      <c r="C315" t="s">
        <v>774</v>
      </c>
      <c r="D315" t="s">
        <v>48</v>
      </c>
      <c r="E315" t="s">
        <v>828</v>
      </c>
      <c r="F315" s="1">
        <v>45486</v>
      </c>
      <c r="G315">
        <v>1415.86</v>
      </c>
      <c r="H315">
        <v>13568.35</v>
      </c>
    </row>
    <row r="316" spans="1:8" x14ac:dyDescent="0.25">
      <c r="A316" t="s">
        <v>295</v>
      </c>
      <c r="B316" t="s">
        <v>40</v>
      </c>
      <c r="C316" t="s">
        <v>764</v>
      </c>
      <c r="D316" t="s">
        <v>26</v>
      </c>
      <c r="E316" t="s">
        <v>24</v>
      </c>
      <c r="F316" s="1">
        <v>45724</v>
      </c>
      <c r="G316">
        <v>8705.77</v>
      </c>
      <c r="H316">
        <v>85622.38</v>
      </c>
    </row>
    <row r="317" spans="1:8" x14ac:dyDescent="0.25">
      <c r="A317" t="s">
        <v>255</v>
      </c>
      <c r="B317" t="s">
        <v>35</v>
      </c>
      <c r="C317" t="s">
        <v>36</v>
      </c>
      <c r="D317" t="s">
        <v>17</v>
      </c>
      <c r="E317" t="s">
        <v>54</v>
      </c>
      <c r="F317" s="1">
        <v>45761</v>
      </c>
      <c r="G317">
        <v>-50</v>
      </c>
      <c r="H317">
        <v>-100</v>
      </c>
    </row>
    <row r="318" spans="1:8" x14ac:dyDescent="0.25">
      <c r="A318" t="s">
        <v>341</v>
      </c>
      <c r="B318" t="s">
        <v>46</v>
      </c>
      <c r="C318" t="s">
        <v>764</v>
      </c>
      <c r="D318" t="s">
        <v>26</v>
      </c>
      <c r="E318" t="s">
        <v>769</v>
      </c>
      <c r="F318" s="1">
        <v>45811</v>
      </c>
      <c r="G318">
        <v>4971.8599999999997</v>
      </c>
      <c r="H318">
        <v>72456.759999999995</v>
      </c>
    </row>
    <row r="319" spans="1:8" x14ac:dyDescent="0.25">
      <c r="A319" t="s">
        <v>423</v>
      </c>
      <c r="B319" t="s">
        <v>35</v>
      </c>
      <c r="C319" t="s">
        <v>63</v>
      </c>
      <c r="D319" t="s">
        <v>26</v>
      </c>
      <c r="E319" t="s">
        <v>24</v>
      </c>
      <c r="F319" s="1">
        <v>45740</v>
      </c>
      <c r="G319">
        <v>8368.98</v>
      </c>
      <c r="H319">
        <v>68776.73</v>
      </c>
    </row>
    <row r="320" spans="1:8" x14ac:dyDescent="0.25">
      <c r="A320" t="s">
        <v>387</v>
      </c>
      <c r="B320" t="s">
        <v>35</v>
      </c>
      <c r="C320" t="s">
        <v>773</v>
      </c>
      <c r="D320" t="s">
        <v>17</v>
      </c>
      <c r="E320" t="s">
        <v>24</v>
      </c>
      <c r="F320" s="1">
        <v>45362</v>
      </c>
      <c r="G320">
        <v>7645.36</v>
      </c>
      <c r="H320">
        <v>114012.89</v>
      </c>
    </row>
    <row r="321" spans="1:8" x14ac:dyDescent="0.25">
      <c r="A321" t="s">
        <v>225</v>
      </c>
      <c r="B321" t="s">
        <v>46</v>
      </c>
      <c r="C321" t="s">
        <v>764</v>
      </c>
      <c r="D321" t="s">
        <v>48</v>
      </c>
      <c r="E321" t="s">
        <v>828</v>
      </c>
      <c r="F321" s="1">
        <v>46155</v>
      </c>
      <c r="G321">
        <v>781.12</v>
      </c>
      <c r="H321">
        <v>11186.06</v>
      </c>
    </row>
    <row r="322" spans="1:8" x14ac:dyDescent="0.25">
      <c r="A322" t="s">
        <v>234</v>
      </c>
      <c r="B322" t="s">
        <v>66</v>
      </c>
      <c r="C322" t="s">
        <v>764</v>
      </c>
      <c r="D322" t="s">
        <v>48</v>
      </c>
      <c r="E322" t="s">
        <v>24</v>
      </c>
      <c r="F322" s="1">
        <v>46133</v>
      </c>
      <c r="G322">
        <v>11815.26</v>
      </c>
      <c r="H322">
        <v>110247.29</v>
      </c>
    </row>
    <row r="323" spans="1:8" x14ac:dyDescent="0.25">
      <c r="A323" t="s">
        <v>570</v>
      </c>
      <c r="B323" t="s">
        <v>851</v>
      </c>
      <c r="C323" t="s">
        <v>63</v>
      </c>
      <c r="D323" t="s">
        <v>48</v>
      </c>
      <c r="E323" t="s">
        <v>54</v>
      </c>
      <c r="F323" s="1">
        <v>45725</v>
      </c>
      <c r="G323">
        <v>343.23</v>
      </c>
      <c r="H323">
        <v>3263.77</v>
      </c>
    </row>
    <row r="324" spans="1:8" x14ac:dyDescent="0.25">
      <c r="A324" t="s">
        <v>375</v>
      </c>
      <c r="B324" t="s">
        <v>70</v>
      </c>
      <c r="C324" t="s">
        <v>829</v>
      </c>
      <c r="D324" t="s">
        <v>17</v>
      </c>
      <c r="E324" t="s">
        <v>24</v>
      </c>
      <c r="F324" s="1">
        <v>45351</v>
      </c>
      <c r="G324">
        <v>11447.08</v>
      </c>
      <c r="H324">
        <v>138563.26</v>
      </c>
    </row>
    <row r="325" spans="1:8" x14ac:dyDescent="0.25">
      <c r="A325" t="s">
        <v>680</v>
      </c>
      <c r="B325" t="s">
        <v>837</v>
      </c>
      <c r="C325" t="s">
        <v>829</v>
      </c>
      <c r="D325" t="s">
        <v>17</v>
      </c>
      <c r="E325" t="s">
        <v>24</v>
      </c>
      <c r="F325" s="1">
        <v>45670</v>
      </c>
      <c r="G325">
        <v>-200</v>
      </c>
      <c r="H325">
        <v>-5000</v>
      </c>
    </row>
    <row r="326" spans="1:8" x14ac:dyDescent="0.25">
      <c r="A326" t="s">
        <v>553</v>
      </c>
      <c r="B326" t="s">
        <v>834</v>
      </c>
      <c r="C326" t="s">
        <v>41</v>
      </c>
      <c r="D326" t="s">
        <v>48</v>
      </c>
      <c r="E326" t="s">
        <v>24</v>
      </c>
      <c r="F326" s="3">
        <v>45784</v>
      </c>
      <c r="G326">
        <v>9157.11</v>
      </c>
      <c r="H326">
        <v>93232.76</v>
      </c>
    </row>
    <row r="327" spans="1:8" x14ac:dyDescent="0.25">
      <c r="A327" t="s">
        <v>243</v>
      </c>
      <c r="B327" t="s">
        <v>46</v>
      </c>
      <c r="C327" t="s">
        <v>764</v>
      </c>
      <c r="D327" t="s">
        <v>26</v>
      </c>
      <c r="E327" t="s">
        <v>24</v>
      </c>
      <c r="F327" s="1">
        <v>45508</v>
      </c>
      <c r="G327">
        <v>4915.75</v>
      </c>
      <c r="H327">
        <v>60916.99</v>
      </c>
    </row>
    <row r="328" spans="1:8" x14ac:dyDescent="0.25">
      <c r="A328" t="s">
        <v>460</v>
      </c>
      <c r="B328" t="s">
        <v>776</v>
      </c>
      <c r="D328" t="s">
        <v>17</v>
      </c>
      <c r="E328" t="s">
        <v>769</v>
      </c>
      <c r="F328" s="1">
        <v>45977</v>
      </c>
      <c r="G328">
        <v>3323.19</v>
      </c>
      <c r="H328">
        <v>36211.79</v>
      </c>
    </row>
    <row r="329" spans="1:8" x14ac:dyDescent="0.25">
      <c r="A329" t="s">
        <v>663</v>
      </c>
      <c r="B329" t="s">
        <v>70</v>
      </c>
      <c r="C329" t="s">
        <v>41</v>
      </c>
      <c r="D329" t="s">
        <v>26</v>
      </c>
      <c r="E329" t="s">
        <v>24</v>
      </c>
      <c r="F329" s="1">
        <v>45761</v>
      </c>
      <c r="G329">
        <v>738.57</v>
      </c>
      <c r="H329">
        <v>9155.0499999999993</v>
      </c>
    </row>
    <row r="330" spans="1:8" x14ac:dyDescent="0.25">
      <c r="A330" t="s">
        <v>213</v>
      </c>
      <c r="B330" t="s">
        <v>66</v>
      </c>
      <c r="C330" t="s">
        <v>36</v>
      </c>
      <c r="D330" t="s">
        <v>48</v>
      </c>
      <c r="E330" t="s">
        <v>24</v>
      </c>
      <c r="F330" s="1">
        <v>45680</v>
      </c>
      <c r="G330">
        <v>11538.07</v>
      </c>
      <c r="H330">
        <v>124272.4</v>
      </c>
    </row>
    <row r="331" spans="1:8" x14ac:dyDescent="0.25">
      <c r="A331" t="s">
        <v>603</v>
      </c>
      <c r="B331" t="s">
        <v>30</v>
      </c>
      <c r="C331" t="s">
        <v>63</v>
      </c>
      <c r="D331" t="s">
        <v>56</v>
      </c>
      <c r="E331" t="s">
        <v>54</v>
      </c>
      <c r="F331" s="1">
        <v>45806</v>
      </c>
      <c r="G331">
        <v>40.590000000000003</v>
      </c>
      <c r="H331">
        <v>514.53</v>
      </c>
    </row>
    <row r="332" spans="1:8" x14ac:dyDescent="0.25">
      <c r="A332" t="s">
        <v>535</v>
      </c>
      <c r="B332" t="s">
        <v>46</v>
      </c>
      <c r="C332" t="s">
        <v>41</v>
      </c>
      <c r="D332" t="s">
        <v>17</v>
      </c>
      <c r="E332" t="s">
        <v>24</v>
      </c>
      <c r="F332" s="1">
        <v>45343</v>
      </c>
      <c r="G332">
        <v>11775.87</v>
      </c>
      <c r="H332">
        <v>123142.2</v>
      </c>
    </row>
    <row r="333" spans="1:8" x14ac:dyDescent="0.25">
      <c r="A333" t="s">
        <v>250</v>
      </c>
      <c r="B333" t="s">
        <v>70</v>
      </c>
      <c r="C333" t="s">
        <v>36</v>
      </c>
      <c r="D333" t="s">
        <v>48</v>
      </c>
      <c r="E333" t="s">
        <v>24</v>
      </c>
      <c r="F333" s="1">
        <v>45803</v>
      </c>
      <c r="G333">
        <v>10682.85</v>
      </c>
      <c r="H333">
        <v>153484.72</v>
      </c>
    </row>
    <row r="334" spans="1:8" x14ac:dyDescent="0.25">
      <c r="A334" t="s">
        <v>593</v>
      </c>
      <c r="B334" t="s">
        <v>40</v>
      </c>
      <c r="C334" t="s">
        <v>831</v>
      </c>
      <c r="D334" t="s">
        <v>26</v>
      </c>
      <c r="E334" t="s">
        <v>828</v>
      </c>
      <c r="F334" s="1">
        <v>45354</v>
      </c>
      <c r="G334">
        <v>1749.03</v>
      </c>
      <c r="H334">
        <v>15461.23</v>
      </c>
    </row>
    <row r="335" spans="1:8" x14ac:dyDescent="0.25">
      <c r="A335" t="s">
        <v>114</v>
      </c>
      <c r="B335" t="s">
        <v>70</v>
      </c>
      <c r="C335" t="s">
        <v>36</v>
      </c>
      <c r="D335" t="s">
        <v>56</v>
      </c>
      <c r="E335" t="s">
        <v>24</v>
      </c>
      <c r="F335" s="1">
        <v>45451</v>
      </c>
      <c r="G335">
        <v>10520.21</v>
      </c>
      <c r="H335">
        <v>130059.42</v>
      </c>
    </row>
    <row r="336" spans="1:8" x14ac:dyDescent="0.25">
      <c r="A336" t="s">
        <v>734</v>
      </c>
      <c r="B336" t="s">
        <v>30</v>
      </c>
      <c r="C336" t="s">
        <v>41</v>
      </c>
      <c r="D336" t="s">
        <v>56</v>
      </c>
      <c r="E336" t="s">
        <v>54</v>
      </c>
      <c r="F336" s="1">
        <v>45344</v>
      </c>
      <c r="G336">
        <v>56.73</v>
      </c>
      <c r="H336">
        <v>474.63</v>
      </c>
    </row>
    <row r="337" spans="1:8" x14ac:dyDescent="0.25">
      <c r="A337" t="s">
        <v>145</v>
      </c>
      <c r="B337" t="s">
        <v>35</v>
      </c>
      <c r="C337" t="s">
        <v>63</v>
      </c>
      <c r="D337" t="s">
        <v>26</v>
      </c>
      <c r="E337" t="s">
        <v>54</v>
      </c>
      <c r="F337" s="1">
        <v>45857</v>
      </c>
      <c r="G337">
        <v>218.2</v>
      </c>
      <c r="H337">
        <v>1999.71</v>
      </c>
    </row>
    <row r="338" spans="1:8" x14ac:dyDescent="0.25">
      <c r="A338" t="s">
        <v>457</v>
      </c>
      <c r="B338" t="s">
        <v>40</v>
      </c>
      <c r="C338" t="s">
        <v>829</v>
      </c>
      <c r="D338" t="s">
        <v>26</v>
      </c>
      <c r="E338" t="s">
        <v>24</v>
      </c>
      <c r="F338" s="1">
        <v>45535</v>
      </c>
      <c r="G338">
        <v>7313.46</v>
      </c>
    </row>
    <row r="339" spans="1:8" x14ac:dyDescent="0.25">
      <c r="A339" t="s">
        <v>177</v>
      </c>
      <c r="B339" t="s">
        <v>70</v>
      </c>
      <c r="C339" t="s">
        <v>63</v>
      </c>
      <c r="D339" t="s">
        <v>48</v>
      </c>
      <c r="E339" t="s">
        <v>763</v>
      </c>
      <c r="F339" s="1">
        <v>45756</v>
      </c>
      <c r="H339">
        <v>80211.91</v>
      </c>
    </row>
    <row r="340" spans="1:8" x14ac:dyDescent="0.25">
      <c r="A340" t="s">
        <v>401</v>
      </c>
      <c r="B340" t="s">
        <v>853</v>
      </c>
      <c r="C340" t="s">
        <v>829</v>
      </c>
      <c r="D340" t="s">
        <v>17</v>
      </c>
      <c r="E340" t="s">
        <v>24</v>
      </c>
      <c r="F340" s="1">
        <v>45563</v>
      </c>
      <c r="G340">
        <v>8761.11</v>
      </c>
      <c r="H340">
        <v>86363.28</v>
      </c>
    </row>
    <row r="341" spans="1:8" x14ac:dyDescent="0.25">
      <c r="A341" t="s">
        <v>327</v>
      </c>
      <c r="B341" t="s">
        <v>66</v>
      </c>
      <c r="C341" t="s">
        <v>829</v>
      </c>
      <c r="D341" t="s">
        <v>48</v>
      </c>
      <c r="E341" t="s">
        <v>24</v>
      </c>
      <c r="F341" s="1">
        <v>45592</v>
      </c>
      <c r="G341">
        <v>3934.05</v>
      </c>
      <c r="H341">
        <v>42175.06</v>
      </c>
    </row>
    <row r="342" spans="1:8" x14ac:dyDescent="0.25">
      <c r="A342" t="s">
        <v>623</v>
      </c>
      <c r="B342" t="s">
        <v>66</v>
      </c>
      <c r="C342" t="s">
        <v>764</v>
      </c>
      <c r="D342" t="s">
        <v>26</v>
      </c>
      <c r="E342" t="s">
        <v>24</v>
      </c>
      <c r="F342" s="1">
        <v>45544</v>
      </c>
      <c r="G342">
        <v>7282.58</v>
      </c>
      <c r="H342">
        <v>106568.18</v>
      </c>
    </row>
    <row r="343" spans="1:8" x14ac:dyDescent="0.25">
      <c r="A343" t="s">
        <v>288</v>
      </c>
      <c r="B343" t="s">
        <v>30</v>
      </c>
      <c r="C343" t="s">
        <v>63</v>
      </c>
      <c r="D343" t="s">
        <v>26</v>
      </c>
      <c r="E343" t="s">
        <v>24</v>
      </c>
      <c r="F343" s="1">
        <v>45448</v>
      </c>
      <c r="G343">
        <v>3689.08</v>
      </c>
    </row>
    <row r="344" spans="1:8" x14ac:dyDescent="0.25">
      <c r="A344" t="s">
        <v>65</v>
      </c>
      <c r="B344" t="s">
        <v>66</v>
      </c>
      <c r="C344" t="s">
        <v>764</v>
      </c>
      <c r="D344" t="s">
        <v>48</v>
      </c>
      <c r="E344" t="s">
        <v>24</v>
      </c>
      <c r="F344" s="1">
        <v>45850</v>
      </c>
      <c r="G344">
        <v>11680.26</v>
      </c>
      <c r="H344">
        <v>155815.94</v>
      </c>
    </row>
    <row r="345" spans="1:8" x14ac:dyDescent="0.25">
      <c r="A345" t="s">
        <v>102</v>
      </c>
      <c r="B345" t="s">
        <v>771</v>
      </c>
      <c r="C345" t="s">
        <v>847</v>
      </c>
      <c r="D345" t="s">
        <v>17</v>
      </c>
      <c r="E345" t="s">
        <v>24</v>
      </c>
      <c r="F345" s="1">
        <v>46120</v>
      </c>
      <c r="G345">
        <v>2330.7800000000002</v>
      </c>
      <c r="H345">
        <v>20273.080000000002</v>
      </c>
    </row>
    <row r="346" spans="1:8" x14ac:dyDescent="0.25">
      <c r="A346" t="s">
        <v>91</v>
      </c>
      <c r="B346" t="s">
        <v>35</v>
      </c>
      <c r="C346" t="s">
        <v>14</v>
      </c>
      <c r="D346" t="s">
        <v>17</v>
      </c>
      <c r="E346" t="s">
        <v>24</v>
      </c>
      <c r="F346" s="1">
        <v>46010</v>
      </c>
      <c r="G346">
        <v>2562.65</v>
      </c>
      <c r="H346">
        <v>23229.75</v>
      </c>
    </row>
    <row r="347" spans="1:8" x14ac:dyDescent="0.25">
      <c r="A347" t="s">
        <v>303</v>
      </c>
      <c r="B347" t="s">
        <v>30</v>
      </c>
      <c r="C347" t="s">
        <v>852</v>
      </c>
      <c r="D347" t="s">
        <v>26</v>
      </c>
      <c r="E347" t="s">
        <v>24</v>
      </c>
      <c r="F347" s="1">
        <v>45771</v>
      </c>
      <c r="G347">
        <v>4904.91</v>
      </c>
      <c r="H347">
        <v>60511.03</v>
      </c>
    </row>
    <row r="348" spans="1:8" x14ac:dyDescent="0.25">
      <c r="A348" t="s">
        <v>264</v>
      </c>
      <c r="B348" t="s">
        <v>834</v>
      </c>
      <c r="C348" t="s">
        <v>63</v>
      </c>
      <c r="D348" t="s">
        <v>17</v>
      </c>
      <c r="E348" t="s">
        <v>828</v>
      </c>
      <c r="F348" s="1">
        <v>45866</v>
      </c>
      <c r="G348">
        <v>486.68</v>
      </c>
      <c r="H348">
        <v>4454</v>
      </c>
    </row>
    <row r="349" spans="1:8" x14ac:dyDescent="0.25">
      <c r="A349" t="s">
        <v>646</v>
      </c>
      <c r="B349" t="s">
        <v>834</v>
      </c>
      <c r="C349" t="s">
        <v>829</v>
      </c>
      <c r="D349" t="s">
        <v>26</v>
      </c>
      <c r="E349" t="s">
        <v>828</v>
      </c>
      <c r="F349" s="1">
        <v>45613</v>
      </c>
      <c r="G349">
        <v>1267.27</v>
      </c>
      <c r="H349">
        <v>11858.26</v>
      </c>
    </row>
    <row r="350" spans="1:8" x14ac:dyDescent="0.25">
      <c r="A350" t="s">
        <v>560</v>
      </c>
      <c r="B350" t="s">
        <v>40</v>
      </c>
      <c r="C350" t="s">
        <v>41</v>
      </c>
      <c r="D350" t="s">
        <v>26</v>
      </c>
      <c r="E350" t="s">
        <v>54</v>
      </c>
      <c r="F350" s="1">
        <v>45680</v>
      </c>
      <c r="G350">
        <v>170.35</v>
      </c>
      <c r="H350">
        <v>1548.32</v>
      </c>
    </row>
    <row r="351" spans="1:8" x14ac:dyDescent="0.25">
      <c r="A351" t="s">
        <v>372</v>
      </c>
      <c r="B351" t="s">
        <v>35</v>
      </c>
      <c r="C351" t="s">
        <v>41</v>
      </c>
      <c r="D351" t="s">
        <v>26</v>
      </c>
      <c r="E351" t="s">
        <v>54</v>
      </c>
      <c r="F351" s="1">
        <v>46118</v>
      </c>
      <c r="G351">
        <v>235.15</v>
      </c>
    </row>
    <row r="352" spans="1:8" x14ac:dyDescent="0.25">
      <c r="A352" t="s">
        <v>192</v>
      </c>
      <c r="B352" t="s">
        <v>834</v>
      </c>
      <c r="C352" t="s">
        <v>827</v>
      </c>
      <c r="D352" t="s">
        <v>48</v>
      </c>
      <c r="E352" t="s">
        <v>24</v>
      </c>
      <c r="F352" s="1">
        <v>46010</v>
      </c>
      <c r="G352">
        <v>7044.71</v>
      </c>
      <c r="H352">
        <v>90399.09</v>
      </c>
    </row>
    <row r="353" spans="1:8" x14ac:dyDescent="0.25">
      <c r="A353" t="s">
        <v>123</v>
      </c>
      <c r="B353" t="s">
        <v>66</v>
      </c>
      <c r="C353" t="s">
        <v>829</v>
      </c>
      <c r="D353" t="s">
        <v>26</v>
      </c>
      <c r="E353" t="s">
        <v>24</v>
      </c>
      <c r="F353" s="1">
        <v>45391</v>
      </c>
      <c r="G353">
        <v>4538.18</v>
      </c>
      <c r="H353">
        <v>56217.13</v>
      </c>
    </row>
    <row r="354" spans="1:8" x14ac:dyDescent="0.25">
      <c r="A354" t="s">
        <v>397</v>
      </c>
      <c r="B354" t="s">
        <v>23</v>
      </c>
      <c r="C354" t="s">
        <v>829</v>
      </c>
      <c r="D354" t="s">
        <v>17</v>
      </c>
      <c r="E354" t="s">
        <v>24</v>
      </c>
      <c r="F354" s="1">
        <v>45854</v>
      </c>
      <c r="G354">
        <v>7467.77</v>
      </c>
      <c r="H354">
        <v>90524.09</v>
      </c>
    </row>
    <row r="355" spans="1:8" x14ac:dyDescent="0.25">
      <c r="A355" t="s">
        <v>606</v>
      </c>
      <c r="B355" t="s">
        <v>70</v>
      </c>
      <c r="D355" t="s">
        <v>26</v>
      </c>
      <c r="E355" t="s">
        <v>828</v>
      </c>
      <c r="F355" s="1">
        <v>45453</v>
      </c>
      <c r="G355">
        <v>1700.78</v>
      </c>
      <c r="H355">
        <v>18333.55</v>
      </c>
    </row>
    <row r="356" spans="1:8" x14ac:dyDescent="0.25">
      <c r="A356" t="s">
        <v>557</v>
      </c>
      <c r="B356" t="s">
        <v>46</v>
      </c>
      <c r="C356" t="s">
        <v>764</v>
      </c>
      <c r="D356" t="s">
        <v>48</v>
      </c>
      <c r="E356" t="s">
        <v>24</v>
      </c>
      <c r="F356" s="1">
        <v>45352</v>
      </c>
      <c r="G356">
        <v>3769.9</v>
      </c>
      <c r="H356">
        <v>45893.13</v>
      </c>
    </row>
    <row r="357" spans="1:8" x14ac:dyDescent="0.25">
      <c r="A357" t="s">
        <v>615</v>
      </c>
      <c r="B357" t="s">
        <v>70</v>
      </c>
      <c r="C357" t="s">
        <v>41</v>
      </c>
      <c r="D357" t="s">
        <v>56</v>
      </c>
      <c r="E357" t="s">
        <v>24</v>
      </c>
      <c r="F357" s="1">
        <v>45983</v>
      </c>
      <c r="G357">
        <v>10385.48</v>
      </c>
      <c r="H357">
        <v>129621.09</v>
      </c>
    </row>
    <row r="358" spans="1:8" x14ac:dyDescent="0.25">
      <c r="A358" t="s">
        <v>316</v>
      </c>
      <c r="B358" t="s">
        <v>837</v>
      </c>
      <c r="C358" t="s">
        <v>829</v>
      </c>
      <c r="D358" t="s">
        <v>56</v>
      </c>
      <c r="E358" t="s">
        <v>24</v>
      </c>
      <c r="F358" s="1">
        <v>45990</v>
      </c>
      <c r="G358">
        <v>4978.9799999999996</v>
      </c>
      <c r="H358">
        <v>62459.69</v>
      </c>
    </row>
    <row r="359" spans="1:8" x14ac:dyDescent="0.25">
      <c r="A359" t="s">
        <v>110</v>
      </c>
      <c r="B359" t="s">
        <v>834</v>
      </c>
      <c r="C359" t="s">
        <v>36</v>
      </c>
      <c r="D359" t="s">
        <v>56</v>
      </c>
      <c r="E359" t="s">
        <v>24</v>
      </c>
      <c r="F359" s="1">
        <v>45872</v>
      </c>
      <c r="G359">
        <v>11062.2</v>
      </c>
      <c r="H359">
        <v>94291.96</v>
      </c>
    </row>
    <row r="360" spans="1:8" x14ac:dyDescent="0.25">
      <c r="A360" t="s">
        <v>697</v>
      </c>
      <c r="B360" t="s">
        <v>40</v>
      </c>
      <c r="C360" t="s">
        <v>41</v>
      </c>
      <c r="D360" t="s">
        <v>48</v>
      </c>
      <c r="E360" t="s">
        <v>54</v>
      </c>
      <c r="F360" s="1">
        <v>45975</v>
      </c>
      <c r="G360">
        <v>57.96</v>
      </c>
      <c r="H360">
        <v>619.66999999999996</v>
      </c>
    </row>
    <row r="361" spans="1:8" x14ac:dyDescent="0.25">
      <c r="A361" t="s">
        <v>629</v>
      </c>
      <c r="B361" t="s">
        <v>66</v>
      </c>
      <c r="C361" t="s">
        <v>764</v>
      </c>
      <c r="D361" t="s">
        <v>48</v>
      </c>
      <c r="E361" t="s">
        <v>24</v>
      </c>
      <c r="F361" s="1">
        <v>45926</v>
      </c>
      <c r="G361">
        <v>3085.31</v>
      </c>
      <c r="H361">
        <v>34114.22</v>
      </c>
    </row>
    <row r="362" spans="1:8" x14ac:dyDescent="0.25">
      <c r="A362" t="s">
        <v>351</v>
      </c>
      <c r="B362" t="s">
        <v>776</v>
      </c>
      <c r="C362" t="s">
        <v>36</v>
      </c>
      <c r="D362" t="s">
        <v>17</v>
      </c>
      <c r="E362" t="s">
        <v>828</v>
      </c>
      <c r="F362" s="3">
        <v>45448</v>
      </c>
      <c r="H362">
        <v>25997.38</v>
      </c>
    </row>
    <row r="363" spans="1:8" x14ac:dyDescent="0.25">
      <c r="A363" t="s">
        <v>456</v>
      </c>
      <c r="B363" t="s">
        <v>834</v>
      </c>
      <c r="C363" t="s">
        <v>764</v>
      </c>
      <c r="D363" t="s">
        <v>26</v>
      </c>
      <c r="E363" t="s">
        <v>24</v>
      </c>
      <c r="F363" s="1">
        <v>45818</v>
      </c>
      <c r="G363">
        <v>9995.9500000000007</v>
      </c>
      <c r="H363">
        <v>140527.53</v>
      </c>
    </row>
    <row r="364" spans="1:8" x14ac:dyDescent="0.25">
      <c r="A364" t="s">
        <v>566</v>
      </c>
      <c r="B364" t="s">
        <v>837</v>
      </c>
      <c r="C364" t="s">
        <v>41</v>
      </c>
      <c r="D364" t="s">
        <v>26</v>
      </c>
      <c r="E364" t="s">
        <v>828</v>
      </c>
      <c r="F364" s="1">
        <v>46095</v>
      </c>
      <c r="G364">
        <v>289.5</v>
      </c>
      <c r="H364">
        <v>3175.27</v>
      </c>
    </row>
    <row r="365" spans="1:8" x14ac:dyDescent="0.25">
      <c r="A365" t="s">
        <v>418</v>
      </c>
      <c r="B365" t="s">
        <v>40</v>
      </c>
      <c r="C365" t="s">
        <v>63</v>
      </c>
      <c r="D365" t="s">
        <v>17</v>
      </c>
      <c r="E365" t="s">
        <v>24</v>
      </c>
      <c r="F365" s="1">
        <v>45700</v>
      </c>
      <c r="G365">
        <v>10051.57</v>
      </c>
      <c r="H365">
        <v>144353.23000000001</v>
      </c>
    </row>
    <row r="366" spans="1:8" x14ac:dyDescent="0.25">
      <c r="A366" t="s">
        <v>664</v>
      </c>
      <c r="B366" t="s">
        <v>40</v>
      </c>
      <c r="C366" t="s">
        <v>829</v>
      </c>
      <c r="D366" t="s">
        <v>48</v>
      </c>
      <c r="E366" t="s">
        <v>54</v>
      </c>
      <c r="F366" s="1">
        <v>45928</v>
      </c>
      <c r="G366">
        <v>382.38</v>
      </c>
      <c r="H366">
        <v>4300.88</v>
      </c>
    </row>
    <row r="367" spans="1:8" x14ac:dyDescent="0.25">
      <c r="A367" t="s">
        <v>39</v>
      </c>
      <c r="B367" t="s">
        <v>40</v>
      </c>
      <c r="C367" t="s">
        <v>41</v>
      </c>
      <c r="D367" t="s">
        <v>17</v>
      </c>
      <c r="E367" t="s">
        <v>828</v>
      </c>
      <c r="G367">
        <v>532.26</v>
      </c>
      <c r="H367">
        <v>6963.22</v>
      </c>
    </row>
    <row r="368" spans="1:8" x14ac:dyDescent="0.25">
      <c r="A368" t="s">
        <v>421</v>
      </c>
      <c r="B368" t="s">
        <v>837</v>
      </c>
      <c r="C368" t="s">
        <v>63</v>
      </c>
      <c r="D368" t="s">
        <v>17</v>
      </c>
      <c r="E368" t="s">
        <v>24</v>
      </c>
      <c r="F368" s="1">
        <v>45957</v>
      </c>
      <c r="G368">
        <v>8517.7199999999993</v>
      </c>
      <c r="H368">
        <v>86126.18</v>
      </c>
    </row>
    <row r="369" spans="1:8" x14ac:dyDescent="0.25">
      <c r="A369" t="s">
        <v>716</v>
      </c>
      <c r="B369" t="s">
        <v>46</v>
      </c>
      <c r="C369" t="s">
        <v>829</v>
      </c>
      <c r="D369" t="s">
        <v>48</v>
      </c>
      <c r="E369" t="s">
        <v>24</v>
      </c>
      <c r="F369" s="1">
        <v>45570</v>
      </c>
      <c r="G369">
        <v>3571.15</v>
      </c>
      <c r="H369">
        <v>49502</v>
      </c>
    </row>
    <row r="370" spans="1:8" x14ac:dyDescent="0.25">
      <c r="A370" t="s">
        <v>201</v>
      </c>
      <c r="B370" t="s">
        <v>40</v>
      </c>
      <c r="C370" t="s">
        <v>829</v>
      </c>
      <c r="D370" t="s">
        <v>26</v>
      </c>
      <c r="E370" t="s">
        <v>24</v>
      </c>
      <c r="F370" s="1">
        <v>45942</v>
      </c>
      <c r="G370">
        <v>9536.23</v>
      </c>
      <c r="H370">
        <v>83409.33</v>
      </c>
    </row>
    <row r="371" spans="1:8" x14ac:dyDescent="0.25">
      <c r="A371" t="s">
        <v>378</v>
      </c>
      <c r="B371" t="s">
        <v>837</v>
      </c>
      <c r="C371" t="s">
        <v>829</v>
      </c>
      <c r="D371" t="s">
        <v>17</v>
      </c>
      <c r="E371" t="s">
        <v>828</v>
      </c>
      <c r="F371" s="1">
        <v>45872</v>
      </c>
      <c r="G371">
        <v>298.99</v>
      </c>
      <c r="H371">
        <v>2879.57</v>
      </c>
    </row>
    <row r="372" spans="1:8" x14ac:dyDescent="0.25">
      <c r="A372" t="s">
        <v>685</v>
      </c>
      <c r="B372" t="s">
        <v>66</v>
      </c>
      <c r="C372" t="s">
        <v>764</v>
      </c>
      <c r="D372" t="s">
        <v>17</v>
      </c>
      <c r="E372" t="s">
        <v>24</v>
      </c>
      <c r="F372" s="1">
        <v>45740</v>
      </c>
      <c r="G372">
        <v>1702.9</v>
      </c>
      <c r="H372">
        <v>17818.46</v>
      </c>
    </row>
    <row r="373" spans="1:8" x14ac:dyDescent="0.25">
      <c r="A373" t="s">
        <v>361</v>
      </c>
      <c r="B373" t="s">
        <v>70</v>
      </c>
      <c r="C373" t="s">
        <v>764</v>
      </c>
      <c r="D373" t="s">
        <v>26</v>
      </c>
      <c r="E373" t="s">
        <v>24</v>
      </c>
      <c r="F373" s="1">
        <v>45292</v>
      </c>
      <c r="G373">
        <v>4264.5600000000004</v>
      </c>
      <c r="H373">
        <v>36853.11</v>
      </c>
    </row>
    <row r="374" spans="1:8" x14ac:dyDescent="0.25">
      <c r="A374" t="s">
        <v>678</v>
      </c>
      <c r="B374" t="s">
        <v>40</v>
      </c>
      <c r="C374" t="s">
        <v>764</v>
      </c>
      <c r="D374" t="s">
        <v>48</v>
      </c>
      <c r="E374" t="s">
        <v>54</v>
      </c>
      <c r="G374">
        <v>407.12</v>
      </c>
      <c r="H374">
        <v>4510.21</v>
      </c>
    </row>
    <row r="375" spans="1:8" x14ac:dyDescent="0.25">
      <c r="A375" t="s">
        <v>305</v>
      </c>
      <c r="B375" t="s">
        <v>40</v>
      </c>
      <c r="C375" t="s">
        <v>783</v>
      </c>
      <c r="D375" t="s">
        <v>26</v>
      </c>
      <c r="E375" t="s">
        <v>24</v>
      </c>
      <c r="F375" s="1">
        <v>45833</v>
      </c>
      <c r="G375">
        <v>2257.2600000000002</v>
      </c>
      <c r="H375">
        <v>32960.93</v>
      </c>
    </row>
    <row r="376" spans="1:8" x14ac:dyDescent="0.25">
      <c r="A376" t="s">
        <v>197</v>
      </c>
      <c r="B376" t="s">
        <v>40</v>
      </c>
      <c r="C376" t="s">
        <v>41</v>
      </c>
      <c r="D376" t="s">
        <v>26</v>
      </c>
      <c r="E376" t="s">
        <v>24</v>
      </c>
      <c r="F376" s="1">
        <v>45365</v>
      </c>
      <c r="G376">
        <v>3994.56</v>
      </c>
      <c r="H376">
        <v>59900.88</v>
      </c>
    </row>
    <row r="377" spans="1:8" x14ac:dyDescent="0.25">
      <c r="A377" t="s">
        <v>469</v>
      </c>
      <c r="B377" t="s">
        <v>66</v>
      </c>
      <c r="C377" t="s">
        <v>63</v>
      </c>
      <c r="D377" t="s">
        <v>17</v>
      </c>
      <c r="E377" t="s">
        <v>24</v>
      </c>
      <c r="F377" s="1">
        <v>45882</v>
      </c>
      <c r="G377">
        <v>4368.5600000000004</v>
      </c>
      <c r="H377">
        <v>64109.26</v>
      </c>
    </row>
    <row r="378" spans="1:8" x14ac:dyDescent="0.25">
      <c r="A378" t="s">
        <v>363</v>
      </c>
      <c r="B378" t="s">
        <v>70</v>
      </c>
      <c r="C378" t="s">
        <v>764</v>
      </c>
      <c r="D378" t="s">
        <v>17</v>
      </c>
      <c r="E378" t="s">
        <v>24</v>
      </c>
      <c r="F378" s="1">
        <v>45623</v>
      </c>
      <c r="G378">
        <v>4381.26</v>
      </c>
      <c r="H378">
        <v>54662.57</v>
      </c>
    </row>
    <row r="379" spans="1:8" x14ac:dyDescent="0.25">
      <c r="A379" t="s">
        <v>139</v>
      </c>
      <c r="B379" t="s">
        <v>70</v>
      </c>
      <c r="C379" t="s">
        <v>63</v>
      </c>
      <c r="D379" t="s">
        <v>56</v>
      </c>
      <c r="E379" t="s">
        <v>24</v>
      </c>
      <c r="F379" s="1">
        <v>45841</v>
      </c>
      <c r="G379">
        <v>939.96</v>
      </c>
      <c r="H379">
        <v>13956.87</v>
      </c>
    </row>
    <row r="380" spans="1:8" x14ac:dyDescent="0.25">
      <c r="A380" t="s">
        <v>118</v>
      </c>
      <c r="B380" t="s">
        <v>35</v>
      </c>
      <c r="C380" t="s">
        <v>36</v>
      </c>
      <c r="D380" t="s">
        <v>17</v>
      </c>
      <c r="E380" t="s">
        <v>828</v>
      </c>
      <c r="F380" s="1">
        <v>45636</v>
      </c>
      <c r="G380">
        <v>1255.55</v>
      </c>
      <c r="H380">
        <v>12932.11</v>
      </c>
    </row>
    <row r="381" spans="1:8" x14ac:dyDescent="0.25">
      <c r="A381" t="s">
        <v>98</v>
      </c>
      <c r="B381" t="s">
        <v>775</v>
      </c>
      <c r="C381" t="s">
        <v>765</v>
      </c>
      <c r="D381" t="s">
        <v>48</v>
      </c>
      <c r="E381" t="s">
        <v>54</v>
      </c>
      <c r="F381" s="1">
        <v>45751</v>
      </c>
      <c r="G381">
        <v>334.95</v>
      </c>
      <c r="H381">
        <v>3458.01</v>
      </c>
    </row>
    <row r="382" spans="1:8" x14ac:dyDescent="0.25">
      <c r="A382" t="s">
        <v>436</v>
      </c>
      <c r="B382" t="s">
        <v>851</v>
      </c>
      <c r="C382" t="s">
        <v>829</v>
      </c>
      <c r="D382" t="s">
        <v>56</v>
      </c>
      <c r="E382" t="s">
        <v>24</v>
      </c>
      <c r="F382" s="1">
        <v>45894</v>
      </c>
      <c r="G382">
        <v>645.5</v>
      </c>
      <c r="H382">
        <v>5834.25</v>
      </c>
    </row>
    <row r="383" spans="1:8" x14ac:dyDescent="0.25">
      <c r="A383" t="s">
        <v>523</v>
      </c>
      <c r="B383" t="s">
        <v>35</v>
      </c>
      <c r="C383" t="s">
        <v>777</v>
      </c>
      <c r="D383" t="s">
        <v>26</v>
      </c>
      <c r="E383" t="s">
        <v>24</v>
      </c>
      <c r="F383" s="1">
        <v>45479</v>
      </c>
      <c r="G383">
        <v>9043.1299999999992</v>
      </c>
      <c r="H383">
        <v>115072.36</v>
      </c>
    </row>
    <row r="384" spans="1:8" x14ac:dyDescent="0.25">
      <c r="A384" t="s">
        <v>345</v>
      </c>
      <c r="B384" t="s">
        <v>30</v>
      </c>
      <c r="C384" t="s">
        <v>36</v>
      </c>
      <c r="D384" t="s">
        <v>48</v>
      </c>
      <c r="E384" t="s">
        <v>54</v>
      </c>
      <c r="F384" s="1">
        <v>45597</v>
      </c>
      <c r="G384">
        <v>362.09</v>
      </c>
      <c r="H384">
        <v>3447.42</v>
      </c>
    </row>
    <row r="385" spans="1:8" x14ac:dyDescent="0.25">
      <c r="A385" t="s">
        <v>714</v>
      </c>
      <c r="B385" t="s">
        <v>834</v>
      </c>
      <c r="C385" t="s">
        <v>63</v>
      </c>
      <c r="D385" t="s">
        <v>26</v>
      </c>
      <c r="E385" t="s">
        <v>24</v>
      </c>
      <c r="F385" s="1">
        <v>45858</v>
      </c>
      <c r="G385">
        <v>5583.47</v>
      </c>
      <c r="H385">
        <v>62276.14</v>
      </c>
    </row>
    <row r="386" spans="1:8" x14ac:dyDescent="0.25">
      <c r="A386" t="s">
        <v>89</v>
      </c>
      <c r="B386" t="s">
        <v>35</v>
      </c>
      <c r="C386" t="s">
        <v>63</v>
      </c>
      <c r="D386" t="s">
        <v>48</v>
      </c>
      <c r="E386" t="s">
        <v>54</v>
      </c>
      <c r="F386" s="1">
        <v>45957</v>
      </c>
      <c r="G386">
        <v>206.15</v>
      </c>
      <c r="H386">
        <v>2590.1</v>
      </c>
    </row>
    <row r="387" spans="1:8" x14ac:dyDescent="0.25">
      <c r="A387" t="s">
        <v>633</v>
      </c>
      <c r="B387" t="s">
        <v>46</v>
      </c>
      <c r="C387" t="s">
        <v>63</v>
      </c>
      <c r="D387" t="s">
        <v>48</v>
      </c>
      <c r="E387" t="s">
        <v>24</v>
      </c>
      <c r="F387" s="1">
        <v>45721</v>
      </c>
      <c r="G387">
        <v>3554.77</v>
      </c>
      <c r="H387">
        <v>39279.269999999997</v>
      </c>
    </row>
    <row r="388" spans="1:8" x14ac:dyDescent="0.25">
      <c r="A388" t="s">
        <v>384</v>
      </c>
      <c r="B388" t="s">
        <v>66</v>
      </c>
      <c r="C388" t="s">
        <v>764</v>
      </c>
      <c r="D388" t="s">
        <v>48</v>
      </c>
      <c r="E388" t="s">
        <v>24</v>
      </c>
      <c r="F388" s="1">
        <v>45789</v>
      </c>
      <c r="G388">
        <v>3343.76</v>
      </c>
      <c r="H388">
        <v>33240.06</v>
      </c>
    </row>
    <row r="389" spans="1:8" x14ac:dyDescent="0.25">
      <c r="A389" t="s">
        <v>427</v>
      </c>
      <c r="B389" t="s">
        <v>35</v>
      </c>
      <c r="C389" t="s">
        <v>829</v>
      </c>
      <c r="D389" t="s">
        <v>17</v>
      </c>
      <c r="E389" t="s">
        <v>763</v>
      </c>
      <c r="F389" s="3">
        <v>45754</v>
      </c>
      <c r="G389">
        <v>9656.61</v>
      </c>
      <c r="H389">
        <v>134527.1</v>
      </c>
    </row>
    <row r="390" spans="1:8" x14ac:dyDescent="0.25">
      <c r="A390" t="s">
        <v>594</v>
      </c>
      <c r="B390" t="s">
        <v>66</v>
      </c>
      <c r="C390" t="s">
        <v>36</v>
      </c>
      <c r="D390" t="s">
        <v>56</v>
      </c>
      <c r="E390" t="s">
        <v>24</v>
      </c>
      <c r="F390" s="1">
        <v>46057</v>
      </c>
      <c r="G390">
        <v>1192.6500000000001</v>
      </c>
      <c r="H390">
        <v>13693.65</v>
      </c>
    </row>
    <row r="391" spans="1:8" x14ac:dyDescent="0.25">
      <c r="A391" t="s">
        <v>464</v>
      </c>
      <c r="B391" t="s">
        <v>70</v>
      </c>
      <c r="C391" t="s">
        <v>36</v>
      </c>
      <c r="D391" t="s">
        <v>26</v>
      </c>
      <c r="E391" t="s">
        <v>769</v>
      </c>
      <c r="F391" s="1">
        <v>45844</v>
      </c>
      <c r="G391">
        <v>5684.22</v>
      </c>
      <c r="H391">
        <v>74504.710000000006</v>
      </c>
    </row>
    <row r="392" spans="1:8" x14ac:dyDescent="0.25">
      <c r="A392" t="s">
        <v>291</v>
      </c>
      <c r="B392" t="s">
        <v>30</v>
      </c>
      <c r="C392" t="s">
        <v>36</v>
      </c>
      <c r="D392" t="s">
        <v>17</v>
      </c>
      <c r="E392" t="s">
        <v>24</v>
      </c>
      <c r="F392" s="1">
        <v>46103</v>
      </c>
      <c r="G392">
        <v>3251.33</v>
      </c>
      <c r="H392">
        <v>34399.4</v>
      </c>
    </row>
    <row r="393" spans="1:8" x14ac:dyDescent="0.25">
      <c r="A393" t="s">
        <v>612</v>
      </c>
      <c r="B393" t="s">
        <v>834</v>
      </c>
      <c r="C393" t="s">
        <v>36</v>
      </c>
      <c r="D393" t="s">
        <v>17</v>
      </c>
      <c r="E393" t="s">
        <v>24</v>
      </c>
      <c r="F393" s="1">
        <v>45362</v>
      </c>
      <c r="G393">
        <v>875.36</v>
      </c>
      <c r="H393">
        <v>8921.17</v>
      </c>
    </row>
    <row r="394" spans="1:8" x14ac:dyDescent="0.25">
      <c r="A394" t="s">
        <v>682</v>
      </c>
      <c r="B394" t="s">
        <v>830</v>
      </c>
      <c r="C394" t="s">
        <v>36</v>
      </c>
      <c r="D394" t="s">
        <v>26</v>
      </c>
      <c r="E394" t="s">
        <v>24</v>
      </c>
      <c r="F394" s="1">
        <v>45583</v>
      </c>
      <c r="G394">
        <v>5196</v>
      </c>
      <c r="H394">
        <v>70532.100000000006</v>
      </c>
    </row>
    <row r="395" spans="1:8" x14ac:dyDescent="0.25">
      <c r="A395" t="s">
        <v>259</v>
      </c>
      <c r="B395" t="s">
        <v>834</v>
      </c>
      <c r="C395" t="s">
        <v>41</v>
      </c>
      <c r="D395" t="s">
        <v>48</v>
      </c>
      <c r="E395" t="s">
        <v>24</v>
      </c>
      <c r="F395" s="1">
        <v>45563</v>
      </c>
      <c r="G395">
        <v>5842.32</v>
      </c>
      <c r="H395">
        <v>82582.5</v>
      </c>
    </row>
    <row r="396" spans="1:8" x14ac:dyDescent="0.25">
      <c r="A396" t="s">
        <v>140</v>
      </c>
      <c r="B396" t="s">
        <v>66</v>
      </c>
      <c r="C396" t="s">
        <v>41</v>
      </c>
      <c r="D396" t="s">
        <v>26</v>
      </c>
      <c r="E396" t="s">
        <v>828</v>
      </c>
      <c r="F396" s="1">
        <v>45419</v>
      </c>
      <c r="G396" t="s">
        <v>850</v>
      </c>
      <c r="H396">
        <v>24381.14</v>
      </c>
    </row>
    <row r="397" spans="1:8" x14ac:dyDescent="0.25">
      <c r="A397" t="s">
        <v>253</v>
      </c>
      <c r="B397" t="s">
        <v>70</v>
      </c>
      <c r="C397" t="s">
        <v>829</v>
      </c>
      <c r="D397" t="s">
        <v>48</v>
      </c>
      <c r="E397" t="s">
        <v>24</v>
      </c>
      <c r="F397" s="1">
        <v>45950</v>
      </c>
      <c r="G397">
        <v>500000</v>
      </c>
      <c r="H397">
        <v>9999999</v>
      </c>
    </row>
    <row r="398" spans="1:8" x14ac:dyDescent="0.25">
      <c r="A398" t="s">
        <v>244</v>
      </c>
      <c r="B398" t="s">
        <v>40</v>
      </c>
      <c r="C398" t="s">
        <v>36</v>
      </c>
      <c r="D398" t="s">
        <v>26</v>
      </c>
      <c r="E398" t="s">
        <v>843</v>
      </c>
      <c r="F398" s="1">
        <v>45872</v>
      </c>
      <c r="G398">
        <v>5096.01</v>
      </c>
      <c r="H398">
        <v>42174.36</v>
      </c>
    </row>
    <row r="399" spans="1:8" x14ac:dyDescent="0.25">
      <c r="A399" t="s">
        <v>761</v>
      </c>
      <c r="B399" t="s">
        <v>837</v>
      </c>
      <c r="C399" t="s">
        <v>41</v>
      </c>
      <c r="D399" t="s">
        <v>17</v>
      </c>
      <c r="E399" t="s">
        <v>24</v>
      </c>
      <c r="F399" s="1">
        <v>45729</v>
      </c>
      <c r="G399">
        <v>10325.74</v>
      </c>
      <c r="H399">
        <v>133840.57</v>
      </c>
    </row>
    <row r="400" spans="1:8" x14ac:dyDescent="0.25">
      <c r="A400" t="s">
        <v>50</v>
      </c>
      <c r="B400" t="s">
        <v>766</v>
      </c>
      <c r="C400" t="s">
        <v>36</v>
      </c>
      <c r="D400" t="s">
        <v>48</v>
      </c>
      <c r="E400" t="s">
        <v>24</v>
      </c>
      <c r="F400" s="1">
        <v>46046</v>
      </c>
      <c r="G400">
        <v>5442.55</v>
      </c>
      <c r="H400">
        <v>76504.97</v>
      </c>
    </row>
    <row r="401" spans="1:8" x14ac:dyDescent="0.25">
      <c r="A401" t="s">
        <v>522</v>
      </c>
      <c r="B401" t="s">
        <v>35</v>
      </c>
      <c r="C401" t="s">
        <v>41</v>
      </c>
      <c r="D401" t="s">
        <v>26</v>
      </c>
      <c r="E401" t="s">
        <v>24</v>
      </c>
      <c r="F401" s="1">
        <v>45724</v>
      </c>
      <c r="G401">
        <v>4128.8</v>
      </c>
      <c r="H401">
        <v>50999.21</v>
      </c>
    </row>
    <row r="402" spans="1:8" x14ac:dyDescent="0.25">
      <c r="A402" t="s">
        <v>739</v>
      </c>
      <c r="B402" t="s">
        <v>46</v>
      </c>
      <c r="C402" t="s">
        <v>63</v>
      </c>
      <c r="D402" t="s">
        <v>56</v>
      </c>
      <c r="E402" t="s">
        <v>24</v>
      </c>
      <c r="F402" s="1">
        <v>46141</v>
      </c>
      <c r="G402">
        <v>11225.51</v>
      </c>
      <c r="H402">
        <v>133648.03</v>
      </c>
    </row>
    <row r="403" spans="1:8" x14ac:dyDescent="0.25">
      <c r="A403" t="s">
        <v>143</v>
      </c>
      <c r="B403" t="s">
        <v>70</v>
      </c>
      <c r="C403" t="s">
        <v>63</v>
      </c>
      <c r="D403" t="s">
        <v>56</v>
      </c>
      <c r="E403" t="s">
        <v>24</v>
      </c>
      <c r="F403" s="1">
        <v>45372</v>
      </c>
      <c r="G403">
        <v>9543.92</v>
      </c>
      <c r="H403">
        <v>83065.990000000005</v>
      </c>
    </row>
    <row r="404" spans="1:8" x14ac:dyDescent="0.25">
      <c r="A404" t="s">
        <v>482</v>
      </c>
      <c r="B404" t="s">
        <v>40</v>
      </c>
      <c r="C404" t="s">
        <v>36</v>
      </c>
      <c r="D404" t="s">
        <v>26</v>
      </c>
      <c r="E404" t="s">
        <v>24</v>
      </c>
      <c r="F404" s="1">
        <v>45388</v>
      </c>
      <c r="G404">
        <v>10621.23</v>
      </c>
      <c r="H404">
        <v>94643.74</v>
      </c>
    </row>
    <row r="405" spans="1:8" x14ac:dyDescent="0.25">
      <c r="A405" t="s">
        <v>69</v>
      </c>
      <c r="B405" t="s">
        <v>70</v>
      </c>
      <c r="C405" t="s">
        <v>829</v>
      </c>
      <c r="D405" t="s">
        <v>56</v>
      </c>
      <c r="E405" t="s">
        <v>24</v>
      </c>
      <c r="F405" s="1">
        <v>45896</v>
      </c>
      <c r="H405">
        <v>67053.03</v>
      </c>
    </row>
    <row r="406" spans="1:8" x14ac:dyDescent="0.25">
      <c r="A406" t="s">
        <v>283</v>
      </c>
      <c r="B406" t="s">
        <v>30</v>
      </c>
      <c r="C406" t="s">
        <v>764</v>
      </c>
      <c r="D406" t="s">
        <v>56</v>
      </c>
      <c r="E406" t="s">
        <v>54</v>
      </c>
      <c r="F406" s="1">
        <v>46065</v>
      </c>
      <c r="G406">
        <v>-200</v>
      </c>
      <c r="H406">
        <v>-100</v>
      </c>
    </row>
    <row r="407" spans="1:8" x14ac:dyDescent="0.25">
      <c r="A407" t="s">
        <v>108</v>
      </c>
      <c r="B407" t="s">
        <v>776</v>
      </c>
      <c r="C407" t="s">
        <v>829</v>
      </c>
      <c r="D407" t="s">
        <v>26</v>
      </c>
      <c r="E407" t="s">
        <v>24</v>
      </c>
      <c r="F407" s="1">
        <v>46006</v>
      </c>
      <c r="G407">
        <v>2795.09</v>
      </c>
      <c r="H407">
        <v>41338.54</v>
      </c>
    </row>
    <row r="408" spans="1:8" x14ac:dyDescent="0.25">
      <c r="A408" t="s">
        <v>595</v>
      </c>
      <c r="B408" t="s">
        <v>70</v>
      </c>
      <c r="C408" t="s">
        <v>829</v>
      </c>
      <c r="D408" t="s">
        <v>56</v>
      </c>
      <c r="E408" t="s">
        <v>24</v>
      </c>
      <c r="F408" s="1">
        <v>45613</v>
      </c>
      <c r="G408">
        <v>11541.25</v>
      </c>
      <c r="H408">
        <v>127122.08</v>
      </c>
    </row>
    <row r="409" spans="1:8" x14ac:dyDescent="0.25">
      <c r="A409" t="s">
        <v>731</v>
      </c>
      <c r="B409" t="s">
        <v>35</v>
      </c>
      <c r="C409" t="s">
        <v>764</v>
      </c>
      <c r="D409" t="s">
        <v>48</v>
      </c>
      <c r="E409" t="s">
        <v>15</v>
      </c>
      <c r="F409" s="1">
        <v>45549</v>
      </c>
      <c r="G409">
        <v>44.94</v>
      </c>
      <c r="H409">
        <v>603.15</v>
      </c>
    </row>
    <row r="410" spans="1:8" x14ac:dyDescent="0.25">
      <c r="A410" t="s">
        <v>652</v>
      </c>
      <c r="B410" t="s">
        <v>66</v>
      </c>
      <c r="C410" t="s">
        <v>36</v>
      </c>
      <c r="D410" t="s">
        <v>48</v>
      </c>
      <c r="E410" t="s">
        <v>24</v>
      </c>
      <c r="F410" s="1">
        <v>45979</v>
      </c>
      <c r="G410">
        <v>10728.36</v>
      </c>
      <c r="H410">
        <v>96918.17</v>
      </c>
    </row>
    <row r="411" spans="1:8" x14ac:dyDescent="0.25">
      <c r="A411" t="s">
        <v>365</v>
      </c>
      <c r="B411" t="s">
        <v>70</v>
      </c>
      <c r="C411" t="s">
        <v>764</v>
      </c>
      <c r="D411" t="s">
        <v>56</v>
      </c>
      <c r="E411" t="s">
        <v>24</v>
      </c>
      <c r="F411" s="1">
        <v>45792</v>
      </c>
      <c r="G411">
        <v>10615.86</v>
      </c>
      <c r="H411">
        <v>157089.81</v>
      </c>
    </row>
    <row r="412" spans="1:8" x14ac:dyDescent="0.25">
      <c r="A412" t="s">
        <v>637</v>
      </c>
      <c r="B412" t="s">
        <v>40</v>
      </c>
      <c r="C412" t="s">
        <v>829</v>
      </c>
      <c r="D412" t="s">
        <v>48</v>
      </c>
      <c r="E412" t="s">
        <v>828</v>
      </c>
      <c r="F412" s="1">
        <v>45827</v>
      </c>
      <c r="G412">
        <v>1825.63</v>
      </c>
      <c r="H412">
        <v>24135.99</v>
      </c>
    </row>
    <row r="413" spans="1:8" x14ac:dyDescent="0.25">
      <c r="A413" t="s">
        <v>453</v>
      </c>
      <c r="B413" t="s">
        <v>772</v>
      </c>
      <c r="C413" t="s">
        <v>829</v>
      </c>
      <c r="D413" t="s">
        <v>17</v>
      </c>
      <c r="E413" t="s">
        <v>24</v>
      </c>
      <c r="F413" s="1">
        <v>45324</v>
      </c>
      <c r="G413">
        <v>11075.6</v>
      </c>
      <c r="H413">
        <v>139364.17000000001</v>
      </c>
    </row>
    <row r="414" spans="1:8" x14ac:dyDescent="0.25">
      <c r="A414" t="s">
        <v>696</v>
      </c>
      <c r="B414" t="s">
        <v>46</v>
      </c>
      <c r="C414" t="s">
        <v>95</v>
      </c>
      <c r="D414" t="s">
        <v>56</v>
      </c>
      <c r="E414" t="s">
        <v>24</v>
      </c>
      <c r="F414" s="1">
        <v>45300</v>
      </c>
      <c r="G414">
        <v>3402.59</v>
      </c>
      <c r="H414">
        <v>41370.589999999997</v>
      </c>
    </row>
    <row r="415" spans="1:8" x14ac:dyDescent="0.25">
      <c r="A415" t="s">
        <v>691</v>
      </c>
      <c r="B415" t="s">
        <v>40</v>
      </c>
      <c r="D415" t="s">
        <v>26</v>
      </c>
      <c r="E415" t="s">
        <v>54</v>
      </c>
      <c r="F415" s="1">
        <v>45918</v>
      </c>
      <c r="G415">
        <v>200.23</v>
      </c>
      <c r="H415">
        <v>2004.21</v>
      </c>
    </row>
    <row r="416" spans="1:8" x14ac:dyDescent="0.25">
      <c r="A416" t="s">
        <v>537</v>
      </c>
      <c r="B416" t="s">
        <v>30</v>
      </c>
      <c r="C416" t="s">
        <v>36</v>
      </c>
      <c r="D416" t="s">
        <v>56</v>
      </c>
      <c r="E416" t="s">
        <v>24</v>
      </c>
      <c r="F416" s="3">
        <v>45959</v>
      </c>
      <c r="G416">
        <v>10075.23</v>
      </c>
      <c r="H416">
        <v>93395.76</v>
      </c>
    </row>
    <row r="417" spans="1:8" x14ac:dyDescent="0.25">
      <c r="A417" t="s">
        <v>393</v>
      </c>
      <c r="B417" t="s">
        <v>849</v>
      </c>
      <c r="C417" t="s">
        <v>764</v>
      </c>
      <c r="D417" t="s">
        <v>17</v>
      </c>
      <c r="E417" t="s">
        <v>769</v>
      </c>
      <c r="F417" s="1">
        <v>45420</v>
      </c>
      <c r="G417">
        <v>11399.21</v>
      </c>
    </row>
    <row r="418" spans="1:8" x14ac:dyDescent="0.25">
      <c r="A418" t="s">
        <v>352</v>
      </c>
      <c r="B418" t="s">
        <v>30</v>
      </c>
      <c r="C418" t="s">
        <v>765</v>
      </c>
      <c r="D418" t="s">
        <v>26</v>
      </c>
      <c r="E418" t="s">
        <v>24</v>
      </c>
      <c r="F418" s="1">
        <v>45674</v>
      </c>
      <c r="G418">
        <v>8124.5</v>
      </c>
      <c r="H418">
        <v>101668.27</v>
      </c>
    </row>
    <row r="419" spans="1:8" x14ac:dyDescent="0.25">
      <c r="A419" t="s">
        <v>359</v>
      </c>
      <c r="B419" t="s">
        <v>30</v>
      </c>
      <c r="C419" t="s">
        <v>41</v>
      </c>
      <c r="D419" t="s">
        <v>48</v>
      </c>
      <c r="E419" t="s">
        <v>24</v>
      </c>
      <c r="F419" s="1">
        <v>45835</v>
      </c>
      <c r="G419">
        <v>3491.8</v>
      </c>
      <c r="H419">
        <v>48079.77</v>
      </c>
    </row>
    <row r="420" spans="1:8" x14ac:dyDescent="0.25">
      <c r="A420" t="s">
        <v>474</v>
      </c>
      <c r="B420" t="s">
        <v>766</v>
      </c>
      <c r="C420" t="s">
        <v>36</v>
      </c>
      <c r="D420" t="s">
        <v>48</v>
      </c>
      <c r="E420" t="s">
        <v>828</v>
      </c>
      <c r="F420" t="s">
        <v>475</v>
      </c>
      <c r="G420">
        <v>1513.89</v>
      </c>
      <c r="H420">
        <v>13077.85</v>
      </c>
    </row>
    <row r="421" spans="1:8" x14ac:dyDescent="0.25">
      <c r="A421" t="s">
        <v>728</v>
      </c>
      <c r="B421" t="s">
        <v>40</v>
      </c>
      <c r="C421" t="s">
        <v>829</v>
      </c>
      <c r="D421" t="s">
        <v>48</v>
      </c>
      <c r="E421" t="s">
        <v>763</v>
      </c>
      <c r="F421" s="1">
        <v>45562</v>
      </c>
      <c r="G421">
        <v>4073.63</v>
      </c>
      <c r="H421">
        <v>42965.74</v>
      </c>
    </row>
    <row r="422" spans="1:8" x14ac:dyDescent="0.25">
      <c r="A422" t="s">
        <v>412</v>
      </c>
      <c r="B422" t="s">
        <v>834</v>
      </c>
      <c r="C422" t="s">
        <v>63</v>
      </c>
      <c r="D422" t="s">
        <v>48</v>
      </c>
      <c r="E422" t="s">
        <v>828</v>
      </c>
      <c r="F422" s="1">
        <v>45497</v>
      </c>
      <c r="G422">
        <v>2830.26</v>
      </c>
      <c r="H422">
        <v>27031.38</v>
      </c>
    </row>
    <row r="423" spans="1:8" x14ac:dyDescent="0.25">
      <c r="A423" t="s">
        <v>300</v>
      </c>
      <c r="B423" t="s">
        <v>40</v>
      </c>
      <c r="C423" t="s">
        <v>41</v>
      </c>
      <c r="D423" t="s">
        <v>17</v>
      </c>
      <c r="E423" t="s">
        <v>54</v>
      </c>
      <c r="F423" s="1">
        <v>45682</v>
      </c>
      <c r="G423">
        <v>40.29</v>
      </c>
      <c r="H423">
        <v>512.64</v>
      </c>
    </row>
    <row r="424" spans="1:8" x14ac:dyDescent="0.25">
      <c r="A424" t="s">
        <v>729</v>
      </c>
      <c r="B424" t="s">
        <v>35</v>
      </c>
      <c r="C424" t="s">
        <v>41</v>
      </c>
      <c r="D424" t="s">
        <v>17</v>
      </c>
      <c r="E424" t="s">
        <v>24</v>
      </c>
      <c r="F424" s="3">
        <v>45809</v>
      </c>
      <c r="G424">
        <v>-200</v>
      </c>
      <c r="H424">
        <v>-100</v>
      </c>
    </row>
    <row r="425" spans="1:8" x14ac:dyDescent="0.25">
      <c r="A425" t="s">
        <v>485</v>
      </c>
      <c r="B425" t="s">
        <v>30</v>
      </c>
      <c r="C425" t="s">
        <v>829</v>
      </c>
      <c r="D425" t="s">
        <v>56</v>
      </c>
      <c r="E425" t="s">
        <v>848</v>
      </c>
      <c r="F425" s="1">
        <v>45733</v>
      </c>
      <c r="G425">
        <v>95.53</v>
      </c>
      <c r="H425">
        <v>1139.8399999999999</v>
      </c>
    </row>
    <row r="426" spans="1:8" x14ac:dyDescent="0.25">
      <c r="A426" t="s">
        <v>555</v>
      </c>
      <c r="B426" t="s">
        <v>834</v>
      </c>
      <c r="C426" t="s">
        <v>764</v>
      </c>
      <c r="D426" t="s">
        <v>17</v>
      </c>
      <c r="E426" t="s">
        <v>24</v>
      </c>
      <c r="F426" s="1">
        <v>45702</v>
      </c>
      <c r="G426">
        <v>641.04999999999995</v>
      </c>
      <c r="H426">
        <v>9352.82</v>
      </c>
    </row>
    <row r="427" spans="1:8" x14ac:dyDescent="0.25">
      <c r="A427" t="s">
        <v>440</v>
      </c>
      <c r="B427" t="s">
        <v>70</v>
      </c>
      <c r="C427" t="s">
        <v>41</v>
      </c>
      <c r="D427" t="s">
        <v>56</v>
      </c>
      <c r="E427" t="s">
        <v>24</v>
      </c>
      <c r="F427" t="s">
        <v>441</v>
      </c>
      <c r="G427">
        <v>6137.32</v>
      </c>
      <c r="H427">
        <v>75920.009999999995</v>
      </c>
    </row>
    <row r="428" spans="1:8" x14ac:dyDescent="0.25">
      <c r="A428" t="s">
        <v>346</v>
      </c>
      <c r="B428" t="s">
        <v>40</v>
      </c>
      <c r="C428" t="s">
        <v>773</v>
      </c>
      <c r="D428" t="s">
        <v>56</v>
      </c>
      <c r="E428" t="s">
        <v>15</v>
      </c>
      <c r="F428" s="1">
        <v>46153</v>
      </c>
      <c r="G428">
        <v>168.1</v>
      </c>
      <c r="H428">
        <v>1868.07</v>
      </c>
    </row>
    <row r="429" spans="1:8" x14ac:dyDescent="0.25">
      <c r="A429" t="s">
        <v>290</v>
      </c>
      <c r="B429" t="s">
        <v>30</v>
      </c>
      <c r="C429" t="s">
        <v>63</v>
      </c>
      <c r="D429" t="s">
        <v>17</v>
      </c>
      <c r="E429" t="s">
        <v>54</v>
      </c>
      <c r="F429" s="1">
        <v>45455</v>
      </c>
      <c r="G429">
        <v>242.3</v>
      </c>
      <c r="H429">
        <v>2148.02</v>
      </c>
    </row>
    <row r="430" spans="1:8" x14ac:dyDescent="0.25">
      <c r="A430" t="s">
        <v>113</v>
      </c>
      <c r="B430" t="s">
        <v>46</v>
      </c>
      <c r="C430" t="s">
        <v>764</v>
      </c>
      <c r="D430" t="s">
        <v>17</v>
      </c>
      <c r="E430" t="s">
        <v>24</v>
      </c>
      <c r="F430" s="1">
        <v>45576</v>
      </c>
      <c r="G430">
        <v>9936.17</v>
      </c>
      <c r="H430">
        <v>97922.54</v>
      </c>
    </row>
    <row r="431" spans="1:8" x14ac:dyDescent="0.25">
      <c r="A431" t="s">
        <v>367</v>
      </c>
      <c r="B431" t="s">
        <v>30</v>
      </c>
      <c r="C431" t="s">
        <v>36</v>
      </c>
      <c r="D431" t="s">
        <v>17</v>
      </c>
      <c r="E431" t="s">
        <v>24</v>
      </c>
      <c r="F431" s="1">
        <v>45311</v>
      </c>
      <c r="G431">
        <v>3699.95</v>
      </c>
      <c r="H431">
        <v>30909.57</v>
      </c>
    </row>
    <row r="432" spans="1:8" x14ac:dyDescent="0.25">
      <c r="A432" t="s">
        <v>626</v>
      </c>
      <c r="B432" t="s">
        <v>46</v>
      </c>
      <c r="C432" t="s">
        <v>847</v>
      </c>
      <c r="D432" t="s">
        <v>26</v>
      </c>
      <c r="E432" t="s">
        <v>828</v>
      </c>
      <c r="F432" s="1">
        <v>45900</v>
      </c>
      <c r="G432">
        <v>673.68</v>
      </c>
      <c r="H432">
        <v>8641.48</v>
      </c>
    </row>
    <row r="433" spans="1:8" x14ac:dyDescent="0.25">
      <c r="A433" t="s">
        <v>332</v>
      </c>
      <c r="B433" t="s">
        <v>40</v>
      </c>
      <c r="C433" t="s">
        <v>829</v>
      </c>
      <c r="D433" t="s">
        <v>17</v>
      </c>
      <c r="E433" t="s">
        <v>54</v>
      </c>
      <c r="F433" s="1">
        <v>45295</v>
      </c>
      <c r="G433">
        <v>269.11</v>
      </c>
      <c r="H433">
        <v>3170.48</v>
      </c>
    </row>
    <row r="434" spans="1:8" x14ac:dyDescent="0.25">
      <c r="A434" t="s">
        <v>495</v>
      </c>
      <c r="B434" t="s">
        <v>70</v>
      </c>
      <c r="C434" t="s">
        <v>764</v>
      </c>
      <c r="D434" t="s">
        <v>26</v>
      </c>
      <c r="E434" t="s">
        <v>828</v>
      </c>
      <c r="F434" s="1">
        <v>45347</v>
      </c>
      <c r="G434">
        <v>2164.34</v>
      </c>
      <c r="H434">
        <v>31190.1</v>
      </c>
    </row>
    <row r="435" spans="1:8" x14ac:dyDescent="0.25">
      <c r="A435" t="s">
        <v>425</v>
      </c>
      <c r="B435" t="s">
        <v>40</v>
      </c>
      <c r="C435" t="s">
        <v>41</v>
      </c>
      <c r="D435" t="s">
        <v>17</v>
      </c>
      <c r="E435" t="s">
        <v>24</v>
      </c>
      <c r="F435" s="1">
        <v>45821</v>
      </c>
      <c r="G435">
        <v>9763.57</v>
      </c>
      <c r="H435">
        <v>146356.96</v>
      </c>
    </row>
    <row r="436" spans="1:8" x14ac:dyDescent="0.25">
      <c r="A436" t="s">
        <v>209</v>
      </c>
      <c r="B436" t="s">
        <v>70</v>
      </c>
      <c r="C436" t="s">
        <v>774</v>
      </c>
      <c r="D436" t="s">
        <v>17</v>
      </c>
      <c r="E436" t="s">
        <v>15</v>
      </c>
      <c r="F436" s="1">
        <v>45459</v>
      </c>
      <c r="G436">
        <v>102.23</v>
      </c>
      <c r="H436">
        <v>833.54</v>
      </c>
    </row>
    <row r="437" spans="1:8" x14ac:dyDescent="0.25">
      <c r="A437" t="s">
        <v>125</v>
      </c>
      <c r="B437" t="s">
        <v>46</v>
      </c>
      <c r="C437" t="s">
        <v>829</v>
      </c>
      <c r="D437" t="s">
        <v>56</v>
      </c>
      <c r="E437" t="s">
        <v>24</v>
      </c>
      <c r="F437" s="1">
        <v>46159</v>
      </c>
      <c r="G437">
        <v>8314.4599999999991</v>
      </c>
      <c r="H437">
        <v>94914.82</v>
      </c>
    </row>
    <row r="438" spans="1:8" x14ac:dyDescent="0.25">
      <c r="A438" t="s">
        <v>609</v>
      </c>
      <c r="B438" t="s">
        <v>66</v>
      </c>
      <c r="C438" t="s">
        <v>774</v>
      </c>
      <c r="D438" t="s">
        <v>56</v>
      </c>
      <c r="E438" t="s">
        <v>828</v>
      </c>
      <c r="F438" s="1">
        <v>45374</v>
      </c>
      <c r="G438" t="s">
        <v>846</v>
      </c>
      <c r="H438">
        <v>23549.19</v>
      </c>
    </row>
    <row r="439" spans="1:8" x14ac:dyDescent="0.25">
      <c r="A439" t="s">
        <v>22</v>
      </c>
      <c r="B439" t="s">
        <v>837</v>
      </c>
      <c r="C439" t="s">
        <v>829</v>
      </c>
      <c r="D439" t="s">
        <v>26</v>
      </c>
      <c r="E439" t="s">
        <v>24</v>
      </c>
      <c r="F439" s="1">
        <v>45406</v>
      </c>
      <c r="G439">
        <v>1786.55</v>
      </c>
      <c r="H439">
        <v>24143.48</v>
      </c>
    </row>
    <row r="440" spans="1:8" x14ac:dyDescent="0.25">
      <c r="A440" t="s">
        <v>706</v>
      </c>
      <c r="B440" t="s">
        <v>40</v>
      </c>
      <c r="C440" t="s">
        <v>764</v>
      </c>
      <c r="D440" t="s">
        <v>56</v>
      </c>
      <c r="E440" t="s">
        <v>769</v>
      </c>
      <c r="F440" s="1">
        <v>45429</v>
      </c>
      <c r="G440">
        <v>5812.73</v>
      </c>
      <c r="H440">
        <v>69762.039999999994</v>
      </c>
    </row>
    <row r="441" spans="1:8" x14ac:dyDescent="0.25">
      <c r="A441" t="s">
        <v>739</v>
      </c>
      <c r="B441" t="s">
        <v>46</v>
      </c>
      <c r="C441" t="s">
        <v>63</v>
      </c>
      <c r="D441" t="s">
        <v>56</v>
      </c>
      <c r="E441" t="s">
        <v>24</v>
      </c>
      <c r="F441" s="1">
        <v>46141</v>
      </c>
      <c r="G441">
        <v>11225.51</v>
      </c>
      <c r="H441">
        <v>133648.03</v>
      </c>
    </row>
    <row r="442" spans="1:8" x14ac:dyDescent="0.25">
      <c r="A442" t="s">
        <v>120</v>
      </c>
      <c r="B442" t="s">
        <v>70</v>
      </c>
      <c r="C442" t="s">
        <v>63</v>
      </c>
      <c r="D442" t="s">
        <v>48</v>
      </c>
      <c r="E442" t="s">
        <v>24</v>
      </c>
      <c r="F442" s="1">
        <v>45386</v>
      </c>
      <c r="G442">
        <v>1298.3399999999999</v>
      </c>
      <c r="H442">
        <v>15236.48</v>
      </c>
    </row>
    <row r="443" spans="1:8" x14ac:dyDescent="0.25">
      <c r="A443" t="s">
        <v>650</v>
      </c>
      <c r="B443" t="s">
        <v>66</v>
      </c>
      <c r="C443" t="s">
        <v>829</v>
      </c>
      <c r="D443" t="s">
        <v>56</v>
      </c>
      <c r="E443" t="s">
        <v>24</v>
      </c>
      <c r="F443" s="1">
        <v>45426</v>
      </c>
      <c r="G443">
        <v>7377.42</v>
      </c>
      <c r="H443">
        <v>92351.29</v>
      </c>
    </row>
    <row r="444" spans="1:8" x14ac:dyDescent="0.25">
      <c r="A444" t="s">
        <v>170</v>
      </c>
      <c r="B444" t="s">
        <v>780</v>
      </c>
      <c r="C444" t="s">
        <v>764</v>
      </c>
      <c r="D444" t="s">
        <v>17</v>
      </c>
      <c r="E444" t="s">
        <v>24</v>
      </c>
      <c r="F444" s="1">
        <v>45373</v>
      </c>
      <c r="H444">
        <v>127340.82</v>
      </c>
    </row>
    <row r="445" spans="1:8" x14ac:dyDescent="0.25">
      <c r="A445" t="s">
        <v>350</v>
      </c>
      <c r="B445" t="s">
        <v>40</v>
      </c>
      <c r="C445" t="s">
        <v>764</v>
      </c>
      <c r="D445" t="s">
        <v>17</v>
      </c>
      <c r="E445" t="s">
        <v>24</v>
      </c>
      <c r="F445" s="1">
        <v>45495</v>
      </c>
      <c r="G445" t="s">
        <v>845</v>
      </c>
      <c r="H445">
        <v>115541.41</v>
      </c>
    </row>
    <row r="446" spans="1:8" x14ac:dyDescent="0.25">
      <c r="A446" t="s">
        <v>101</v>
      </c>
      <c r="B446" t="s">
        <v>23</v>
      </c>
      <c r="C446" t="s">
        <v>63</v>
      </c>
      <c r="D446" t="s">
        <v>26</v>
      </c>
      <c r="E446" t="s">
        <v>24</v>
      </c>
      <c r="F446" s="1">
        <v>45576</v>
      </c>
      <c r="G446">
        <v>3353.92</v>
      </c>
      <c r="H446">
        <v>46670.720000000001</v>
      </c>
    </row>
    <row r="447" spans="1:8" x14ac:dyDescent="0.25">
      <c r="A447" t="s">
        <v>666</v>
      </c>
      <c r="B447" t="s">
        <v>40</v>
      </c>
      <c r="C447" t="s">
        <v>829</v>
      </c>
      <c r="D447" t="s">
        <v>26</v>
      </c>
      <c r="E447" t="s">
        <v>24</v>
      </c>
      <c r="F447" s="1">
        <v>45868</v>
      </c>
      <c r="G447">
        <v>9946.34</v>
      </c>
      <c r="H447">
        <v>118820.45</v>
      </c>
    </row>
    <row r="448" spans="1:8" x14ac:dyDescent="0.25">
      <c r="A448" t="s">
        <v>430</v>
      </c>
      <c r="B448" t="s">
        <v>35</v>
      </c>
      <c r="C448" t="s">
        <v>829</v>
      </c>
      <c r="D448" t="s">
        <v>17</v>
      </c>
      <c r="E448" t="s">
        <v>24</v>
      </c>
      <c r="F448" s="1">
        <v>45522</v>
      </c>
      <c r="G448">
        <v>6626.57</v>
      </c>
      <c r="H448">
        <v>86058</v>
      </c>
    </row>
    <row r="449" spans="1:8" x14ac:dyDescent="0.25">
      <c r="A449" t="s">
        <v>662</v>
      </c>
      <c r="B449" t="s">
        <v>46</v>
      </c>
      <c r="C449" t="s">
        <v>829</v>
      </c>
      <c r="D449" t="s">
        <v>56</v>
      </c>
      <c r="E449" t="s">
        <v>24</v>
      </c>
      <c r="F449" s="1">
        <v>45301</v>
      </c>
      <c r="G449">
        <v>7251.91</v>
      </c>
      <c r="H449">
        <v>106306.07</v>
      </c>
    </row>
    <row r="450" spans="1:8" x14ac:dyDescent="0.25">
      <c r="A450" t="s">
        <v>751</v>
      </c>
      <c r="B450" t="s">
        <v>70</v>
      </c>
      <c r="C450" t="s">
        <v>36</v>
      </c>
      <c r="D450" t="s">
        <v>17</v>
      </c>
      <c r="E450" t="s">
        <v>24</v>
      </c>
      <c r="F450" s="1">
        <v>45560</v>
      </c>
      <c r="G450">
        <v>2692.02</v>
      </c>
      <c r="H450">
        <v>34041.360000000001</v>
      </c>
    </row>
    <row r="451" spans="1:8" x14ac:dyDescent="0.25">
      <c r="A451" t="s">
        <v>578</v>
      </c>
      <c r="B451" t="s">
        <v>837</v>
      </c>
      <c r="C451" t="s">
        <v>41</v>
      </c>
      <c r="D451" t="s">
        <v>56</v>
      </c>
      <c r="E451" t="s">
        <v>24</v>
      </c>
      <c r="F451" s="1">
        <v>45969</v>
      </c>
      <c r="G451">
        <v>3354.2</v>
      </c>
      <c r="H451">
        <v>40760.04</v>
      </c>
    </row>
    <row r="452" spans="1:8" x14ac:dyDescent="0.25">
      <c r="A452" t="s">
        <v>185</v>
      </c>
      <c r="B452" t="s">
        <v>30</v>
      </c>
      <c r="C452" t="s">
        <v>829</v>
      </c>
      <c r="D452" t="s">
        <v>56</v>
      </c>
      <c r="E452" t="s">
        <v>15</v>
      </c>
      <c r="F452" s="1">
        <v>45655</v>
      </c>
      <c r="G452">
        <v>132.99</v>
      </c>
      <c r="H452">
        <v>1943.87</v>
      </c>
    </row>
    <row r="453" spans="1:8" x14ac:dyDescent="0.25">
      <c r="A453" t="s">
        <v>540</v>
      </c>
      <c r="B453" t="s">
        <v>40</v>
      </c>
      <c r="C453" t="s">
        <v>36</v>
      </c>
      <c r="D453" t="s">
        <v>48</v>
      </c>
      <c r="E453" t="s">
        <v>54</v>
      </c>
      <c r="F453" s="1">
        <v>46148</v>
      </c>
      <c r="G453">
        <v>180.44</v>
      </c>
      <c r="H453">
        <v>2273.8000000000002</v>
      </c>
    </row>
    <row r="454" spans="1:8" x14ac:dyDescent="0.25">
      <c r="A454" t="s">
        <v>754</v>
      </c>
      <c r="B454" t="s">
        <v>70</v>
      </c>
      <c r="C454" t="s">
        <v>63</v>
      </c>
      <c r="D454" t="s">
        <v>26</v>
      </c>
      <c r="E454" t="s">
        <v>24</v>
      </c>
      <c r="F454" s="1">
        <v>46051</v>
      </c>
      <c r="G454">
        <v>-50</v>
      </c>
      <c r="H454">
        <v>-5000</v>
      </c>
    </row>
    <row r="455" spans="1:8" x14ac:dyDescent="0.25">
      <c r="A455" t="s">
        <v>124</v>
      </c>
      <c r="B455" t="s">
        <v>23</v>
      </c>
      <c r="C455" t="s">
        <v>36</v>
      </c>
      <c r="D455" t="s">
        <v>56</v>
      </c>
      <c r="E455" t="s">
        <v>15</v>
      </c>
      <c r="F455" s="1">
        <v>45659</v>
      </c>
      <c r="G455">
        <v>101.88</v>
      </c>
      <c r="H455">
        <v>1447.93</v>
      </c>
    </row>
    <row r="456" spans="1:8" x14ac:dyDescent="0.25">
      <c r="A456" t="s">
        <v>549</v>
      </c>
      <c r="C456" t="s">
        <v>764</v>
      </c>
      <c r="D456" t="s">
        <v>56</v>
      </c>
      <c r="E456" t="s">
        <v>828</v>
      </c>
      <c r="F456" s="1">
        <v>45462</v>
      </c>
      <c r="G456">
        <v>947.2</v>
      </c>
      <c r="H456">
        <v>10071.92</v>
      </c>
    </row>
    <row r="457" spans="1:8" x14ac:dyDescent="0.25">
      <c r="A457" t="s">
        <v>432</v>
      </c>
      <c r="B457" t="s">
        <v>46</v>
      </c>
      <c r="C457" t="s">
        <v>829</v>
      </c>
      <c r="D457" t="s">
        <v>48</v>
      </c>
      <c r="E457" t="s">
        <v>24</v>
      </c>
      <c r="F457" s="1">
        <v>45357</v>
      </c>
      <c r="G457">
        <v>8107.5</v>
      </c>
      <c r="H457">
        <v>90033.27</v>
      </c>
    </row>
    <row r="458" spans="1:8" x14ac:dyDescent="0.25">
      <c r="A458" t="s">
        <v>399</v>
      </c>
      <c r="B458" t="s">
        <v>837</v>
      </c>
      <c r="C458" t="s">
        <v>41</v>
      </c>
      <c r="D458" t="s">
        <v>26</v>
      </c>
      <c r="E458" t="s">
        <v>15</v>
      </c>
      <c r="F458" s="1">
        <v>45461</v>
      </c>
      <c r="G458">
        <v>192.75</v>
      </c>
      <c r="H458">
        <v>1563.29</v>
      </c>
    </row>
    <row r="459" spans="1:8" x14ac:dyDescent="0.25">
      <c r="A459" t="s">
        <v>67</v>
      </c>
      <c r="C459" t="s">
        <v>36</v>
      </c>
      <c r="D459" t="s">
        <v>26</v>
      </c>
      <c r="E459" t="s">
        <v>24</v>
      </c>
      <c r="F459" s="1">
        <v>45381</v>
      </c>
      <c r="G459">
        <v>958.79</v>
      </c>
      <c r="H459">
        <v>10201.98</v>
      </c>
    </row>
    <row r="460" spans="1:8" x14ac:dyDescent="0.25">
      <c r="A460" t="s">
        <v>505</v>
      </c>
      <c r="B460" t="s">
        <v>30</v>
      </c>
      <c r="C460" t="s">
        <v>829</v>
      </c>
      <c r="D460" t="s">
        <v>56</v>
      </c>
      <c r="E460" t="s">
        <v>54</v>
      </c>
      <c r="F460" s="1">
        <v>45704</v>
      </c>
      <c r="G460">
        <v>331.98</v>
      </c>
      <c r="H460">
        <v>3015.41</v>
      </c>
    </row>
    <row r="461" spans="1:8" x14ac:dyDescent="0.25">
      <c r="A461" t="s">
        <v>180</v>
      </c>
      <c r="B461" t="s">
        <v>46</v>
      </c>
      <c r="C461" t="s">
        <v>63</v>
      </c>
      <c r="D461" t="s">
        <v>56</v>
      </c>
      <c r="E461" t="s">
        <v>54</v>
      </c>
      <c r="F461" s="1">
        <v>45665</v>
      </c>
      <c r="G461">
        <v>348.6</v>
      </c>
      <c r="H461">
        <v>3490.68</v>
      </c>
    </row>
    <row r="462" spans="1:8" x14ac:dyDescent="0.25">
      <c r="A462" t="s">
        <v>607</v>
      </c>
      <c r="B462" t="s">
        <v>40</v>
      </c>
      <c r="C462" t="s">
        <v>829</v>
      </c>
      <c r="D462" t="s">
        <v>17</v>
      </c>
      <c r="E462" t="s">
        <v>24</v>
      </c>
      <c r="F462" s="1">
        <v>45350</v>
      </c>
      <c r="G462">
        <v>2300.13</v>
      </c>
      <c r="H462">
        <v>30348.58</v>
      </c>
    </row>
    <row r="463" spans="1:8" x14ac:dyDescent="0.25">
      <c r="A463" t="s">
        <v>445</v>
      </c>
      <c r="B463" t="s">
        <v>780</v>
      </c>
      <c r="C463" t="s">
        <v>764</v>
      </c>
      <c r="D463" t="s">
        <v>48</v>
      </c>
      <c r="E463" t="s">
        <v>24</v>
      </c>
      <c r="F463" s="1">
        <v>45364</v>
      </c>
      <c r="G463">
        <v>5787</v>
      </c>
      <c r="H463">
        <v>70495.75</v>
      </c>
    </row>
    <row r="464" spans="1:8" x14ac:dyDescent="0.25">
      <c r="A464" t="s">
        <v>297</v>
      </c>
      <c r="B464" t="s">
        <v>784</v>
      </c>
      <c r="C464" t="s">
        <v>764</v>
      </c>
      <c r="D464" t="s">
        <v>48</v>
      </c>
      <c r="E464" t="s">
        <v>24</v>
      </c>
      <c r="F464" s="1">
        <v>45357</v>
      </c>
      <c r="G464">
        <v>4362.25</v>
      </c>
      <c r="H464">
        <v>54396.58</v>
      </c>
    </row>
    <row r="465" spans="1:8" x14ac:dyDescent="0.25">
      <c r="A465" t="s">
        <v>524</v>
      </c>
      <c r="B465" t="s">
        <v>834</v>
      </c>
      <c r="C465" t="s">
        <v>63</v>
      </c>
      <c r="D465" t="s">
        <v>56</v>
      </c>
      <c r="E465" t="s">
        <v>833</v>
      </c>
      <c r="F465" s="1">
        <v>45577</v>
      </c>
      <c r="G465">
        <v>11435.09</v>
      </c>
      <c r="H465">
        <v>136045.29999999999</v>
      </c>
    </row>
    <row r="466" spans="1:8" x14ac:dyDescent="0.25">
      <c r="A466" t="s">
        <v>489</v>
      </c>
      <c r="B466" t="s">
        <v>837</v>
      </c>
      <c r="C466" t="s">
        <v>829</v>
      </c>
      <c r="D466" t="s">
        <v>48</v>
      </c>
      <c r="E466" t="s">
        <v>24</v>
      </c>
      <c r="F466" s="1">
        <v>45725</v>
      </c>
      <c r="G466">
        <v>5173.92</v>
      </c>
      <c r="H466">
        <v>56269.8</v>
      </c>
    </row>
    <row r="467" spans="1:8" x14ac:dyDescent="0.25">
      <c r="A467" t="s">
        <v>252</v>
      </c>
      <c r="B467" t="s">
        <v>837</v>
      </c>
      <c r="C467" t="s">
        <v>36</v>
      </c>
      <c r="D467" t="s">
        <v>17</v>
      </c>
      <c r="E467" t="s">
        <v>15</v>
      </c>
      <c r="F467" s="1">
        <v>45697</v>
      </c>
      <c r="G467">
        <v>155.68</v>
      </c>
      <c r="H467">
        <v>1601.49</v>
      </c>
    </row>
    <row r="468" spans="1:8" x14ac:dyDescent="0.25">
      <c r="A468" t="s">
        <v>490</v>
      </c>
      <c r="B468" t="s">
        <v>35</v>
      </c>
      <c r="C468" t="s">
        <v>63</v>
      </c>
      <c r="D468" t="s">
        <v>48</v>
      </c>
      <c r="E468" t="s">
        <v>24</v>
      </c>
      <c r="F468" s="1">
        <v>45712</v>
      </c>
      <c r="G468" t="s">
        <v>844</v>
      </c>
      <c r="H468">
        <v>97176.87</v>
      </c>
    </row>
    <row r="469" spans="1:8" x14ac:dyDescent="0.25">
      <c r="A469" t="s">
        <v>149</v>
      </c>
      <c r="B469" t="s">
        <v>66</v>
      </c>
      <c r="C469" t="s">
        <v>764</v>
      </c>
      <c r="D469" t="s">
        <v>56</v>
      </c>
      <c r="E469" t="s">
        <v>828</v>
      </c>
      <c r="F469" s="1">
        <v>46141</v>
      </c>
      <c r="G469">
        <v>435.37</v>
      </c>
      <c r="H469">
        <v>3571.18</v>
      </c>
    </row>
    <row r="470" spans="1:8" x14ac:dyDescent="0.25">
      <c r="A470" t="s">
        <v>513</v>
      </c>
      <c r="B470" t="s">
        <v>70</v>
      </c>
      <c r="C470" t="s">
        <v>36</v>
      </c>
      <c r="D470" t="s">
        <v>17</v>
      </c>
      <c r="E470" t="s">
        <v>828</v>
      </c>
      <c r="F470" s="1">
        <v>45403</v>
      </c>
      <c r="G470">
        <v>2990.23</v>
      </c>
      <c r="H470">
        <v>35565.370000000003</v>
      </c>
    </row>
    <row r="471" spans="1:8" x14ac:dyDescent="0.25">
      <c r="A471" t="s">
        <v>402</v>
      </c>
      <c r="B471" t="s">
        <v>834</v>
      </c>
      <c r="C471" t="s">
        <v>63</v>
      </c>
      <c r="D471" t="s">
        <v>26</v>
      </c>
      <c r="E471" t="s">
        <v>843</v>
      </c>
      <c r="F471" s="1">
        <v>45832</v>
      </c>
      <c r="G471" t="s">
        <v>842</v>
      </c>
      <c r="H471">
        <v>83937.18</v>
      </c>
    </row>
    <row r="472" spans="1:8" x14ac:dyDescent="0.25">
      <c r="A472" t="s">
        <v>127</v>
      </c>
      <c r="B472" t="s">
        <v>35</v>
      </c>
      <c r="C472" t="s">
        <v>829</v>
      </c>
      <c r="D472" t="s">
        <v>26</v>
      </c>
      <c r="E472" t="s">
        <v>828</v>
      </c>
      <c r="F472" s="1">
        <v>45644</v>
      </c>
      <c r="G472">
        <v>2546.62</v>
      </c>
      <c r="H472">
        <v>30017.3</v>
      </c>
    </row>
    <row r="473" spans="1:8" x14ac:dyDescent="0.25">
      <c r="A473" t="s">
        <v>573</v>
      </c>
      <c r="B473" t="s">
        <v>35</v>
      </c>
      <c r="C473" t="s">
        <v>829</v>
      </c>
      <c r="D473" t="s">
        <v>17</v>
      </c>
      <c r="E473" t="s">
        <v>24</v>
      </c>
      <c r="F473" s="1">
        <v>46040</v>
      </c>
      <c r="G473">
        <v>500000</v>
      </c>
      <c r="H473">
        <v>-100</v>
      </c>
    </row>
    <row r="474" spans="1:8" x14ac:dyDescent="0.25">
      <c r="A474" t="s">
        <v>121</v>
      </c>
      <c r="B474" t="s">
        <v>837</v>
      </c>
      <c r="C474" t="s">
        <v>764</v>
      </c>
      <c r="D474" t="s">
        <v>26</v>
      </c>
      <c r="E474" t="s">
        <v>24</v>
      </c>
      <c r="F474" s="1">
        <v>45681</v>
      </c>
      <c r="G474">
        <v>9393.26</v>
      </c>
      <c r="H474">
        <v>137883.45000000001</v>
      </c>
    </row>
    <row r="475" spans="1:8" x14ac:dyDescent="0.25">
      <c r="A475" t="s">
        <v>732</v>
      </c>
      <c r="B475" t="s">
        <v>35</v>
      </c>
      <c r="C475" t="s">
        <v>764</v>
      </c>
      <c r="D475" t="s">
        <v>48</v>
      </c>
      <c r="E475" t="s">
        <v>24</v>
      </c>
      <c r="F475" s="1">
        <v>46158</v>
      </c>
      <c r="G475">
        <v>10176.17</v>
      </c>
      <c r="H475">
        <v>129769.41</v>
      </c>
    </row>
    <row r="476" spans="1:8" x14ac:dyDescent="0.25">
      <c r="A476" t="s">
        <v>311</v>
      </c>
      <c r="B476" t="s">
        <v>30</v>
      </c>
      <c r="C476" t="s">
        <v>829</v>
      </c>
      <c r="D476" t="s">
        <v>56</v>
      </c>
      <c r="E476" t="s">
        <v>54</v>
      </c>
      <c r="F476" s="1">
        <v>45303</v>
      </c>
      <c r="G476">
        <v>165.44</v>
      </c>
    </row>
    <row r="477" spans="1:8" x14ac:dyDescent="0.25">
      <c r="A477" t="s">
        <v>686</v>
      </c>
      <c r="B477" t="s">
        <v>837</v>
      </c>
      <c r="C477" t="s">
        <v>63</v>
      </c>
      <c r="D477" t="s">
        <v>56</v>
      </c>
      <c r="E477" t="s">
        <v>24</v>
      </c>
      <c r="F477" s="1">
        <v>46145</v>
      </c>
      <c r="G477" t="s">
        <v>841</v>
      </c>
      <c r="H477">
        <v>20016.09</v>
      </c>
    </row>
    <row r="478" spans="1:8" x14ac:dyDescent="0.25">
      <c r="A478" t="s">
        <v>331</v>
      </c>
      <c r="B478" t="s">
        <v>70</v>
      </c>
      <c r="C478" t="s">
        <v>764</v>
      </c>
      <c r="D478" t="s">
        <v>48</v>
      </c>
      <c r="F478" s="1">
        <v>45756</v>
      </c>
      <c r="G478">
        <v>417.86</v>
      </c>
      <c r="H478">
        <v>5380.11</v>
      </c>
    </row>
    <row r="479" spans="1:8" x14ac:dyDescent="0.25">
      <c r="A479" t="s">
        <v>465</v>
      </c>
      <c r="B479" t="s">
        <v>35</v>
      </c>
      <c r="C479" t="s">
        <v>36</v>
      </c>
      <c r="D479" t="s">
        <v>48</v>
      </c>
      <c r="E479" t="s">
        <v>54</v>
      </c>
      <c r="F479" s="1">
        <v>45427</v>
      </c>
      <c r="G479">
        <v>375.24</v>
      </c>
      <c r="H479">
        <v>3822.88</v>
      </c>
    </row>
    <row r="480" spans="1:8" x14ac:dyDescent="0.25">
      <c r="A480" t="s">
        <v>711</v>
      </c>
      <c r="B480" t="s">
        <v>35</v>
      </c>
      <c r="C480" t="s">
        <v>829</v>
      </c>
      <c r="D480" t="s">
        <v>56</v>
      </c>
      <c r="E480" t="s">
        <v>763</v>
      </c>
      <c r="F480" s="1">
        <v>45401</v>
      </c>
      <c r="G480">
        <v>7660.29</v>
      </c>
      <c r="H480">
        <v>88166.65</v>
      </c>
    </row>
    <row r="481" spans="1:8" x14ac:dyDescent="0.25">
      <c r="A481" t="s">
        <v>328</v>
      </c>
      <c r="B481" t="s">
        <v>35</v>
      </c>
      <c r="C481" t="s">
        <v>840</v>
      </c>
      <c r="D481" t="s">
        <v>26</v>
      </c>
      <c r="E481" t="s">
        <v>828</v>
      </c>
      <c r="F481" s="1">
        <v>45737</v>
      </c>
      <c r="G481">
        <v>1230.96</v>
      </c>
      <c r="H481">
        <v>13044.58</v>
      </c>
    </row>
    <row r="482" spans="1:8" x14ac:dyDescent="0.25">
      <c r="A482" t="s">
        <v>727</v>
      </c>
      <c r="B482" t="s">
        <v>839</v>
      </c>
      <c r="C482" t="s">
        <v>764</v>
      </c>
      <c r="D482" t="s">
        <v>26</v>
      </c>
      <c r="E482" t="s">
        <v>15</v>
      </c>
      <c r="F482" s="1">
        <v>45941</v>
      </c>
      <c r="G482">
        <v>141.96</v>
      </c>
      <c r="H482">
        <v>1741.66</v>
      </c>
    </row>
    <row r="483" spans="1:8" x14ac:dyDescent="0.25">
      <c r="A483" t="s">
        <v>302</v>
      </c>
      <c r="B483" t="s">
        <v>35</v>
      </c>
      <c r="C483" t="s">
        <v>36</v>
      </c>
      <c r="D483" t="s">
        <v>26</v>
      </c>
      <c r="E483" t="s">
        <v>828</v>
      </c>
      <c r="F483" s="1">
        <v>45902</v>
      </c>
      <c r="G483">
        <v>537.41</v>
      </c>
      <c r="H483">
        <v>6072.91</v>
      </c>
    </row>
    <row r="484" spans="1:8" x14ac:dyDescent="0.25">
      <c r="A484" t="s">
        <v>133</v>
      </c>
      <c r="B484" t="s">
        <v>40</v>
      </c>
      <c r="C484" t="s">
        <v>41</v>
      </c>
      <c r="D484" t="s">
        <v>26</v>
      </c>
      <c r="E484" t="s">
        <v>828</v>
      </c>
      <c r="F484" s="1">
        <v>45336</v>
      </c>
      <c r="G484">
        <v>857.52</v>
      </c>
      <c r="H484">
        <v>8585.19</v>
      </c>
    </row>
    <row r="485" spans="1:8" x14ac:dyDescent="0.25">
      <c r="A485" t="s">
        <v>726</v>
      </c>
      <c r="B485" t="s">
        <v>35</v>
      </c>
      <c r="C485" t="s">
        <v>764</v>
      </c>
      <c r="D485" t="s">
        <v>56</v>
      </c>
      <c r="E485" t="s">
        <v>24</v>
      </c>
      <c r="F485" s="1">
        <v>45995</v>
      </c>
      <c r="G485" t="s">
        <v>838</v>
      </c>
      <c r="H485">
        <v>113092.19</v>
      </c>
    </row>
    <row r="486" spans="1:8" x14ac:dyDescent="0.25">
      <c r="A486" t="s">
        <v>119</v>
      </c>
      <c r="B486" t="s">
        <v>35</v>
      </c>
      <c r="C486" t="s">
        <v>63</v>
      </c>
      <c r="D486" t="s">
        <v>26</v>
      </c>
      <c r="E486" t="s">
        <v>24</v>
      </c>
      <c r="F486" s="1">
        <v>45396</v>
      </c>
      <c r="G486">
        <v>3703.94</v>
      </c>
    </row>
    <row r="487" spans="1:8" x14ac:dyDescent="0.25">
      <c r="A487" t="s">
        <v>547</v>
      </c>
      <c r="B487" t="s">
        <v>834</v>
      </c>
      <c r="C487" t="s">
        <v>764</v>
      </c>
      <c r="D487" t="s">
        <v>56</v>
      </c>
      <c r="E487" t="s">
        <v>828</v>
      </c>
      <c r="F487" s="3">
        <v>45534</v>
      </c>
      <c r="G487">
        <v>258.13</v>
      </c>
      <c r="H487">
        <v>3023.57</v>
      </c>
    </row>
    <row r="488" spans="1:8" x14ac:dyDescent="0.25">
      <c r="A488" t="s">
        <v>391</v>
      </c>
      <c r="B488" t="s">
        <v>30</v>
      </c>
      <c r="C488" t="s">
        <v>773</v>
      </c>
      <c r="D488" t="s">
        <v>26</v>
      </c>
      <c r="E488" t="s">
        <v>24</v>
      </c>
      <c r="F488" s="1">
        <v>46076</v>
      </c>
      <c r="H488">
        <v>15920.82</v>
      </c>
    </row>
    <row r="489" spans="1:8" x14ac:dyDescent="0.25">
      <c r="A489" t="s">
        <v>414</v>
      </c>
      <c r="B489" t="s">
        <v>46</v>
      </c>
      <c r="C489" t="s">
        <v>63</v>
      </c>
      <c r="D489" t="s">
        <v>56</v>
      </c>
      <c r="E489" t="s">
        <v>24</v>
      </c>
      <c r="F489" s="1">
        <v>46022</v>
      </c>
      <c r="G489">
        <v>2780.79</v>
      </c>
      <c r="H489">
        <v>34219.699999999997</v>
      </c>
    </row>
    <row r="490" spans="1:8" x14ac:dyDescent="0.25">
      <c r="A490" t="s">
        <v>80</v>
      </c>
      <c r="B490" t="s">
        <v>40</v>
      </c>
      <c r="C490" t="s">
        <v>829</v>
      </c>
      <c r="D490" t="s">
        <v>26</v>
      </c>
      <c r="E490" t="s">
        <v>24</v>
      </c>
      <c r="F490" s="1">
        <v>45809</v>
      </c>
      <c r="G490">
        <v>9118.99</v>
      </c>
      <c r="H490">
        <v>93262.05</v>
      </c>
    </row>
    <row r="491" spans="1:8" x14ac:dyDescent="0.25">
      <c r="A491" t="s">
        <v>503</v>
      </c>
      <c r="B491" t="s">
        <v>837</v>
      </c>
      <c r="C491" t="s">
        <v>41</v>
      </c>
      <c r="D491" t="s">
        <v>17</v>
      </c>
      <c r="E491" t="s">
        <v>24</v>
      </c>
      <c r="F491" s="3">
        <v>45392</v>
      </c>
      <c r="G491">
        <v>5150.6099999999997</v>
      </c>
      <c r="H491">
        <v>44940.12</v>
      </c>
    </row>
    <row r="492" spans="1:8" x14ac:dyDescent="0.25">
      <c r="A492" t="s">
        <v>704</v>
      </c>
      <c r="B492" t="s">
        <v>40</v>
      </c>
      <c r="C492" t="s">
        <v>63</v>
      </c>
      <c r="D492" t="s">
        <v>48</v>
      </c>
      <c r="E492" t="s">
        <v>24</v>
      </c>
      <c r="F492" s="1">
        <v>45398</v>
      </c>
      <c r="G492">
        <v>10497.73</v>
      </c>
      <c r="H492">
        <v>150782.57</v>
      </c>
    </row>
    <row r="493" spans="1:8" x14ac:dyDescent="0.25">
      <c r="A493" t="s">
        <v>289</v>
      </c>
      <c r="B493" t="s">
        <v>834</v>
      </c>
      <c r="C493" t="s">
        <v>41</v>
      </c>
      <c r="D493" t="s">
        <v>56</v>
      </c>
      <c r="E493" t="s">
        <v>24</v>
      </c>
      <c r="F493" s="1">
        <v>45934</v>
      </c>
      <c r="G493">
        <v>9443.26</v>
      </c>
      <c r="H493">
        <v>93027.54</v>
      </c>
    </row>
    <row r="494" spans="1:8" x14ac:dyDescent="0.25">
      <c r="A494" t="s">
        <v>450</v>
      </c>
      <c r="B494" t="s">
        <v>66</v>
      </c>
      <c r="C494" t="s">
        <v>41</v>
      </c>
      <c r="D494" t="s">
        <v>48</v>
      </c>
      <c r="E494" t="s">
        <v>24</v>
      </c>
      <c r="F494" s="1">
        <v>45352</v>
      </c>
      <c r="G494">
        <v>6500.09</v>
      </c>
      <c r="H494">
        <v>71575.06</v>
      </c>
    </row>
    <row r="495" spans="1:8" x14ac:dyDescent="0.25">
      <c r="A495" t="s">
        <v>684</v>
      </c>
      <c r="C495" t="s">
        <v>36</v>
      </c>
      <c r="D495" t="s">
        <v>48</v>
      </c>
      <c r="E495" t="s">
        <v>24</v>
      </c>
      <c r="F495" s="1">
        <v>45453</v>
      </c>
      <c r="G495">
        <v>4192.17</v>
      </c>
      <c r="H495">
        <v>50892.69</v>
      </c>
    </row>
    <row r="496" spans="1:8" x14ac:dyDescent="0.25">
      <c r="A496" t="s">
        <v>333</v>
      </c>
      <c r="B496" t="s">
        <v>46</v>
      </c>
      <c r="C496" t="s">
        <v>36</v>
      </c>
      <c r="D496" t="s">
        <v>48</v>
      </c>
      <c r="E496" t="s">
        <v>24</v>
      </c>
      <c r="F496" s="1">
        <v>46266</v>
      </c>
      <c r="G496">
        <v>8948.2900000000009</v>
      </c>
      <c r="H496">
        <v>108376.16</v>
      </c>
    </row>
    <row r="497" spans="1:8" x14ac:dyDescent="0.25">
      <c r="A497" t="s">
        <v>605</v>
      </c>
      <c r="B497" t="s">
        <v>66</v>
      </c>
      <c r="C497" t="s">
        <v>41</v>
      </c>
      <c r="D497" t="s">
        <v>56</v>
      </c>
      <c r="E497" t="s">
        <v>24</v>
      </c>
      <c r="F497" s="1">
        <v>45835</v>
      </c>
      <c r="G497">
        <v>3258.45</v>
      </c>
      <c r="H497">
        <v>34145.85</v>
      </c>
    </row>
    <row r="498" spans="1:8" x14ac:dyDescent="0.25">
      <c r="A498" t="s">
        <v>471</v>
      </c>
      <c r="B498" t="s">
        <v>834</v>
      </c>
      <c r="C498" t="s">
        <v>41</v>
      </c>
      <c r="D498" t="s">
        <v>17</v>
      </c>
      <c r="E498" t="s">
        <v>24</v>
      </c>
      <c r="F498" s="1">
        <v>45776</v>
      </c>
      <c r="G498" t="s">
        <v>836</v>
      </c>
      <c r="H498">
        <v>79209.77</v>
      </c>
    </row>
    <row r="499" spans="1:8" x14ac:dyDescent="0.25">
      <c r="A499" t="s">
        <v>644</v>
      </c>
      <c r="B499" t="s">
        <v>35</v>
      </c>
      <c r="C499" t="s">
        <v>764</v>
      </c>
      <c r="D499" t="s">
        <v>56</v>
      </c>
      <c r="E499" t="s">
        <v>24</v>
      </c>
      <c r="F499" s="1">
        <v>45977</v>
      </c>
      <c r="G499">
        <v>5890.03</v>
      </c>
      <c r="H499">
        <v>73228.23</v>
      </c>
    </row>
    <row r="500" spans="1:8" x14ac:dyDescent="0.25">
      <c r="A500" t="s">
        <v>747</v>
      </c>
      <c r="B500" t="s">
        <v>35</v>
      </c>
      <c r="C500" t="s">
        <v>831</v>
      </c>
      <c r="D500" t="s">
        <v>26</v>
      </c>
      <c r="E500" t="s">
        <v>24</v>
      </c>
      <c r="F500" s="1">
        <v>45425</v>
      </c>
      <c r="G500">
        <v>5753.04</v>
      </c>
      <c r="H500">
        <v>52080.05</v>
      </c>
    </row>
    <row r="501" spans="1:8" x14ac:dyDescent="0.25">
      <c r="A501" t="s">
        <v>545</v>
      </c>
      <c r="B501" t="s">
        <v>834</v>
      </c>
      <c r="C501" t="s">
        <v>63</v>
      </c>
      <c r="D501" t="s">
        <v>26</v>
      </c>
      <c r="E501" t="s">
        <v>828</v>
      </c>
      <c r="F501" s="1">
        <v>46161</v>
      </c>
      <c r="G501">
        <v>232</v>
      </c>
      <c r="H501">
        <v>2005.01</v>
      </c>
    </row>
    <row r="502" spans="1:8" x14ac:dyDescent="0.25">
      <c r="A502" t="s">
        <v>422</v>
      </c>
      <c r="B502" t="s">
        <v>779</v>
      </c>
      <c r="C502" t="s">
        <v>835</v>
      </c>
      <c r="D502" t="s">
        <v>48</v>
      </c>
      <c r="E502" t="s">
        <v>24</v>
      </c>
      <c r="F502" s="3">
        <v>45674</v>
      </c>
      <c r="G502">
        <v>3968.2</v>
      </c>
      <c r="H502">
        <v>49615.93</v>
      </c>
    </row>
    <row r="503" spans="1:8" x14ac:dyDescent="0.25">
      <c r="A503" t="s">
        <v>494</v>
      </c>
      <c r="B503" t="s">
        <v>66</v>
      </c>
      <c r="C503" t="s">
        <v>764</v>
      </c>
      <c r="D503" t="s">
        <v>56</v>
      </c>
      <c r="E503" t="s">
        <v>24</v>
      </c>
      <c r="F503" s="1">
        <v>46038</v>
      </c>
      <c r="G503">
        <v>5975.07</v>
      </c>
      <c r="H503">
        <v>65490.1</v>
      </c>
    </row>
    <row r="504" spans="1:8" x14ac:dyDescent="0.25">
      <c r="A504" t="s">
        <v>274</v>
      </c>
      <c r="B504" t="s">
        <v>70</v>
      </c>
      <c r="C504" t="s">
        <v>764</v>
      </c>
      <c r="D504" t="s">
        <v>56</v>
      </c>
      <c r="E504" t="s">
        <v>763</v>
      </c>
      <c r="F504" s="1">
        <v>45700</v>
      </c>
      <c r="G504">
        <v>9872.57</v>
      </c>
      <c r="H504">
        <v>111346</v>
      </c>
    </row>
    <row r="505" spans="1:8" x14ac:dyDescent="0.25">
      <c r="A505" t="s">
        <v>246</v>
      </c>
      <c r="B505" t="s">
        <v>834</v>
      </c>
      <c r="C505" t="s">
        <v>63</v>
      </c>
      <c r="D505" t="s">
        <v>48</v>
      </c>
      <c r="E505" t="s">
        <v>833</v>
      </c>
      <c r="F505" t="s">
        <v>247</v>
      </c>
      <c r="G505">
        <v>8407.66</v>
      </c>
      <c r="H505">
        <v>69224.899999999994</v>
      </c>
    </row>
    <row r="506" spans="1:8" x14ac:dyDescent="0.25">
      <c r="A506" t="s">
        <v>276</v>
      </c>
      <c r="B506" t="s">
        <v>70</v>
      </c>
      <c r="C506" t="s">
        <v>829</v>
      </c>
      <c r="D506" t="s">
        <v>56</v>
      </c>
      <c r="E506" t="s">
        <v>24</v>
      </c>
      <c r="F506" s="3">
        <v>45516</v>
      </c>
      <c r="G506">
        <v>5407.52</v>
      </c>
      <c r="H506">
        <v>71806.78</v>
      </c>
    </row>
    <row r="507" spans="1:8" x14ac:dyDescent="0.25">
      <c r="A507" t="s">
        <v>567</v>
      </c>
      <c r="B507" t="s">
        <v>35</v>
      </c>
      <c r="C507" t="s">
        <v>63</v>
      </c>
      <c r="D507" t="s">
        <v>56</v>
      </c>
      <c r="E507" t="s">
        <v>24</v>
      </c>
      <c r="F507" s="1">
        <v>45757</v>
      </c>
      <c r="G507">
        <v>6155.09</v>
      </c>
      <c r="H507">
        <v>75396.97</v>
      </c>
    </row>
    <row r="508" spans="1:8" x14ac:dyDescent="0.25">
      <c r="A508" t="s">
        <v>199</v>
      </c>
      <c r="B508" t="s">
        <v>40</v>
      </c>
      <c r="C508" t="s">
        <v>63</v>
      </c>
      <c r="D508" t="s">
        <v>48</v>
      </c>
      <c r="E508" t="s">
        <v>24</v>
      </c>
      <c r="F508" s="1">
        <v>45915</v>
      </c>
      <c r="G508">
        <v>2917.1</v>
      </c>
      <c r="H508">
        <v>40761.65</v>
      </c>
    </row>
    <row r="509" spans="1:8" x14ac:dyDescent="0.25">
      <c r="A509" t="s">
        <v>586</v>
      </c>
      <c r="B509" t="s">
        <v>775</v>
      </c>
      <c r="C509" t="s">
        <v>63</v>
      </c>
      <c r="D509" t="s">
        <v>26</v>
      </c>
      <c r="F509" s="1">
        <v>45514</v>
      </c>
      <c r="G509">
        <v>4874.3500000000004</v>
      </c>
      <c r="H509">
        <v>45969.81</v>
      </c>
    </row>
    <row r="510" spans="1:8" x14ac:dyDescent="0.25">
      <c r="A510" t="s">
        <v>179</v>
      </c>
      <c r="B510" t="s">
        <v>30</v>
      </c>
      <c r="C510" t="s">
        <v>764</v>
      </c>
      <c r="D510" t="s">
        <v>56</v>
      </c>
      <c r="E510" t="s">
        <v>24</v>
      </c>
      <c r="F510" s="1">
        <v>46146</v>
      </c>
      <c r="G510">
        <v>4251.1000000000004</v>
      </c>
      <c r="H510">
        <v>47853.67</v>
      </c>
    </row>
    <row r="511" spans="1:8" x14ac:dyDescent="0.25">
      <c r="A511" t="s">
        <v>703</v>
      </c>
      <c r="B511" t="s">
        <v>40</v>
      </c>
      <c r="C511" t="s">
        <v>63</v>
      </c>
      <c r="D511" t="s">
        <v>26</v>
      </c>
      <c r="E511" t="s">
        <v>24</v>
      </c>
      <c r="F511" s="1">
        <v>45971</v>
      </c>
      <c r="G511">
        <v>513.24</v>
      </c>
      <c r="H511">
        <v>4253.3</v>
      </c>
    </row>
    <row r="512" spans="1:8" x14ac:dyDescent="0.25">
      <c r="A512" t="s">
        <v>526</v>
      </c>
      <c r="B512" t="s">
        <v>832</v>
      </c>
      <c r="C512" t="s">
        <v>764</v>
      </c>
      <c r="D512" t="s">
        <v>48</v>
      </c>
      <c r="E512" t="s">
        <v>24</v>
      </c>
      <c r="F512" s="1">
        <v>45547</v>
      </c>
      <c r="G512">
        <v>2702.72</v>
      </c>
      <c r="H512">
        <v>34067.300000000003</v>
      </c>
    </row>
    <row r="513" spans="1:8" x14ac:dyDescent="0.25">
      <c r="A513" t="s">
        <v>362</v>
      </c>
      <c r="B513" t="s">
        <v>30</v>
      </c>
      <c r="C513" t="s">
        <v>829</v>
      </c>
      <c r="D513" t="s">
        <v>48</v>
      </c>
      <c r="E513" t="s">
        <v>24</v>
      </c>
      <c r="F513" s="1">
        <v>45905</v>
      </c>
      <c r="G513">
        <v>5729.04</v>
      </c>
      <c r="H513">
        <v>54338.46</v>
      </c>
    </row>
    <row r="514" spans="1:8" x14ac:dyDescent="0.25">
      <c r="A514" t="s">
        <v>715</v>
      </c>
      <c r="B514" t="s">
        <v>70</v>
      </c>
      <c r="C514" t="s">
        <v>36</v>
      </c>
      <c r="D514" t="s">
        <v>17</v>
      </c>
      <c r="E514" t="s">
        <v>15</v>
      </c>
      <c r="F514" s="1">
        <v>45451</v>
      </c>
      <c r="G514">
        <v>10.32</v>
      </c>
      <c r="H514">
        <v>141.13999999999999</v>
      </c>
    </row>
    <row r="515" spans="1:8" x14ac:dyDescent="0.25">
      <c r="A515" t="s">
        <v>236</v>
      </c>
      <c r="B515" t="s">
        <v>46</v>
      </c>
      <c r="C515" t="s">
        <v>831</v>
      </c>
      <c r="D515" t="s">
        <v>17</v>
      </c>
      <c r="E515" t="s">
        <v>24</v>
      </c>
      <c r="F515" s="1">
        <v>45324</v>
      </c>
      <c r="G515">
        <v>7529.65</v>
      </c>
      <c r="H515">
        <v>73447.12</v>
      </c>
    </row>
    <row r="516" spans="1:8" x14ac:dyDescent="0.25">
      <c r="A516" t="s">
        <v>78</v>
      </c>
      <c r="B516" t="s">
        <v>35</v>
      </c>
      <c r="C516" t="s">
        <v>36</v>
      </c>
      <c r="D516" t="s">
        <v>26</v>
      </c>
      <c r="E516" t="s">
        <v>24</v>
      </c>
      <c r="F516" s="3">
        <v>45530</v>
      </c>
      <c r="G516">
        <v>11699.13</v>
      </c>
      <c r="H516">
        <v>127233.02</v>
      </c>
    </row>
    <row r="517" spans="1:8" x14ac:dyDescent="0.25">
      <c r="A517" t="s">
        <v>155</v>
      </c>
      <c r="B517" t="s">
        <v>70</v>
      </c>
      <c r="C517" t="s">
        <v>41</v>
      </c>
      <c r="D517" t="s">
        <v>26</v>
      </c>
      <c r="E517" t="s">
        <v>24</v>
      </c>
      <c r="F517" s="1">
        <v>45883</v>
      </c>
      <c r="G517">
        <v>5514.66</v>
      </c>
      <c r="H517">
        <v>60742.92</v>
      </c>
    </row>
    <row r="518" spans="1:8" x14ac:dyDescent="0.25">
      <c r="A518" t="s">
        <v>211</v>
      </c>
      <c r="B518" t="s">
        <v>830</v>
      </c>
      <c r="C518" t="s">
        <v>63</v>
      </c>
      <c r="D518" t="s">
        <v>56</v>
      </c>
      <c r="E518" t="s">
        <v>24</v>
      </c>
      <c r="F518" s="1">
        <v>45765</v>
      </c>
      <c r="G518">
        <v>9627.9599999999991</v>
      </c>
      <c r="H518">
        <v>132964.66</v>
      </c>
    </row>
    <row r="519" spans="1:8" x14ac:dyDescent="0.25">
      <c r="A519" t="s">
        <v>442</v>
      </c>
      <c r="B519" t="s">
        <v>781</v>
      </c>
      <c r="C519" t="s">
        <v>41</v>
      </c>
      <c r="D519" t="s">
        <v>56</v>
      </c>
      <c r="E519" t="s">
        <v>24</v>
      </c>
      <c r="F519" s="1">
        <v>45894</v>
      </c>
      <c r="G519">
        <v>5485.52</v>
      </c>
    </row>
    <row r="520" spans="1:8" x14ac:dyDescent="0.25">
      <c r="A520" t="s">
        <v>673</v>
      </c>
      <c r="B520" t="s">
        <v>30</v>
      </c>
      <c r="C520" t="s">
        <v>829</v>
      </c>
      <c r="D520" t="s">
        <v>56</v>
      </c>
      <c r="E520" t="s">
        <v>828</v>
      </c>
      <c r="F520" s="1">
        <v>45810</v>
      </c>
      <c r="G520">
        <v>1382.47</v>
      </c>
      <c r="H520">
        <v>20606.72</v>
      </c>
    </row>
    <row r="521" spans="1:8" x14ac:dyDescent="0.25">
      <c r="A521" t="s">
        <v>204</v>
      </c>
      <c r="B521" t="s">
        <v>70</v>
      </c>
      <c r="C521" t="s">
        <v>827</v>
      </c>
      <c r="D521" t="s">
        <v>26</v>
      </c>
      <c r="E521" t="s">
        <v>24</v>
      </c>
      <c r="F521" s="1">
        <v>45838</v>
      </c>
      <c r="G521">
        <v>4205.87</v>
      </c>
      <c r="H521">
        <v>44215.11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N502"/>
  <sheetViews>
    <sheetView topLeftCell="D482" workbookViewId="0">
      <selection activeCell="J503" sqref="J503"/>
    </sheetView>
  </sheetViews>
  <sheetFormatPr defaultRowHeight="15" x14ac:dyDescent="0.25"/>
  <cols>
    <col min="1" max="1" width="11.7109375" customWidth="1"/>
    <col min="2" max="2" width="11.7109375" bestFit="1" customWidth="1"/>
    <col min="3" max="3" width="16.7109375" bestFit="1" customWidth="1"/>
    <col min="4" max="4" width="16.42578125" bestFit="1" customWidth="1"/>
    <col min="5" max="5" width="17.7109375" customWidth="1"/>
    <col min="6" max="6" width="16.140625" customWidth="1"/>
    <col min="7" max="7" width="14.5703125" customWidth="1"/>
    <col min="8" max="8" width="13.7109375" style="2" customWidth="1"/>
    <col min="9" max="9" width="17.140625" customWidth="1"/>
    <col min="10" max="10" width="16.85546875" customWidth="1"/>
    <col min="11" max="11" width="11.5703125" customWidth="1"/>
    <col min="12" max="12" width="12.7109375" style="2" customWidth="1"/>
    <col min="13" max="13" width="19.42578125" customWidth="1"/>
    <col min="14" max="14" width="18.140625" customWidth="1"/>
  </cols>
  <sheetData>
    <row r="1" spans="1:14" x14ac:dyDescent="0.25">
      <c r="A1" t="s">
        <v>0</v>
      </c>
      <c r="B1" t="s">
        <v>1</v>
      </c>
      <c r="C1" t="s">
        <v>2</v>
      </c>
      <c r="D1" t="s">
        <v>3</v>
      </c>
      <c r="E1" t="s">
        <v>4</v>
      </c>
      <c r="F1" t="s">
        <v>5</v>
      </c>
      <c r="G1" t="s">
        <v>6</v>
      </c>
      <c r="H1" s="2" t="s">
        <v>7</v>
      </c>
      <c r="I1" t="s">
        <v>8</v>
      </c>
      <c r="J1" t="s">
        <v>890</v>
      </c>
      <c r="K1" s="6" t="s">
        <v>9</v>
      </c>
      <c r="L1" t="s">
        <v>10</v>
      </c>
      <c r="M1" s="11" t="s">
        <v>941</v>
      </c>
      <c r="N1" t="s">
        <v>11</v>
      </c>
    </row>
    <row r="2" spans="1:14" x14ac:dyDescent="0.25">
      <c r="A2" t="s">
        <v>414</v>
      </c>
      <c r="B2" t="s">
        <v>46</v>
      </c>
      <c r="C2" t="s">
        <v>63</v>
      </c>
      <c r="D2" t="s">
        <v>24</v>
      </c>
      <c r="E2" s="6" t="s">
        <v>415</v>
      </c>
      <c r="F2" t="s">
        <v>56</v>
      </c>
      <c r="G2" s="9">
        <v>2780.79</v>
      </c>
      <c r="H2" s="13">
        <v>34220</v>
      </c>
      <c r="I2" s="10" t="s">
        <v>58</v>
      </c>
      <c r="J2" t="s">
        <v>18</v>
      </c>
      <c r="K2" s="6">
        <v>2025</v>
      </c>
      <c r="L2" t="s">
        <v>33</v>
      </c>
      <c r="M2" s="12">
        <v>12.31</v>
      </c>
      <c r="N2" t="s">
        <v>59</v>
      </c>
    </row>
    <row r="3" spans="1:14" x14ac:dyDescent="0.25">
      <c r="A3" t="s">
        <v>499</v>
      </c>
      <c r="B3" t="s">
        <v>40</v>
      </c>
      <c r="C3" t="s">
        <v>53</v>
      </c>
      <c r="D3" t="s">
        <v>54</v>
      </c>
      <c r="E3" s="6" t="s">
        <v>500</v>
      </c>
      <c r="F3" t="s">
        <v>56</v>
      </c>
      <c r="G3" s="9">
        <v>8.6199999999999992</v>
      </c>
      <c r="H3" s="13">
        <v>86</v>
      </c>
      <c r="I3" s="10" t="s">
        <v>58</v>
      </c>
      <c r="J3" t="s">
        <v>57</v>
      </c>
      <c r="K3" s="6">
        <v>2025</v>
      </c>
      <c r="L3" t="s">
        <v>20</v>
      </c>
      <c r="M3" s="12">
        <v>10.01</v>
      </c>
      <c r="N3" t="s">
        <v>59</v>
      </c>
    </row>
    <row r="4" spans="1:14" x14ac:dyDescent="0.25">
      <c r="A4" t="s">
        <v>694</v>
      </c>
      <c r="B4" t="s">
        <v>35</v>
      </c>
      <c r="C4" t="s">
        <v>14</v>
      </c>
      <c r="D4" t="s">
        <v>24</v>
      </c>
      <c r="E4" s="6" t="s">
        <v>500</v>
      </c>
      <c r="F4" t="s">
        <v>48</v>
      </c>
      <c r="G4" s="9">
        <v>922.02</v>
      </c>
      <c r="H4" s="13">
        <v>13684</v>
      </c>
      <c r="I4" s="10" t="s">
        <v>27</v>
      </c>
      <c r="J4" t="s">
        <v>57</v>
      </c>
      <c r="K4" s="6">
        <v>2025</v>
      </c>
      <c r="L4" t="s">
        <v>20</v>
      </c>
      <c r="M4" s="12">
        <v>14.84</v>
      </c>
      <c r="N4" t="s">
        <v>49</v>
      </c>
    </row>
    <row r="5" spans="1:14" x14ac:dyDescent="0.25">
      <c r="A5" t="s">
        <v>626</v>
      </c>
      <c r="B5" t="s">
        <v>46</v>
      </c>
      <c r="C5" t="s">
        <v>14</v>
      </c>
      <c r="D5" t="s">
        <v>31</v>
      </c>
      <c r="E5" s="6" t="s">
        <v>627</v>
      </c>
      <c r="F5" t="s">
        <v>26</v>
      </c>
      <c r="G5" s="9">
        <v>673.68</v>
      </c>
      <c r="H5" s="13">
        <v>8641</v>
      </c>
      <c r="I5" s="10" t="s">
        <v>27</v>
      </c>
      <c r="J5" t="s">
        <v>57</v>
      </c>
      <c r="K5" s="6">
        <v>2025</v>
      </c>
      <c r="L5" t="s">
        <v>20</v>
      </c>
      <c r="M5" s="12">
        <v>12.83</v>
      </c>
      <c r="N5" t="s">
        <v>28</v>
      </c>
    </row>
    <row r="6" spans="1:14" x14ac:dyDescent="0.25">
      <c r="A6" t="s">
        <v>457</v>
      </c>
      <c r="B6" t="s">
        <v>40</v>
      </c>
      <c r="C6" t="s">
        <v>14</v>
      </c>
      <c r="D6" t="s">
        <v>24</v>
      </c>
      <c r="E6" s="6" t="s">
        <v>458</v>
      </c>
      <c r="F6" t="s">
        <v>26</v>
      </c>
      <c r="G6" s="9">
        <v>7313.46</v>
      </c>
      <c r="H6" s="13">
        <v>44303</v>
      </c>
      <c r="I6" s="10" t="s">
        <v>27</v>
      </c>
      <c r="J6" t="s">
        <v>18</v>
      </c>
      <c r="K6" s="6">
        <v>2024</v>
      </c>
      <c r="L6" t="s">
        <v>38</v>
      </c>
      <c r="M6" s="12">
        <v>6.06</v>
      </c>
      <c r="N6" t="s">
        <v>28</v>
      </c>
    </row>
    <row r="7" spans="1:14" x14ac:dyDescent="0.25">
      <c r="A7" t="s">
        <v>74</v>
      </c>
      <c r="B7" t="s">
        <v>35</v>
      </c>
      <c r="C7" t="s">
        <v>63</v>
      </c>
      <c r="D7" t="s">
        <v>24</v>
      </c>
      <c r="E7" s="6" t="s">
        <v>75</v>
      </c>
      <c r="F7" t="s">
        <v>48</v>
      </c>
      <c r="G7" s="9">
        <v>4567.3</v>
      </c>
      <c r="H7" s="13">
        <v>44173</v>
      </c>
      <c r="I7" s="10" t="s">
        <v>27</v>
      </c>
      <c r="J7" t="s">
        <v>57</v>
      </c>
      <c r="K7" s="6">
        <v>2024</v>
      </c>
      <c r="L7" t="s">
        <v>33</v>
      </c>
      <c r="M7" s="12">
        <v>9.67</v>
      </c>
      <c r="N7" t="s">
        <v>49</v>
      </c>
    </row>
    <row r="8" spans="1:14" x14ac:dyDescent="0.25">
      <c r="A8" t="s">
        <v>193</v>
      </c>
      <c r="B8" t="s">
        <v>35</v>
      </c>
      <c r="C8" t="s">
        <v>36</v>
      </c>
      <c r="D8" t="s">
        <v>24</v>
      </c>
      <c r="E8" s="6" t="s">
        <v>194</v>
      </c>
      <c r="F8" t="s">
        <v>26</v>
      </c>
      <c r="G8" s="9">
        <v>4167.34</v>
      </c>
      <c r="H8" s="13">
        <v>57891</v>
      </c>
      <c r="I8" s="10" t="s">
        <v>27</v>
      </c>
      <c r="J8" t="s">
        <v>18</v>
      </c>
      <c r="K8" s="6">
        <v>2025</v>
      </c>
      <c r="L8" t="s">
        <v>33</v>
      </c>
      <c r="M8" s="12">
        <v>13.89</v>
      </c>
      <c r="N8" t="s">
        <v>28</v>
      </c>
    </row>
    <row r="9" spans="1:14" x14ac:dyDescent="0.25">
      <c r="A9" t="s">
        <v>584</v>
      </c>
      <c r="B9" t="s">
        <v>40</v>
      </c>
      <c r="C9" t="s">
        <v>36</v>
      </c>
      <c r="D9" t="s">
        <v>24</v>
      </c>
      <c r="E9" s="6" t="s">
        <v>585</v>
      </c>
      <c r="F9" t="s">
        <v>56</v>
      </c>
      <c r="G9" s="9">
        <v>9420.48</v>
      </c>
      <c r="H9" s="13">
        <v>78976</v>
      </c>
      <c r="I9" s="10" t="s">
        <v>58</v>
      </c>
      <c r="J9" t="s">
        <v>57</v>
      </c>
      <c r="K9" s="6">
        <v>2024</v>
      </c>
      <c r="L9" t="s">
        <v>38</v>
      </c>
      <c r="M9" s="12">
        <v>8.3800000000000008</v>
      </c>
      <c r="N9" t="s">
        <v>59</v>
      </c>
    </row>
    <row r="10" spans="1:14" x14ac:dyDescent="0.25">
      <c r="A10" t="s">
        <v>190</v>
      </c>
      <c r="B10" t="s">
        <v>66</v>
      </c>
      <c r="C10" t="s">
        <v>53</v>
      </c>
      <c r="D10" t="s">
        <v>24</v>
      </c>
      <c r="E10" s="6" t="s">
        <v>191</v>
      </c>
      <c r="F10" t="s">
        <v>56</v>
      </c>
      <c r="G10" s="9">
        <v>2501.31</v>
      </c>
      <c r="H10" s="13">
        <v>36855</v>
      </c>
      <c r="I10" s="10" t="s">
        <v>58</v>
      </c>
      <c r="J10" t="s">
        <v>18</v>
      </c>
      <c r="K10" s="6">
        <v>2024</v>
      </c>
      <c r="L10" t="s">
        <v>33</v>
      </c>
      <c r="M10" s="12">
        <v>14.73</v>
      </c>
      <c r="N10" t="s">
        <v>59</v>
      </c>
    </row>
    <row r="11" spans="1:14" x14ac:dyDescent="0.25">
      <c r="A11" t="s">
        <v>320</v>
      </c>
      <c r="B11" t="s">
        <v>40</v>
      </c>
      <c r="C11" t="s">
        <v>41</v>
      </c>
      <c r="D11" t="s">
        <v>24</v>
      </c>
      <c r="E11" s="6" t="s">
        <v>191</v>
      </c>
      <c r="F11" t="s">
        <v>26</v>
      </c>
      <c r="G11" s="9">
        <v>724.62</v>
      </c>
      <c r="H11" s="13">
        <v>5986</v>
      </c>
      <c r="I11" s="10" t="s">
        <v>27</v>
      </c>
      <c r="J11" t="s">
        <v>18</v>
      </c>
      <c r="K11" s="6">
        <v>2024</v>
      </c>
      <c r="L11" t="s">
        <v>20</v>
      </c>
      <c r="M11" s="12">
        <v>8.26</v>
      </c>
      <c r="N11" t="s">
        <v>28</v>
      </c>
    </row>
    <row r="12" spans="1:14" x14ac:dyDescent="0.25">
      <c r="A12" t="s">
        <v>547</v>
      </c>
      <c r="B12" t="s">
        <v>13</v>
      </c>
      <c r="C12" t="s">
        <v>53</v>
      </c>
      <c r="D12" t="s">
        <v>31</v>
      </c>
      <c r="E12" s="6" t="s">
        <v>548</v>
      </c>
      <c r="F12" t="s">
        <v>56</v>
      </c>
      <c r="G12" s="9">
        <v>258.13</v>
      </c>
      <c r="H12" s="13">
        <v>3024</v>
      </c>
      <c r="I12" s="10" t="s">
        <v>58</v>
      </c>
      <c r="J12" t="s">
        <v>57</v>
      </c>
      <c r="K12" s="6">
        <v>2024</v>
      </c>
      <c r="L12" t="s">
        <v>20</v>
      </c>
      <c r="M12" s="12">
        <v>11.71</v>
      </c>
      <c r="N12" t="s">
        <v>59</v>
      </c>
    </row>
    <row r="13" spans="1:14" x14ac:dyDescent="0.25">
      <c r="A13" t="s">
        <v>666</v>
      </c>
      <c r="B13" t="s">
        <v>40</v>
      </c>
      <c r="C13" t="s">
        <v>14</v>
      </c>
      <c r="D13" t="s">
        <v>24</v>
      </c>
      <c r="E13" s="6" t="s">
        <v>667</v>
      </c>
      <c r="F13" t="s">
        <v>26</v>
      </c>
      <c r="G13" s="9">
        <v>9946.34</v>
      </c>
      <c r="H13" s="13">
        <v>118820</v>
      </c>
      <c r="I13" s="10" t="s">
        <v>27</v>
      </c>
      <c r="J13" t="s">
        <v>18</v>
      </c>
      <c r="K13" s="6">
        <v>2025</v>
      </c>
      <c r="L13" t="s">
        <v>38</v>
      </c>
      <c r="M13" s="12">
        <v>11.95</v>
      </c>
      <c r="N13" t="s">
        <v>28</v>
      </c>
    </row>
    <row r="14" spans="1:14" x14ac:dyDescent="0.25">
      <c r="A14" t="s">
        <v>204</v>
      </c>
      <c r="B14" t="s">
        <v>70</v>
      </c>
      <c r="C14" t="s">
        <v>14</v>
      </c>
      <c r="D14" t="s">
        <v>24</v>
      </c>
      <c r="E14" s="6" t="s">
        <v>205</v>
      </c>
      <c r="F14" t="s">
        <v>26</v>
      </c>
      <c r="G14" s="9">
        <v>4205.87</v>
      </c>
      <c r="H14" s="13">
        <v>44215</v>
      </c>
      <c r="I14" s="10" t="s">
        <v>27</v>
      </c>
      <c r="J14" t="s">
        <v>18</v>
      </c>
      <c r="K14" s="6">
        <v>2025</v>
      </c>
      <c r="L14" t="s">
        <v>33</v>
      </c>
      <c r="M14" s="12">
        <v>10.51</v>
      </c>
      <c r="N14" t="s">
        <v>28</v>
      </c>
    </row>
    <row r="15" spans="1:14" x14ac:dyDescent="0.25">
      <c r="A15" t="s">
        <v>511</v>
      </c>
      <c r="B15" t="s">
        <v>40</v>
      </c>
      <c r="C15" t="s">
        <v>41</v>
      </c>
      <c r="D15" t="s">
        <v>24</v>
      </c>
      <c r="E15" s="6" t="s">
        <v>512</v>
      </c>
      <c r="F15" t="s">
        <v>56</v>
      </c>
      <c r="G15" s="9">
        <v>4453.21</v>
      </c>
      <c r="H15" s="13">
        <v>46540</v>
      </c>
      <c r="I15" s="10" t="s">
        <v>58</v>
      </c>
      <c r="J15" t="s">
        <v>18</v>
      </c>
      <c r="K15" s="6">
        <v>2026</v>
      </c>
      <c r="L15" t="s">
        <v>33</v>
      </c>
      <c r="M15" s="12">
        <v>10.45</v>
      </c>
      <c r="N15" t="s">
        <v>59</v>
      </c>
    </row>
    <row r="16" spans="1:14" x14ac:dyDescent="0.25">
      <c r="A16" t="s">
        <v>67</v>
      </c>
      <c r="B16" t="s">
        <v>40</v>
      </c>
      <c r="C16" t="s">
        <v>36</v>
      </c>
      <c r="D16" t="s">
        <v>24</v>
      </c>
      <c r="E16" s="6" t="s">
        <v>68</v>
      </c>
      <c r="F16" t="s">
        <v>26</v>
      </c>
      <c r="G16" s="9">
        <v>958.79</v>
      </c>
      <c r="H16" s="13">
        <v>10202</v>
      </c>
      <c r="I16" s="10" t="s">
        <v>27</v>
      </c>
      <c r="J16" t="s">
        <v>18</v>
      </c>
      <c r="K16" s="6">
        <v>2024</v>
      </c>
      <c r="L16" t="s">
        <v>20</v>
      </c>
      <c r="M16" s="12">
        <v>10.64</v>
      </c>
      <c r="N16" t="s">
        <v>28</v>
      </c>
    </row>
    <row r="17" spans="1:14" x14ac:dyDescent="0.25">
      <c r="A17" t="s">
        <v>185</v>
      </c>
      <c r="B17" t="s">
        <v>30</v>
      </c>
      <c r="C17" t="s">
        <v>14</v>
      </c>
      <c r="D17" t="s">
        <v>15</v>
      </c>
      <c r="E17" s="6" t="s">
        <v>186</v>
      </c>
      <c r="F17" t="s">
        <v>56</v>
      </c>
      <c r="G17" s="9">
        <v>132.99</v>
      </c>
      <c r="H17" s="13">
        <v>1944</v>
      </c>
      <c r="I17" s="10" t="s">
        <v>58</v>
      </c>
      <c r="J17" t="s">
        <v>18</v>
      </c>
      <c r="K17" s="6">
        <v>2024</v>
      </c>
      <c r="L17" t="s">
        <v>20</v>
      </c>
      <c r="M17" s="12">
        <v>14.62</v>
      </c>
      <c r="N17" t="s">
        <v>59</v>
      </c>
    </row>
    <row r="18" spans="1:14" x14ac:dyDescent="0.25">
      <c r="A18" t="s">
        <v>316</v>
      </c>
      <c r="B18" t="s">
        <v>23</v>
      </c>
      <c r="C18" t="s">
        <v>14</v>
      </c>
      <c r="D18" t="s">
        <v>24</v>
      </c>
      <c r="E18" s="6" t="s">
        <v>317</v>
      </c>
      <c r="F18" t="s">
        <v>56</v>
      </c>
      <c r="G18" s="9">
        <v>4978.9799999999996</v>
      </c>
      <c r="H18" s="13">
        <v>62460</v>
      </c>
      <c r="I18" s="10" t="s">
        <v>58</v>
      </c>
      <c r="J18" t="s">
        <v>18</v>
      </c>
      <c r="K18" s="6">
        <v>2025</v>
      </c>
      <c r="L18" t="s">
        <v>33</v>
      </c>
      <c r="M18" s="12">
        <v>12.54</v>
      </c>
      <c r="N18" t="s">
        <v>59</v>
      </c>
    </row>
    <row r="19" spans="1:14" x14ac:dyDescent="0.25">
      <c r="A19" t="s">
        <v>537</v>
      </c>
      <c r="B19" t="s">
        <v>30</v>
      </c>
      <c r="C19" t="s">
        <v>36</v>
      </c>
      <c r="D19" t="s">
        <v>24</v>
      </c>
      <c r="E19" s="6" t="s">
        <v>538</v>
      </c>
      <c r="F19" t="s">
        <v>56</v>
      </c>
      <c r="G19" s="9">
        <v>10075.23</v>
      </c>
      <c r="H19" s="13">
        <v>93396</v>
      </c>
      <c r="I19" s="10" t="s">
        <v>58</v>
      </c>
      <c r="J19" t="s">
        <v>18</v>
      </c>
      <c r="K19" s="6">
        <v>2025</v>
      </c>
      <c r="L19" t="s">
        <v>38</v>
      </c>
      <c r="M19" s="12">
        <v>9.27</v>
      </c>
      <c r="N19" t="s">
        <v>59</v>
      </c>
    </row>
    <row r="20" spans="1:14" x14ac:dyDescent="0.25">
      <c r="A20" t="s">
        <v>390</v>
      </c>
      <c r="B20" t="s">
        <v>70</v>
      </c>
      <c r="C20" t="s">
        <v>63</v>
      </c>
      <c r="D20" t="s">
        <v>24</v>
      </c>
      <c r="E20" s="6" t="s">
        <v>472</v>
      </c>
      <c r="F20" t="s">
        <v>56</v>
      </c>
      <c r="G20" s="9">
        <v>5945.95</v>
      </c>
      <c r="H20" s="13">
        <v>80803</v>
      </c>
      <c r="I20" s="10" t="s">
        <v>58</v>
      </c>
      <c r="J20" t="s">
        <v>18</v>
      </c>
      <c r="K20" s="6">
        <v>2025</v>
      </c>
      <c r="L20" t="s">
        <v>33</v>
      </c>
      <c r="M20" s="12">
        <v>13.59</v>
      </c>
      <c r="N20" t="s">
        <v>59</v>
      </c>
    </row>
    <row r="21" spans="1:14" x14ac:dyDescent="0.25">
      <c r="A21" t="s">
        <v>603</v>
      </c>
      <c r="B21" t="s">
        <v>30</v>
      </c>
      <c r="C21" t="s">
        <v>63</v>
      </c>
      <c r="D21" t="s">
        <v>54</v>
      </c>
      <c r="E21" s="6" t="s">
        <v>604</v>
      </c>
      <c r="F21" t="s">
        <v>56</v>
      </c>
      <c r="G21" s="9">
        <v>40.590000000000003</v>
      </c>
      <c r="H21" s="13">
        <v>515</v>
      </c>
      <c r="I21" s="10" t="s">
        <v>58</v>
      </c>
      <c r="J21" t="s">
        <v>18</v>
      </c>
      <c r="K21" s="6">
        <v>2025</v>
      </c>
      <c r="L21" t="s">
        <v>20</v>
      </c>
      <c r="M21" s="12">
        <v>12.68</v>
      </c>
      <c r="N21" t="s">
        <v>59</v>
      </c>
    </row>
    <row r="22" spans="1:14" x14ac:dyDescent="0.25">
      <c r="A22" t="s">
        <v>149</v>
      </c>
      <c r="B22" t="s">
        <v>66</v>
      </c>
      <c r="C22" t="s">
        <v>53</v>
      </c>
      <c r="D22" t="s">
        <v>31</v>
      </c>
      <c r="E22" s="6" t="s">
        <v>150</v>
      </c>
      <c r="F22" t="s">
        <v>56</v>
      </c>
      <c r="G22" s="9">
        <v>435.37</v>
      </c>
      <c r="H22" s="13">
        <v>3571</v>
      </c>
      <c r="I22" s="10" t="s">
        <v>58</v>
      </c>
      <c r="J22" t="s">
        <v>57</v>
      </c>
      <c r="K22" s="6">
        <v>2026</v>
      </c>
      <c r="L22" t="s">
        <v>20</v>
      </c>
      <c r="M22" s="12">
        <v>8.1999999999999993</v>
      </c>
      <c r="N22" t="s">
        <v>59</v>
      </c>
    </row>
    <row r="23" spans="1:14" x14ac:dyDescent="0.25">
      <c r="A23" t="s">
        <v>739</v>
      </c>
      <c r="B23" t="s">
        <v>46</v>
      </c>
      <c r="C23" t="s">
        <v>63</v>
      </c>
      <c r="D23" t="s">
        <v>24</v>
      </c>
      <c r="E23" s="6" t="s">
        <v>150</v>
      </c>
      <c r="F23" t="s">
        <v>56</v>
      </c>
      <c r="G23" s="9">
        <v>11225.51</v>
      </c>
      <c r="H23" s="13">
        <v>133648</v>
      </c>
      <c r="I23" s="10" t="s">
        <v>58</v>
      </c>
      <c r="J23" t="s">
        <v>57</v>
      </c>
      <c r="K23" s="6">
        <v>2026</v>
      </c>
      <c r="L23" t="s">
        <v>38</v>
      </c>
      <c r="M23" s="12">
        <v>11.91</v>
      </c>
      <c r="N23" t="s">
        <v>59</v>
      </c>
    </row>
    <row r="24" spans="1:14" x14ac:dyDescent="0.25">
      <c r="A24" t="s">
        <v>471</v>
      </c>
      <c r="B24" t="s">
        <v>13</v>
      </c>
      <c r="C24" t="s">
        <v>41</v>
      </c>
      <c r="D24" t="s">
        <v>24</v>
      </c>
      <c r="E24" s="6" t="s">
        <v>472</v>
      </c>
      <c r="F24" t="s">
        <v>17</v>
      </c>
      <c r="G24" s="9">
        <v>6184.52</v>
      </c>
      <c r="H24" s="13">
        <v>79210</v>
      </c>
      <c r="I24" s="10" t="s">
        <v>19</v>
      </c>
      <c r="J24" t="s">
        <v>18</v>
      </c>
      <c r="K24" s="6">
        <v>2025</v>
      </c>
      <c r="L24" t="s">
        <v>33</v>
      </c>
      <c r="M24" s="12">
        <v>12.81</v>
      </c>
      <c r="N24" t="s">
        <v>21</v>
      </c>
    </row>
    <row r="25" spans="1:14" x14ac:dyDescent="0.25">
      <c r="A25" t="s">
        <v>476</v>
      </c>
      <c r="B25" t="s">
        <v>66</v>
      </c>
      <c r="C25" t="s">
        <v>63</v>
      </c>
      <c r="D25" t="s">
        <v>54</v>
      </c>
      <c r="E25" s="6" t="s">
        <v>472</v>
      </c>
      <c r="F25" t="s">
        <v>56</v>
      </c>
      <c r="G25" s="9">
        <v>177.41</v>
      </c>
      <c r="H25" s="13">
        <v>1525</v>
      </c>
      <c r="I25" s="10" t="s">
        <v>58</v>
      </c>
      <c r="J25" t="s">
        <v>18</v>
      </c>
      <c r="K25" s="6">
        <v>2025</v>
      </c>
      <c r="L25" t="s">
        <v>20</v>
      </c>
      <c r="M25" s="12">
        <v>8.6</v>
      </c>
      <c r="N25" t="s">
        <v>59</v>
      </c>
    </row>
    <row r="26" spans="1:14" x14ac:dyDescent="0.25">
      <c r="A26" t="s">
        <v>529</v>
      </c>
      <c r="B26" t="s">
        <v>40</v>
      </c>
      <c r="C26" t="s">
        <v>14</v>
      </c>
      <c r="D26" t="s">
        <v>24</v>
      </c>
      <c r="E26" s="6" t="s">
        <v>530</v>
      </c>
      <c r="F26" t="s">
        <v>56</v>
      </c>
      <c r="G26" s="9">
        <v>4148.93</v>
      </c>
      <c r="H26" s="13">
        <v>30184</v>
      </c>
      <c r="I26" s="10" t="s">
        <v>58</v>
      </c>
      <c r="J26" t="s">
        <v>18</v>
      </c>
      <c r="K26" s="6">
        <v>2025</v>
      </c>
      <c r="L26" t="s">
        <v>33</v>
      </c>
      <c r="M26" s="12">
        <v>7.28</v>
      </c>
      <c r="N26" t="s">
        <v>59</v>
      </c>
    </row>
    <row r="27" spans="1:14" x14ac:dyDescent="0.25">
      <c r="A27" t="s">
        <v>375</v>
      </c>
      <c r="B27" t="s">
        <v>70</v>
      </c>
      <c r="C27" t="s">
        <v>14</v>
      </c>
      <c r="D27" t="s">
        <v>24</v>
      </c>
      <c r="E27" s="6" t="s">
        <v>376</v>
      </c>
      <c r="F27" t="s">
        <v>17</v>
      </c>
      <c r="G27" s="9">
        <v>11447.08</v>
      </c>
      <c r="H27" s="13">
        <v>138563</v>
      </c>
      <c r="I27" s="10" t="s">
        <v>19</v>
      </c>
      <c r="J27" t="s">
        <v>57</v>
      </c>
      <c r="K27" s="6">
        <v>2024</v>
      </c>
      <c r="L27" t="s">
        <v>38</v>
      </c>
      <c r="M27" s="12">
        <v>12.1</v>
      </c>
      <c r="N27" t="s">
        <v>21</v>
      </c>
    </row>
    <row r="28" spans="1:14" x14ac:dyDescent="0.25">
      <c r="A28" t="s">
        <v>587</v>
      </c>
      <c r="B28" t="s">
        <v>30</v>
      </c>
      <c r="C28" t="s">
        <v>14</v>
      </c>
      <c r="D28" t="s">
        <v>24</v>
      </c>
      <c r="E28" s="6" t="s">
        <v>376</v>
      </c>
      <c r="F28" t="s">
        <v>26</v>
      </c>
      <c r="G28" s="9">
        <v>10947.8</v>
      </c>
      <c r="H28" s="13">
        <v>160027</v>
      </c>
      <c r="I28" s="10" t="s">
        <v>27</v>
      </c>
      <c r="J28" t="s">
        <v>18</v>
      </c>
      <c r="K28" s="6">
        <v>2024</v>
      </c>
      <c r="L28" t="s">
        <v>38</v>
      </c>
      <c r="M28" s="12">
        <v>14.62</v>
      </c>
      <c r="N28" t="s">
        <v>28</v>
      </c>
    </row>
    <row r="29" spans="1:14" x14ac:dyDescent="0.25">
      <c r="A29" t="s">
        <v>34</v>
      </c>
      <c r="B29" t="s">
        <v>35</v>
      </c>
      <c r="C29" t="s">
        <v>36</v>
      </c>
      <c r="D29" t="s">
        <v>24</v>
      </c>
      <c r="E29" s="6" t="s">
        <v>37</v>
      </c>
      <c r="F29" t="s">
        <v>26</v>
      </c>
      <c r="G29" s="9">
        <v>8446.73</v>
      </c>
      <c r="H29" s="13">
        <v>67726</v>
      </c>
      <c r="I29" s="10" t="s">
        <v>27</v>
      </c>
      <c r="J29" t="s">
        <v>18</v>
      </c>
      <c r="K29" s="6">
        <v>2026</v>
      </c>
      <c r="L29" t="s">
        <v>38</v>
      </c>
      <c r="M29" s="12">
        <v>8.02</v>
      </c>
      <c r="N29" t="s">
        <v>28</v>
      </c>
    </row>
    <row r="30" spans="1:14" x14ac:dyDescent="0.25">
      <c r="A30" t="s">
        <v>94</v>
      </c>
      <c r="B30" t="s">
        <v>35</v>
      </c>
      <c r="C30" t="s">
        <v>95</v>
      </c>
      <c r="D30" t="s">
        <v>15</v>
      </c>
      <c r="E30" s="6" t="s">
        <v>37</v>
      </c>
      <c r="F30" t="s">
        <v>17</v>
      </c>
      <c r="G30" s="9">
        <v>156.47999999999999</v>
      </c>
      <c r="H30" s="13">
        <v>1390</v>
      </c>
      <c r="I30" s="10" t="s">
        <v>19</v>
      </c>
      <c r="J30" t="s">
        <v>18</v>
      </c>
      <c r="K30" s="6">
        <v>2026</v>
      </c>
      <c r="L30" t="s">
        <v>20</v>
      </c>
      <c r="M30" s="12">
        <v>8.8800000000000008</v>
      </c>
      <c r="N30" t="s">
        <v>21</v>
      </c>
    </row>
    <row r="31" spans="1:14" x14ac:dyDescent="0.25">
      <c r="A31" t="s">
        <v>269</v>
      </c>
      <c r="B31" t="s">
        <v>35</v>
      </c>
      <c r="C31" t="s">
        <v>63</v>
      </c>
      <c r="D31" t="s">
        <v>24</v>
      </c>
      <c r="E31" s="6" t="s">
        <v>37</v>
      </c>
      <c r="F31" t="s">
        <v>56</v>
      </c>
      <c r="G31" s="9">
        <v>4148.93</v>
      </c>
      <c r="H31" s="13">
        <v>41763</v>
      </c>
      <c r="I31" s="10" t="s">
        <v>58</v>
      </c>
      <c r="J31" t="s">
        <v>18</v>
      </c>
      <c r="K31" s="6">
        <v>2026</v>
      </c>
      <c r="L31" t="s">
        <v>33</v>
      </c>
      <c r="M31" s="12">
        <v>10.07</v>
      </c>
      <c r="N31" t="s">
        <v>59</v>
      </c>
    </row>
    <row r="32" spans="1:14" x14ac:dyDescent="0.25">
      <c r="A32" t="s">
        <v>754</v>
      </c>
      <c r="B32" t="s">
        <v>70</v>
      </c>
      <c r="C32" t="s">
        <v>63</v>
      </c>
      <c r="D32" t="s">
        <v>24</v>
      </c>
      <c r="E32" s="6" t="s">
        <v>37</v>
      </c>
      <c r="F32" t="s">
        <v>26</v>
      </c>
      <c r="G32" s="9">
        <v>4167.34</v>
      </c>
      <c r="H32" s="13">
        <v>44303</v>
      </c>
      <c r="I32" s="10" t="s">
        <v>27</v>
      </c>
      <c r="J32" t="s">
        <v>57</v>
      </c>
      <c r="K32" s="6">
        <v>2026</v>
      </c>
      <c r="L32" t="s">
        <v>33</v>
      </c>
      <c r="M32" s="12">
        <v>10.63</v>
      </c>
      <c r="N32" t="s">
        <v>28</v>
      </c>
    </row>
    <row r="33" spans="1:14" x14ac:dyDescent="0.25">
      <c r="A33" t="s">
        <v>298</v>
      </c>
      <c r="B33" t="s">
        <v>70</v>
      </c>
      <c r="C33" t="s">
        <v>53</v>
      </c>
      <c r="D33" t="s">
        <v>24</v>
      </c>
      <c r="E33" s="6" t="s">
        <v>299</v>
      </c>
      <c r="F33" t="s">
        <v>48</v>
      </c>
      <c r="G33" s="9">
        <v>10769.81</v>
      </c>
      <c r="H33" s="13">
        <v>114163</v>
      </c>
      <c r="I33" s="10" t="s">
        <v>27</v>
      </c>
      <c r="J33" t="s">
        <v>18</v>
      </c>
      <c r="K33" s="6">
        <v>2025</v>
      </c>
      <c r="L33" t="s">
        <v>38</v>
      </c>
      <c r="M33" s="12">
        <v>10.6</v>
      </c>
      <c r="N33" t="s">
        <v>49</v>
      </c>
    </row>
    <row r="34" spans="1:14" x14ac:dyDescent="0.25">
      <c r="A34" t="s">
        <v>487</v>
      </c>
      <c r="B34" t="s">
        <v>30</v>
      </c>
      <c r="C34" t="s">
        <v>14</v>
      </c>
      <c r="D34" t="s">
        <v>24</v>
      </c>
      <c r="E34" s="6" t="s">
        <v>488</v>
      </c>
      <c r="F34" t="s">
        <v>48</v>
      </c>
      <c r="G34" s="9">
        <v>3275.59</v>
      </c>
      <c r="H34" s="13">
        <v>41568</v>
      </c>
      <c r="I34" s="10" t="s">
        <v>27</v>
      </c>
      <c r="J34" t="s">
        <v>18</v>
      </c>
      <c r="K34" s="6">
        <v>2024</v>
      </c>
      <c r="L34" t="s">
        <v>33</v>
      </c>
      <c r="M34" s="12">
        <v>12.69</v>
      </c>
      <c r="N34" t="s">
        <v>49</v>
      </c>
    </row>
    <row r="35" spans="1:14" x14ac:dyDescent="0.25">
      <c r="A35" t="s">
        <v>223</v>
      </c>
      <c r="B35" t="s">
        <v>30</v>
      </c>
      <c r="C35" t="s">
        <v>14</v>
      </c>
      <c r="D35" t="s">
        <v>15</v>
      </c>
      <c r="E35" s="6" t="s">
        <v>224</v>
      </c>
      <c r="F35" t="s">
        <v>17</v>
      </c>
      <c r="G35" s="9">
        <v>190.4</v>
      </c>
      <c r="H35" s="13">
        <v>2633</v>
      </c>
      <c r="I35" s="10" t="s">
        <v>19</v>
      </c>
      <c r="J35" t="s">
        <v>57</v>
      </c>
      <c r="K35" s="6">
        <v>2024</v>
      </c>
      <c r="L35" t="s">
        <v>20</v>
      </c>
      <c r="M35" s="12">
        <v>13.83</v>
      </c>
      <c r="N35" t="s">
        <v>21</v>
      </c>
    </row>
    <row r="36" spans="1:14" x14ac:dyDescent="0.25">
      <c r="A36" t="s">
        <v>664</v>
      </c>
      <c r="B36" t="s">
        <v>40</v>
      </c>
      <c r="C36" t="s">
        <v>14</v>
      </c>
      <c r="D36" t="s">
        <v>54</v>
      </c>
      <c r="E36" s="6" t="s">
        <v>665</v>
      </c>
      <c r="F36" t="s">
        <v>48</v>
      </c>
      <c r="G36" s="9">
        <v>382.38</v>
      </c>
      <c r="H36" s="13">
        <v>4301</v>
      </c>
      <c r="I36" s="10" t="s">
        <v>27</v>
      </c>
      <c r="J36" t="s">
        <v>18</v>
      </c>
      <c r="K36" s="6">
        <v>2025</v>
      </c>
      <c r="L36" t="s">
        <v>20</v>
      </c>
      <c r="M36" s="12">
        <v>11.25</v>
      </c>
      <c r="N36" t="s">
        <v>49</v>
      </c>
    </row>
    <row r="37" spans="1:14" x14ac:dyDescent="0.25">
      <c r="A37" t="s">
        <v>259</v>
      </c>
      <c r="B37" t="s">
        <v>13</v>
      </c>
      <c r="C37" t="s">
        <v>41</v>
      </c>
      <c r="D37" t="s">
        <v>24</v>
      </c>
      <c r="E37" s="6" t="s">
        <v>260</v>
      </c>
      <c r="F37" t="s">
        <v>48</v>
      </c>
      <c r="G37" s="9">
        <v>5842.32</v>
      </c>
      <c r="H37" s="13">
        <v>82583</v>
      </c>
      <c r="I37" s="10" t="s">
        <v>27</v>
      </c>
      <c r="J37" t="s">
        <v>57</v>
      </c>
      <c r="K37" s="6">
        <v>2024</v>
      </c>
      <c r="L37" t="s">
        <v>33</v>
      </c>
      <c r="M37" s="12">
        <v>14.14</v>
      </c>
      <c r="N37" t="s">
        <v>49</v>
      </c>
    </row>
    <row r="38" spans="1:14" x14ac:dyDescent="0.25">
      <c r="A38" t="s">
        <v>401</v>
      </c>
      <c r="B38" t="s">
        <v>46</v>
      </c>
      <c r="C38" t="s">
        <v>14</v>
      </c>
      <c r="D38" t="s">
        <v>24</v>
      </c>
      <c r="E38" s="6" t="s">
        <v>260</v>
      </c>
      <c r="F38" t="s">
        <v>17</v>
      </c>
      <c r="G38" s="9">
        <v>8761.11</v>
      </c>
      <c r="H38" s="13">
        <v>86363</v>
      </c>
      <c r="I38" s="10" t="s">
        <v>19</v>
      </c>
      <c r="J38" t="s">
        <v>57</v>
      </c>
      <c r="K38" s="6">
        <v>2024</v>
      </c>
      <c r="L38" t="s">
        <v>38</v>
      </c>
      <c r="M38" s="12">
        <v>9.86</v>
      </c>
      <c r="N38" t="s">
        <v>21</v>
      </c>
    </row>
    <row r="39" spans="1:14" x14ac:dyDescent="0.25">
      <c r="A39" t="s">
        <v>563</v>
      </c>
      <c r="B39" t="s">
        <v>40</v>
      </c>
      <c r="C39" t="s">
        <v>63</v>
      </c>
      <c r="D39" t="s">
        <v>31</v>
      </c>
      <c r="E39" s="6" t="s">
        <v>260</v>
      </c>
      <c r="F39" t="s">
        <v>26</v>
      </c>
      <c r="G39" s="9">
        <v>2599</v>
      </c>
      <c r="H39" s="13">
        <v>22276</v>
      </c>
      <c r="I39" s="10" t="s">
        <v>27</v>
      </c>
      <c r="J39" t="s">
        <v>57</v>
      </c>
      <c r="K39" s="6">
        <v>2024</v>
      </c>
      <c r="L39" t="s">
        <v>33</v>
      </c>
      <c r="M39" s="12">
        <v>8.57</v>
      </c>
      <c r="N39" t="s">
        <v>28</v>
      </c>
    </row>
    <row r="40" spans="1:14" x14ac:dyDescent="0.25">
      <c r="A40" t="s">
        <v>648</v>
      </c>
      <c r="B40" t="s">
        <v>70</v>
      </c>
      <c r="C40" t="s">
        <v>36</v>
      </c>
      <c r="D40" t="s">
        <v>24</v>
      </c>
      <c r="E40" s="6" t="s">
        <v>260</v>
      </c>
      <c r="F40" t="s">
        <v>26</v>
      </c>
      <c r="G40" s="9">
        <v>6709.79</v>
      </c>
      <c r="H40" s="13">
        <v>70169</v>
      </c>
      <c r="I40" s="10" t="s">
        <v>27</v>
      </c>
      <c r="J40" t="s">
        <v>18</v>
      </c>
      <c r="K40" s="6">
        <v>2024</v>
      </c>
      <c r="L40" t="s">
        <v>33</v>
      </c>
      <c r="M40" s="12">
        <v>10.46</v>
      </c>
      <c r="N40" t="s">
        <v>28</v>
      </c>
    </row>
    <row r="41" spans="1:14" x14ac:dyDescent="0.25">
      <c r="A41" t="s">
        <v>674</v>
      </c>
      <c r="B41" t="s">
        <v>40</v>
      </c>
      <c r="C41" t="s">
        <v>36</v>
      </c>
      <c r="D41" t="s">
        <v>24</v>
      </c>
      <c r="E41" s="6" t="s">
        <v>260</v>
      </c>
      <c r="F41" t="s">
        <v>17</v>
      </c>
      <c r="G41" s="9">
        <v>3698.8</v>
      </c>
      <c r="H41" s="13">
        <v>37959</v>
      </c>
      <c r="I41" s="10" t="s">
        <v>19</v>
      </c>
      <c r="J41" t="s">
        <v>57</v>
      </c>
      <c r="K41" s="6">
        <v>2024</v>
      </c>
      <c r="L41" t="s">
        <v>33</v>
      </c>
      <c r="M41" s="12">
        <v>10.26</v>
      </c>
      <c r="N41" t="s">
        <v>21</v>
      </c>
    </row>
    <row r="42" spans="1:14" x14ac:dyDescent="0.25">
      <c r="A42" t="s">
        <v>678</v>
      </c>
      <c r="B42" t="s">
        <v>40</v>
      </c>
      <c r="C42" t="s">
        <v>53</v>
      </c>
      <c r="D42" t="s">
        <v>54</v>
      </c>
      <c r="E42" s="6" t="s">
        <v>260</v>
      </c>
      <c r="F42" t="s">
        <v>48</v>
      </c>
      <c r="G42" s="9">
        <v>407.12</v>
      </c>
      <c r="H42" s="13">
        <v>4510</v>
      </c>
      <c r="I42" s="10" t="s">
        <v>27</v>
      </c>
      <c r="J42" t="s">
        <v>18</v>
      </c>
      <c r="K42" s="6">
        <v>2024</v>
      </c>
      <c r="L42" t="s">
        <v>20</v>
      </c>
      <c r="M42" s="12">
        <v>11.08</v>
      </c>
      <c r="N42" t="s">
        <v>49</v>
      </c>
    </row>
    <row r="43" spans="1:14" x14ac:dyDescent="0.25">
      <c r="A43" t="s">
        <v>617</v>
      </c>
      <c r="B43" t="s">
        <v>23</v>
      </c>
      <c r="C43" t="s">
        <v>14</v>
      </c>
      <c r="D43" t="s">
        <v>24</v>
      </c>
      <c r="E43" s="6" t="s">
        <v>618</v>
      </c>
      <c r="F43" t="s">
        <v>56</v>
      </c>
      <c r="G43" s="9">
        <v>1318.57</v>
      </c>
      <c r="H43" s="13">
        <v>13221</v>
      </c>
      <c r="I43" s="10" t="s">
        <v>58</v>
      </c>
      <c r="J43" t="s">
        <v>18</v>
      </c>
      <c r="K43" s="6">
        <v>2024</v>
      </c>
      <c r="L43" t="s">
        <v>20</v>
      </c>
      <c r="M43" s="12">
        <v>10.029999999999999</v>
      </c>
      <c r="N43" t="s">
        <v>59</v>
      </c>
    </row>
    <row r="44" spans="1:14" x14ac:dyDescent="0.25">
      <c r="A44" t="s">
        <v>84</v>
      </c>
      <c r="B44" t="s">
        <v>13</v>
      </c>
      <c r="C44" t="s">
        <v>14</v>
      </c>
      <c r="D44" t="s">
        <v>24</v>
      </c>
      <c r="E44" s="6" t="s">
        <v>85</v>
      </c>
      <c r="F44" t="s">
        <v>56</v>
      </c>
      <c r="G44" s="9">
        <v>2368.77</v>
      </c>
      <c r="H44" s="13">
        <v>25272</v>
      </c>
      <c r="I44" s="10" t="s">
        <v>58</v>
      </c>
      <c r="J44" t="s">
        <v>18</v>
      </c>
      <c r="K44" s="6">
        <v>2025</v>
      </c>
      <c r="L44" t="s">
        <v>33</v>
      </c>
      <c r="M44" s="12">
        <v>10.67</v>
      </c>
      <c r="N44" t="s">
        <v>59</v>
      </c>
    </row>
    <row r="45" spans="1:14" x14ac:dyDescent="0.25">
      <c r="A45" t="s">
        <v>264</v>
      </c>
      <c r="B45" t="s">
        <v>13</v>
      </c>
      <c r="C45" t="s">
        <v>63</v>
      </c>
      <c r="D45" t="s">
        <v>31</v>
      </c>
      <c r="E45" s="6" t="s">
        <v>85</v>
      </c>
      <c r="F45" t="s">
        <v>17</v>
      </c>
      <c r="G45" s="9">
        <v>486.68</v>
      </c>
      <c r="H45" s="13">
        <v>4454</v>
      </c>
      <c r="I45" s="10" t="s">
        <v>19</v>
      </c>
      <c r="J45" t="s">
        <v>18</v>
      </c>
      <c r="K45" s="6">
        <v>2025</v>
      </c>
      <c r="L45" t="s">
        <v>20</v>
      </c>
      <c r="M45" s="12">
        <v>9.15</v>
      </c>
      <c r="N45" t="s">
        <v>21</v>
      </c>
    </row>
    <row r="46" spans="1:14" x14ac:dyDescent="0.25">
      <c r="A46" t="s">
        <v>642</v>
      </c>
      <c r="B46" t="s">
        <v>23</v>
      </c>
      <c r="C46" t="s">
        <v>41</v>
      </c>
      <c r="D46" t="s">
        <v>24</v>
      </c>
      <c r="E46" s="6" t="s">
        <v>643</v>
      </c>
      <c r="F46" t="s">
        <v>56</v>
      </c>
      <c r="G46" s="9">
        <v>5550.26</v>
      </c>
      <c r="H46" s="13">
        <v>47370</v>
      </c>
      <c r="I46" s="10" t="s">
        <v>58</v>
      </c>
      <c r="J46" t="s">
        <v>57</v>
      </c>
      <c r="K46" s="6">
        <v>2024</v>
      </c>
      <c r="L46" t="s">
        <v>33</v>
      </c>
      <c r="M46" s="12">
        <v>8.5299999999999994</v>
      </c>
      <c r="N46" t="s">
        <v>59</v>
      </c>
    </row>
    <row r="47" spans="1:14" x14ac:dyDescent="0.25">
      <c r="A47" t="s">
        <v>709</v>
      </c>
      <c r="B47" t="s">
        <v>30</v>
      </c>
      <c r="C47" t="s">
        <v>41</v>
      </c>
      <c r="D47" t="s">
        <v>24</v>
      </c>
      <c r="E47" s="6" t="s">
        <v>710</v>
      </c>
      <c r="F47" t="s">
        <v>26</v>
      </c>
      <c r="G47" s="9">
        <v>6462.05</v>
      </c>
      <c r="H47" s="13">
        <v>79063</v>
      </c>
      <c r="I47" s="10" t="s">
        <v>27</v>
      </c>
      <c r="J47" t="s">
        <v>18</v>
      </c>
      <c r="K47" s="6">
        <v>2024</v>
      </c>
      <c r="L47" t="s">
        <v>33</v>
      </c>
      <c r="M47" s="12">
        <v>12.24</v>
      </c>
      <c r="N47" t="s">
        <v>28</v>
      </c>
    </row>
    <row r="48" spans="1:14" x14ac:dyDescent="0.25">
      <c r="A48" t="s">
        <v>755</v>
      </c>
      <c r="B48" t="s">
        <v>35</v>
      </c>
      <c r="C48" t="s">
        <v>63</v>
      </c>
      <c r="D48" t="s">
        <v>24</v>
      </c>
      <c r="E48" s="6" t="s">
        <v>756</v>
      </c>
      <c r="F48" t="s">
        <v>48</v>
      </c>
      <c r="G48" s="9">
        <v>2069.85</v>
      </c>
      <c r="H48" s="13">
        <v>26064</v>
      </c>
      <c r="I48" s="10" t="s">
        <v>27</v>
      </c>
      <c r="J48" t="s">
        <v>18</v>
      </c>
      <c r="K48" s="6">
        <v>2025</v>
      </c>
      <c r="L48" t="s">
        <v>33</v>
      </c>
      <c r="M48" s="12">
        <v>12.59</v>
      </c>
      <c r="N48" t="s">
        <v>49</v>
      </c>
    </row>
    <row r="49" spans="1:14" x14ac:dyDescent="0.25">
      <c r="A49" t="s">
        <v>380</v>
      </c>
      <c r="B49" t="s">
        <v>46</v>
      </c>
      <c r="C49" t="s">
        <v>53</v>
      </c>
      <c r="D49" t="s">
        <v>24</v>
      </c>
      <c r="E49" s="6" t="s">
        <v>381</v>
      </c>
      <c r="F49" t="s">
        <v>17</v>
      </c>
      <c r="G49" s="9">
        <v>962.97</v>
      </c>
      <c r="H49" s="13">
        <v>13020</v>
      </c>
      <c r="I49" s="10" t="s">
        <v>19</v>
      </c>
      <c r="J49" t="s">
        <v>57</v>
      </c>
      <c r="K49" s="6">
        <v>2024</v>
      </c>
      <c r="L49" t="s">
        <v>20</v>
      </c>
      <c r="M49" s="12">
        <v>13.52</v>
      </c>
      <c r="N49" t="s">
        <v>21</v>
      </c>
    </row>
    <row r="50" spans="1:14" x14ac:dyDescent="0.25">
      <c r="A50" t="s">
        <v>745</v>
      </c>
      <c r="B50" t="s">
        <v>13</v>
      </c>
      <c r="C50" t="s">
        <v>36</v>
      </c>
      <c r="D50" t="s">
        <v>24</v>
      </c>
      <c r="E50" s="6" t="s">
        <v>746</v>
      </c>
      <c r="F50" t="s">
        <v>56</v>
      </c>
      <c r="G50" s="9">
        <v>5930.53</v>
      </c>
      <c r="H50" s="13">
        <v>72465</v>
      </c>
      <c r="I50" s="10" t="s">
        <v>58</v>
      </c>
      <c r="J50" t="s">
        <v>18</v>
      </c>
      <c r="K50" s="6">
        <v>2026</v>
      </c>
      <c r="L50" t="s">
        <v>33</v>
      </c>
      <c r="M50" s="12">
        <v>12.22</v>
      </c>
      <c r="N50" t="s">
        <v>59</v>
      </c>
    </row>
    <row r="51" spans="1:14" x14ac:dyDescent="0.25">
      <c r="A51" t="s">
        <v>597</v>
      </c>
      <c r="B51" t="s">
        <v>40</v>
      </c>
      <c r="C51" t="s">
        <v>53</v>
      </c>
      <c r="D51" t="s">
        <v>31</v>
      </c>
      <c r="E51" s="6" t="s">
        <v>598</v>
      </c>
      <c r="F51" t="s">
        <v>26</v>
      </c>
      <c r="G51" s="9">
        <v>387.78</v>
      </c>
      <c r="H51" s="13">
        <v>3453</v>
      </c>
      <c r="I51" s="10" t="s">
        <v>27</v>
      </c>
      <c r="J51" t="s">
        <v>18</v>
      </c>
      <c r="K51" s="6">
        <v>2024</v>
      </c>
      <c r="L51" t="s">
        <v>20</v>
      </c>
      <c r="M51" s="12">
        <v>8.9</v>
      </c>
      <c r="N51" t="s">
        <v>28</v>
      </c>
    </row>
    <row r="52" spans="1:14" x14ac:dyDescent="0.25">
      <c r="A52" t="s">
        <v>607</v>
      </c>
      <c r="B52" t="s">
        <v>40</v>
      </c>
      <c r="C52" t="s">
        <v>14</v>
      </c>
      <c r="D52" t="s">
        <v>24</v>
      </c>
      <c r="E52" s="6" t="s">
        <v>598</v>
      </c>
      <c r="F52" t="s">
        <v>17</v>
      </c>
      <c r="G52" s="9">
        <v>2300.13</v>
      </c>
      <c r="H52" s="13">
        <v>30349</v>
      </c>
      <c r="I52" s="10" t="s">
        <v>19</v>
      </c>
      <c r="J52" t="s">
        <v>57</v>
      </c>
      <c r="K52" s="6">
        <v>2024</v>
      </c>
      <c r="L52" t="s">
        <v>33</v>
      </c>
      <c r="M52" s="12">
        <v>13.19</v>
      </c>
      <c r="N52" t="s">
        <v>21</v>
      </c>
    </row>
    <row r="53" spans="1:14" x14ac:dyDescent="0.25">
      <c r="A53" t="s">
        <v>62</v>
      </c>
      <c r="B53" t="s">
        <v>23</v>
      </c>
      <c r="C53" t="s">
        <v>63</v>
      </c>
      <c r="D53" t="s">
        <v>24</v>
      </c>
      <c r="E53" s="6" t="s">
        <v>64</v>
      </c>
      <c r="F53" t="s">
        <v>26</v>
      </c>
      <c r="G53" s="9">
        <v>11230.51</v>
      </c>
      <c r="H53" s="13">
        <v>115978</v>
      </c>
      <c r="I53" s="10" t="s">
        <v>27</v>
      </c>
      <c r="J53" t="s">
        <v>57</v>
      </c>
      <c r="K53" s="6">
        <v>2026</v>
      </c>
      <c r="L53" t="s">
        <v>38</v>
      </c>
      <c r="M53" s="12">
        <v>10.33</v>
      </c>
      <c r="N53" t="s">
        <v>28</v>
      </c>
    </row>
    <row r="54" spans="1:14" x14ac:dyDescent="0.25">
      <c r="A54" t="s">
        <v>82</v>
      </c>
      <c r="B54" t="s">
        <v>40</v>
      </c>
      <c r="C54" t="s">
        <v>63</v>
      </c>
      <c r="D54" t="s">
        <v>31</v>
      </c>
      <c r="E54" s="6" t="s">
        <v>83</v>
      </c>
      <c r="F54" t="s">
        <v>48</v>
      </c>
      <c r="G54" s="9">
        <v>786.54</v>
      </c>
      <c r="H54" s="13">
        <v>11321</v>
      </c>
      <c r="I54" s="10" t="s">
        <v>27</v>
      </c>
      <c r="J54" t="s">
        <v>57</v>
      </c>
      <c r="K54" s="6">
        <v>2024</v>
      </c>
      <c r="L54" t="s">
        <v>20</v>
      </c>
      <c r="M54" s="12">
        <v>14.39</v>
      </c>
      <c r="N54" t="s">
        <v>49</v>
      </c>
    </row>
    <row r="55" spans="1:14" x14ac:dyDescent="0.25">
      <c r="A55" t="s">
        <v>293</v>
      </c>
      <c r="B55" t="s">
        <v>35</v>
      </c>
      <c r="C55" t="s">
        <v>63</v>
      </c>
      <c r="D55" t="s">
        <v>54</v>
      </c>
      <c r="E55" s="6" t="s">
        <v>294</v>
      </c>
      <c r="F55" t="s">
        <v>17</v>
      </c>
      <c r="G55" s="9">
        <v>219.94</v>
      </c>
      <c r="H55" s="13">
        <v>2913</v>
      </c>
      <c r="I55" s="10" t="s">
        <v>19</v>
      </c>
      <c r="J55" t="s">
        <v>57</v>
      </c>
      <c r="K55" s="6">
        <v>2025</v>
      </c>
      <c r="L55" t="s">
        <v>20</v>
      </c>
      <c r="M55" s="12">
        <v>13.24</v>
      </c>
      <c r="N55" t="s">
        <v>21</v>
      </c>
    </row>
    <row r="56" spans="1:14" x14ac:dyDescent="0.25">
      <c r="A56" t="s">
        <v>312</v>
      </c>
      <c r="B56" t="s">
        <v>40</v>
      </c>
      <c r="C56" t="s">
        <v>36</v>
      </c>
      <c r="D56" t="s">
        <v>24</v>
      </c>
      <c r="E56" s="6" t="s">
        <v>294</v>
      </c>
      <c r="F56" t="s">
        <v>48</v>
      </c>
      <c r="G56" s="9">
        <v>5858.13</v>
      </c>
      <c r="H56" s="13">
        <v>72921</v>
      </c>
      <c r="I56" s="10" t="s">
        <v>27</v>
      </c>
      <c r="J56" t="s">
        <v>18</v>
      </c>
      <c r="K56" s="6">
        <v>2025</v>
      </c>
      <c r="L56" t="s">
        <v>33</v>
      </c>
      <c r="M56" s="12">
        <v>12.45</v>
      </c>
      <c r="N56" t="s">
        <v>49</v>
      </c>
    </row>
    <row r="57" spans="1:14" x14ac:dyDescent="0.25">
      <c r="A57" t="s">
        <v>363</v>
      </c>
      <c r="B57" t="s">
        <v>70</v>
      </c>
      <c r="C57" t="s">
        <v>53</v>
      </c>
      <c r="D57" t="s">
        <v>24</v>
      </c>
      <c r="E57" s="6" t="s">
        <v>364</v>
      </c>
      <c r="F57" t="s">
        <v>17</v>
      </c>
      <c r="G57" s="9">
        <v>4381.26</v>
      </c>
      <c r="H57" s="13">
        <v>54663</v>
      </c>
      <c r="I57" s="10" t="s">
        <v>19</v>
      </c>
      <c r="J57" t="s">
        <v>57</v>
      </c>
      <c r="K57" s="6">
        <v>2024</v>
      </c>
      <c r="L57" t="s">
        <v>33</v>
      </c>
      <c r="M57" s="12">
        <v>12.48</v>
      </c>
      <c r="N57" t="s">
        <v>21</v>
      </c>
    </row>
    <row r="58" spans="1:14" x14ac:dyDescent="0.25">
      <c r="A58" t="s">
        <v>89</v>
      </c>
      <c r="B58" t="s">
        <v>35</v>
      </c>
      <c r="C58" t="s">
        <v>63</v>
      </c>
      <c r="D58" t="s">
        <v>54</v>
      </c>
      <c r="E58" s="6" t="s">
        <v>90</v>
      </c>
      <c r="F58" t="s">
        <v>48</v>
      </c>
      <c r="G58" s="9">
        <v>206.15</v>
      </c>
      <c r="H58" s="13">
        <v>2590</v>
      </c>
      <c r="I58" s="10" t="s">
        <v>27</v>
      </c>
      <c r="J58" t="s">
        <v>57</v>
      </c>
      <c r="K58" s="6">
        <v>2025</v>
      </c>
      <c r="L58" t="s">
        <v>20</v>
      </c>
      <c r="M58" s="12">
        <v>12.56</v>
      </c>
      <c r="N58" t="s">
        <v>49</v>
      </c>
    </row>
    <row r="59" spans="1:14" x14ac:dyDescent="0.25">
      <c r="A59" t="s">
        <v>421</v>
      </c>
      <c r="B59" t="s">
        <v>23</v>
      </c>
      <c r="C59" t="s">
        <v>63</v>
      </c>
      <c r="D59" t="s">
        <v>24</v>
      </c>
      <c r="E59" s="6" t="s">
        <v>90</v>
      </c>
      <c r="F59" t="s">
        <v>17</v>
      </c>
      <c r="G59" s="9">
        <v>8517.7199999999993</v>
      </c>
      <c r="H59" s="13">
        <v>86126</v>
      </c>
      <c r="I59" s="10" t="s">
        <v>19</v>
      </c>
      <c r="J59" t="s">
        <v>18</v>
      </c>
      <c r="K59" s="6">
        <v>2025</v>
      </c>
      <c r="L59" t="s">
        <v>38</v>
      </c>
      <c r="M59" s="12">
        <v>10.11</v>
      </c>
      <c r="N59" t="s">
        <v>21</v>
      </c>
    </row>
    <row r="60" spans="1:14" x14ac:dyDescent="0.25">
      <c r="A60" t="s">
        <v>147</v>
      </c>
      <c r="B60" t="s">
        <v>40</v>
      </c>
      <c r="C60" t="s">
        <v>53</v>
      </c>
      <c r="D60" t="s">
        <v>31</v>
      </c>
      <c r="E60" s="6" t="s">
        <v>148</v>
      </c>
      <c r="F60" t="s">
        <v>26</v>
      </c>
      <c r="G60" s="9">
        <v>4167.34</v>
      </c>
      <c r="H60" s="13">
        <v>29827</v>
      </c>
      <c r="I60" s="10" t="s">
        <v>27</v>
      </c>
      <c r="J60" t="s">
        <v>57</v>
      </c>
      <c r="K60" s="6">
        <v>2024</v>
      </c>
      <c r="L60" t="s">
        <v>33</v>
      </c>
      <c r="M60" s="12">
        <v>7.16</v>
      </c>
      <c r="N60" t="s">
        <v>28</v>
      </c>
    </row>
    <row r="61" spans="1:14" x14ac:dyDescent="0.25">
      <c r="A61" t="s">
        <v>327</v>
      </c>
      <c r="B61" t="s">
        <v>66</v>
      </c>
      <c r="C61" t="s">
        <v>14</v>
      </c>
      <c r="D61" t="s">
        <v>24</v>
      </c>
      <c r="E61" s="6" t="s">
        <v>148</v>
      </c>
      <c r="F61" t="s">
        <v>48</v>
      </c>
      <c r="G61" s="9">
        <v>3934.05</v>
      </c>
      <c r="H61" s="13">
        <v>42175</v>
      </c>
      <c r="I61" s="10" t="s">
        <v>27</v>
      </c>
      <c r="J61" t="s">
        <v>18</v>
      </c>
      <c r="K61" s="6">
        <v>2024</v>
      </c>
      <c r="L61" t="s">
        <v>33</v>
      </c>
      <c r="M61" s="12">
        <v>10.72</v>
      </c>
      <c r="N61" t="s">
        <v>49</v>
      </c>
    </row>
    <row r="62" spans="1:14" x14ac:dyDescent="0.25">
      <c r="A62" t="s">
        <v>130</v>
      </c>
      <c r="B62" t="s">
        <v>40</v>
      </c>
      <c r="C62" t="s">
        <v>36</v>
      </c>
      <c r="D62" t="s">
        <v>31</v>
      </c>
      <c r="E62" s="6" t="s">
        <v>131</v>
      </c>
      <c r="F62" t="s">
        <v>56</v>
      </c>
      <c r="G62" s="9">
        <v>180.04</v>
      </c>
      <c r="H62" s="13">
        <v>1736</v>
      </c>
      <c r="I62" s="10" t="s">
        <v>58</v>
      </c>
      <c r="J62" t="s">
        <v>18</v>
      </c>
      <c r="K62" s="6">
        <v>2024</v>
      </c>
      <c r="L62" t="s">
        <v>20</v>
      </c>
      <c r="M62" s="12">
        <v>9.64</v>
      </c>
      <c r="N62" t="s">
        <v>59</v>
      </c>
    </row>
    <row r="63" spans="1:14" x14ac:dyDescent="0.25">
      <c r="A63" t="s">
        <v>708</v>
      </c>
      <c r="B63" t="s">
        <v>30</v>
      </c>
      <c r="C63" t="s">
        <v>63</v>
      </c>
      <c r="D63" t="s">
        <v>15</v>
      </c>
      <c r="E63" s="6" t="s">
        <v>131</v>
      </c>
      <c r="F63" t="s">
        <v>48</v>
      </c>
      <c r="G63" s="9">
        <v>10.84</v>
      </c>
      <c r="H63" s="13">
        <v>101</v>
      </c>
      <c r="I63" s="10" t="s">
        <v>27</v>
      </c>
      <c r="J63" t="s">
        <v>18</v>
      </c>
      <c r="K63" s="6">
        <v>2024</v>
      </c>
      <c r="L63" t="s">
        <v>20</v>
      </c>
      <c r="M63" s="12">
        <v>9.32</v>
      </c>
      <c r="N63" t="s">
        <v>49</v>
      </c>
    </row>
    <row r="64" spans="1:14" x14ac:dyDescent="0.25">
      <c r="A64" t="s">
        <v>728</v>
      </c>
      <c r="B64" t="s">
        <v>40</v>
      </c>
      <c r="C64" t="s">
        <v>14</v>
      </c>
      <c r="D64" t="s">
        <v>24</v>
      </c>
      <c r="E64" s="6" t="s">
        <v>131</v>
      </c>
      <c r="F64" t="s">
        <v>48</v>
      </c>
      <c r="G64" s="9">
        <v>4073.63</v>
      </c>
      <c r="H64" s="13">
        <v>42966</v>
      </c>
      <c r="I64" s="10" t="s">
        <v>27</v>
      </c>
      <c r="J64" t="s">
        <v>18</v>
      </c>
      <c r="K64" s="6">
        <v>2024</v>
      </c>
      <c r="L64" t="s">
        <v>33</v>
      </c>
      <c r="M64" s="12">
        <v>10.55</v>
      </c>
      <c r="N64" t="s">
        <v>49</v>
      </c>
    </row>
    <row r="65" spans="1:14" x14ac:dyDescent="0.25">
      <c r="A65" t="s">
        <v>69</v>
      </c>
      <c r="B65" t="s">
        <v>70</v>
      </c>
      <c r="C65" t="s">
        <v>14</v>
      </c>
      <c r="D65" t="s">
        <v>24</v>
      </c>
      <c r="E65" s="6" t="s">
        <v>71</v>
      </c>
      <c r="F65" t="s">
        <v>56</v>
      </c>
      <c r="G65" s="9">
        <v>4148.93</v>
      </c>
      <c r="H65" s="13">
        <v>67053</v>
      </c>
      <c r="I65" s="10" t="s">
        <v>58</v>
      </c>
      <c r="J65" t="s">
        <v>18</v>
      </c>
      <c r="K65" s="6">
        <v>2025</v>
      </c>
      <c r="L65" t="s">
        <v>33</v>
      </c>
      <c r="M65" s="12">
        <v>16.16</v>
      </c>
      <c r="N65" t="s">
        <v>59</v>
      </c>
    </row>
    <row r="66" spans="1:14" x14ac:dyDescent="0.25">
      <c r="A66" t="s">
        <v>240</v>
      </c>
      <c r="B66" t="s">
        <v>70</v>
      </c>
      <c r="C66" t="s">
        <v>36</v>
      </c>
      <c r="D66" t="s">
        <v>24</v>
      </c>
      <c r="E66" s="6" t="s">
        <v>71</v>
      </c>
      <c r="F66" t="s">
        <v>17</v>
      </c>
      <c r="G66" s="9">
        <v>10690.57</v>
      </c>
      <c r="H66" s="13">
        <v>136476</v>
      </c>
      <c r="I66" s="10" t="s">
        <v>19</v>
      </c>
      <c r="J66" t="s">
        <v>57</v>
      </c>
      <c r="K66" s="6">
        <v>2025</v>
      </c>
      <c r="L66" t="s">
        <v>38</v>
      </c>
      <c r="M66" s="12">
        <v>12.77</v>
      </c>
      <c r="N66" t="s">
        <v>21</v>
      </c>
    </row>
    <row r="67" spans="1:14" x14ac:dyDescent="0.25">
      <c r="A67" t="s">
        <v>724</v>
      </c>
      <c r="B67" t="s">
        <v>46</v>
      </c>
      <c r="C67" t="s">
        <v>36</v>
      </c>
      <c r="D67" t="s">
        <v>24</v>
      </c>
      <c r="E67" s="6" t="s">
        <v>725</v>
      </c>
      <c r="F67" t="s">
        <v>56</v>
      </c>
      <c r="G67" s="9">
        <v>7745.26</v>
      </c>
      <c r="H67" s="13">
        <v>115690</v>
      </c>
      <c r="I67" s="10" t="s">
        <v>58</v>
      </c>
      <c r="J67" t="s">
        <v>57</v>
      </c>
      <c r="K67" s="6">
        <v>2024</v>
      </c>
      <c r="L67" t="s">
        <v>38</v>
      </c>
      <c r="M67" s="12">
        <v>14.94</v>
      </c>
      <c r="N67" t="s">
        <v>59</v>
      </c>
    </row>
    <row r="68" spans="1:14" x14ac:dyDescent="0.25">
      <c r="A68" t="s">
        <v>359</v>
      </c>
      <c r="B68" t="s">
        <v>30</v>
      </c>
      <c r="C68" t="s">
        <v>41</v>
      </c>
      <c r="D68" t="s">
        <v>24</v>
      </c>
      <c r="E68" s="6" t="s">
        <v>360</v>
      </c>
      <c r="F68" t="s">
        <v>48</v>
      </c>
      <c r="G68" s="9">
        <v>3491.8</v>
      </c>
      <c r="H68" s="13">
        <v>48080</v>
      </c>
      <c r="I68" s="10" t="s">
        <v>27</v>
      </c>
      <c r="J68" t="s">
        <v>57</v>
      </c>
      <c r="K68" s="6">
        <v>2025</v>
      </c>
      <c r="L68" t="s">
        <v>33</v>
      </c>
      <c r="M68" s="12">
        <v>13.77</v>
      </c>
      <c r="N68" t="s">
        <v>49</v>
      </c>
    </row>
    <row r="69" spans="1:14" x14ac:dyDescent="0.25">
      <c r="A69" t="s">
        <v>605</v>
      </c>
      <c r="B69" t="s">
        <v>66</v>
      </c>
      <c r="C69" t="s">
        <v>41</v>
      </c>
      <c r="D69" t="s">
        <v>24</v>
      </c>
      <c r="E69" s="6" t="s">
        <v>360</v>
      </c>
      <c r="F69" t="s">
        <v>56</v>
      </c>
      <c r="G69" s="9">
        <v>3258.45</v>
      </c>
      <c r="H69" s="13">
        <v>34146</v>
      </c>
      <c r="I69" s="10" t="s">
        <v>58</v>
      </c>
      <c r="J69" t="s">
        <v>18</v>
      </c>
      <c r="K69" s="6">
        <v>2025</v>
      </c>
      <c r="L69" t="s">
        <v>33</v>
      </c>
      <c r="M69" s="12">
        <v>10.48</v>
      </c>
      <c r="N69" t="s">
        <v>59</v>
      </c>
    </row>
    <row r="70" spans="1:14" x14ac:dyDescent="0.25">
      <c r="A70" t="s">
        <v>336</v>
      </c>
      <c r="B70" t="s">
        <v>70</v>
      </c>
      <c r="C70" t="s">
        <v>63</v>
      </c>
      <c r="D70" t="s">
        <v>24</v>
      </c>
      <c r="E70" s="6" t="s">
        <v>337</v>
      </c>
      <c r="F70" t="s">
        <v>56</v>
      </c>
      <c r="G70" s="9">
        <v>6114.64</v>
      </c>
      <c r="H70" s="13">
        <v>76949</v>
      </c>
      <c r="I70" s="10" t="s">
        <v>58</v>
      </c>
      <c r="J70" t="s">
        <v>18</v>
      </c>
      <c r="K70" s="6">
        <v>2025</v>
      </c>
      <c r="L70" t="s">
        <v>33</v>
      </c>
      <c r="M70" s="12">
        <v>12.58</v>
      </c>
      <c r="N70" t="s">
        <v>59</v>
      </c>
    </row>
    <row r="71" spans="1:14" x14ac:dyDescent="0.25">
      <c r="A71" t="s">
        <v>314</v>
      </c>
      <c r="B71" t="s">
        <v>13</v>
      </c>
      <c r="C71" t="s">
        <v>14</v>
      </c>
      <c r="D71" t="s">
        <v>24</v>
      </c>
      <c r="E71" s="6" t="s">
        <v>315</v>
      </c>
      <c r="F71" t="s">
        <v>17</v>
      </c>
      <c r="G71" s="9">
        <v>10078.25</v>
      </c>
      <c r="H71" s="13">
        <v>130085</v>
      </c>
      <c r="I71" s="10" t="s">
        <v>19</v>
      </c>
      <c r="J71" t="s">
        <v>18</v>
      </c>
      <c r="K71" s="6">
        <v>2024</v>
      </c>
      <c r="L71" t="s">
        <v>38</v>
      </c>
      <c r="M71" s="12">
        <v>12.91</v>
      </c>
      <c r="N71" t="s">
        <v>21</v>
      </c>
    </row>
    <row r="72" spans="1:14" x14ac:dyDescent="0.25">
      <c r="A72" t="s">
        <v>230</v>
      </c>
      <c r="B72" t="s">
        <v>46</v>
      </c>
      <c r="C72" t="s">
        <v>14</v>
      </c>
      <c r="D72" t="s">
        <v>24</v>
      </c>
      <c r="E72" s="6" t="s">
        <v>231</v>
      </c>
      <c r="F72" t="s">
        <v>17</v>
      </c>
      <c r="G72" s="9">
        <v>2194.5700000000002</v>
      </c>
      <c r="H72" s="13">
        <v>29876</v>
      </c>
      <c r="I72" s="10" t="s">
        <v>19</v>
      </c>
      <c r="J72" t="s">
        <v>57</v>
      </c>
      <c r="K72" s="6">
        <v>2024</v>
      </c>
      <c r="L72" t="s">
        <v>33</v>
      </c>
      <c r="M72" s="12">
        <v>13.61</v>
      </c>
      <c r="N72" t="s">
        <v>21</v>
      </c>
    </row>
    <row r="73" spans="1:14" x14ac:dyDescent="0.25">
      <c r="A73" t="s">
        <v>629</v>
      </c>
      <c r="B73" t="s">
        <v>66</v>
      </c>
      <c r="C73" t="s">
        <v>53</v>
      </c>
      <c r="D73" t="s">
        <v>24</v>
      </c>
      <c r="E73" s="6" t="s">
        <v>630</v>
      </c>
      <c r="F73" t="s">
        <v>48</v>
      </c>
      <c r="G73" s="9">
        <v>3085.31</v>
      </c>
      <c r="H73" s="13">
        <v>34114</v>
      </c>
      <c r="I73" s="10" t="s">
        <v>27</v>
      </c>
      <c r="J73" t="s">
        <v>57</v>
      </c>
      <c r="K73" s="6">
        <v>2025</v>
      </c>
      <c r="L73" t="s">
        <v>33</v>
      </c>
      <c r="M73" s="12">
        <v>11.06</v>
      </c>
      <c r="N73" t="s">
        <v>49</v>
      </c>
    </row>
    <row r="74" spans="1:14" x14ac:dyDescent="0.25">
      <c r="A74" t="s">
        <v>266</v>
      </c>
      <c r="B74" t="s">
        <v>70</v>
      </c>
      <c r="C74" t="s">
        <v>53</v>
      </c>
      <c r="D74" t="s">
        <v>24</v>
      </c>
      <c r="E74" s="6" t="s">
        <v>267</v>
      </c>
      <c r="F74" t="s">
        <v>17</v>
      </c>
      <c r="G74" s="9">
        <v>6608.02</v>
      </c>
      <c r="H74" s="13">
        <v>96539</v>
      </c>
      <c r="I74" s="10" t="s">
        <v>19</v>
      </c>
      <c r="J74" t="s">
        <v>18</v>
      </c>
      <c r="K74" s="6">
        <v>2024</v>
      </c>
      <c r="L74" t="s">
        <v>33</v>
      </c>
      <c r="M74" s="12">
        <v>14.61</v>
      </c>
      <c r="N74" t="s">
        <v>21</v>
      </c>
    </row>
    <row r="75" spans="1:14" x14ac:dyDescent="0.25">
      <c r="A75" t="s">
        <v>335</v>
      </c>
      <c r="B75" t="s">
        <v>30</v>
      </c>
      <c r="C75" t="s">
        <v>41</v>
      </c>
      <c r="D75" t="s">
        <v>24</v>
      </c>
      <c r="E75" s="6" t="s">
        <v>267</v>
      </c>
      <c r="F75" t="s">
        <v>56</v>
      </c>
      <c r="G75" s="9">
        <v>10824.83</v>
      </c>
      <c r="H75" s="13">
        <v>153690</v>
      </c>
      <c r="I75" s="10" t="s">
        <v>58</v>
      </c>
      <c r="J75" t="s">
        <v>57</v>
      </c>
      <c r="K75" s="6">
        <v>2024</v>
      </c>
      <c r="L75" t="s">
        <v>38</v>
      </c>
      <c r="M75" s="12">
        <v>14.2</v>
      </c>
      <c r="N75" t="s">
        <v>59</v>
      </c>
    </row>
    <row r="76" spans="1:14" x14ac:dyDescent="0.25">
      <c r="A76" t="s">
        <v>99</v>
      </c>
      <c r="B76" t="s">
        <v>23</v>
      </c>
      <c r="C76" t="s">
        <v>14</v>
      </c>
      <c r="D76" t="s">
        <v>54</v>
      </c>
      <c r="E76" s="6" t="s">
        <v>100</v>
      </c>
      <c r="F76" t="s">
        <v>56</v>
      </c>
      <c r="G76" s="9">
        <v>367.53</v>
      </c>
      <c r="H76" s="13">
        <v>3198</v>
      </c>
      <c r="I76" s="10" t="s">
        <v>58</v>
      </c>
      <c r="J76" t="s">
        <v>18</v>
      </c>
      <c r="K76" s="6">
        <v>2025</v>
      </c>
      <c r="L76" t="s">
        <v>20</v>
      </c>
      <c r="M76" s="12">
        <v>8.6999999999999993</v>
      </c>
      <c r="N76" t="s">
        <v>59</v>
      </c>
    </row>
    <row r="77" spans="1:14" x14ac:dyDescent="0.25">
      <c r="A77" t="s">
        <v>78</v>
      </c>
      <c r="B77" t="s">
        <v>35</v>
      </c>
      <c r="C77" t="s">
        <v>36</v>
      </c>
      <c r="D77" t="s">
        <v>24</v>
      </c>
      <c r="E77" s="6" t="s">
        <v>79</v>
      </c>
      <c r="F77" t="s">
        <v>26</v>
      </c>
      <c r="G77" s="9">
        <v>11699.13</v>
      </c>
      <c r="H77" s="13">
        <v>127233</v>
      </c>
      <c r="I77" s="10" t="s">
        <v>27</v>
      </c>
      <c r="J77" t="s">
        <v>18</v>
      </c>
      <c r="K77" s="6">
        <v>2024</v>
      </c>
      <c r="L77" t="s">
        <v>38</v>
      </c>
      <c r="M77" s="12">
        <v>10.88</v>
      </c>
      <c r="N77" t="s">
        <v>28</v>
      </c>
    </row>
    <row r="78" spans="1:14" x14ac:dyDescent="0.25">
      <c r="A78" t="s">
        <v>172</v>
      </c>
      <c r="B78" t="s">
        <v>35</v>
      </c>
      <c r="C78" t="s">
        <v>41</v>
      </c>
      <c r="D78" t="s">
        <v>24</v>
      </c>
      <c r="E78" s="6" t="s">
        <v>79</v>
      </c>
      <c r="F78" t="s">
        <v>26</v>
      </c>
      <c r="G78" s="9">
        <v>7666.29</v>
      </c>
      <c r="H78" s="13">
        <v>92625</v>
      </c>
      <c r="I78" s="10" t="s">
        <v>27</v>
      </c>
      <c r="J78" t="s">
        <v>18</v>
      </c>
      <c r="K78" s="6">
        <v>2024</v>
      </c>
      <c r="L78" t="s">
        <v>38</v>
      </c>
      <c r="M78" s="12">
        <v>12.08</v>
      </c>
      <c r="N78" t="s">
        <v>28</v>
      </c>
    </row>
    <row r="79" spans="1:14" x14ac:dyDescent="0.25">
      <c r="A79" t="s">
        <v>250</v>
      </c>
      <c r="B79" t="s">
        <v>70</v>
      </c>
      <c r="C79" t="s">
        <v>36</v>
      </c>
      <c r="D79" t="s">
        <v>24</v>
      </c>
      <c r="E79" s="6" t="s">
        <v>251</v>
      </c>
      <c r="F79" t="s">
        <v>48</v>
      </c>
      <c r="G79" s="9">
        <v>10682.85</v>
      </c>
      <c r="H79" s="13">
        <v>153485</v>
      </c>
      <c r="I79" s="10" t="s">
        <v>27</v>
      </c>
      <c r="J79" t="s">
        <v>18</v>
      </c>
      <c r="K79" s="6">
        <v>2025</v>
      </c>
      <c r="L79" t="s">
        <v>38</v>
      </c>
      <c r="M79" s="12">
        <v>14.37</v>
      </c>
      <c r="N79" t="s">
        <v>49</v>
      </c>
    </row>
    <row r="80" spans="1:14" x14ac:dyDescent="0.25">
      <c r="A80" t="s">
        <v>257</v>
      </c>
      <c r="B80" t="s">
        <v>30</v>
      </c>
      <c r="C80" t="s">
        <v>14</v>
      </c>
      <c r="D80" t="s">
        <v>31</v>
      </c>
      <c r="E80" s="6" t="s">
        <v>258</v>
      </c>
      <c r="F80" t="s">
        <v>17</v>
      </c>
      <c r="G80" s="9">
        <v>2118.14</v>
      </c>
      <c r="H80" s="13">
        <v>28607</v>
      </c>
      <c r="I80" s="10" t="s">
        <v>19</v>
      </c>
      <c r="J80" t="s">
        <v>18</v>
      </c>
      <c r="K80" s="6">
        <v>2024</v>
      </c>
      <c r="L80" t="s">
        <v>33</v>
      </c>
      <c r="M80" s="12">
        <v>13.51</v>
      </c>
      <c r="N80" t="s">
        <v>21</v>
      </c>
    </row>
    <row r="81" spans="1:14" x14ac:dyDescent="0.25">
      <c r="A81" t="s">
        <v>321</v>
      </c>
      <c r="B81" t="s">
        <v>46</v>
      </c>
      <c r="C81" t="s">
        <v>14</v>
      </c>
      <c r="D81" t="s">
        <v>24</v>
      </c>
      <c r="E81" s="6" t="s">
        <v>322</v>
      </c>
      <c r="F81" t="s">
        <v>56</v>
      </c>
      <c r="G81" s="9">
        <v>10627.55</v>
      </c>
      <c r="H81" s="13">
        <v>159110</v>
      </c>
      <c r="I81" s="10" t="s">
        <v>58</v>
      </c>
      <c r="J81" t="s">
        <v>18</v>
      </c>
      <c r="K81" s="6">
        <v>2026</v>
      </c>
      <c r="L81" t="s">
        <v>38</v>
      </c>
      <c r="M81" s="12">
        <v>14.97</v>
      </c>
      <c r="N81" t="s">
        <v>59</v>
      </c>
    </row>
    <row r="82" spans="1:14" x14ac:dyDescent="0.25">
      <c r="A82" t="s">
        <v>29</v>
      </c>
      <c r="B82" t="s">
        <v>30</v>
      </c>
      <c r="C82" t="s">
        <v>14</v>
      </c>
      <c r="D82" t="s">
        <v>31</v>
      </c>
      <c r="E82" s="6" t="s">
        <v>32</v>
      </c>
      <c r="F82" t="s">
        <v>17</v>
      </c>
      <c r="G82" s="9">
        <v>2840.65</v>
      </c>
      <c r="H82" s="13">
        <v>28038</v>
      </c>
      <c r="I82" s="10" t="s">
        <v>19</v>
      </c>
      <c r="J82" t="s">
        <v>18</v>
      </c>
      <c r="K82" s="6">
        <v>2024</v>
      </c>
      <c r="L82" t="s">
        <v>33</v>
      </c>
      <c r="M82" s="12">
        <v>9.8699999999999992</v>
      </c>
      <c r="N82" t="s">
        <v>21</v>
      </c>
    </row>
    <row r="83" spans="1:14" x14ac:dyDescent="0.25">
      <c r="A83" t="s">
        <v>447</v>
      </c>
      <c r="B83" t="s">
        <v>35</v>
      </c>
      <c r="C83" t="s">
        <v>14</v>
      </c>
      <c r="D83" t="s">
        <v>24</v>
      </c>
      <c r="E83" s="6" t="s">
        <v>448</v>
      </c>
      <c r="F83" t="s">
        <v>56</v>
      </c>
      <c r="G83" s="9">
        <v>2259.4</v>
      </c>
      <c r="H83" s="13">
        <v>22739</v>
      </c>
      <c r="I83" s="10" t="s">
        <v>58</v>
      </c>
      <c r="J83" t="s">
        <v>57</v>
      </c>
      <c r="K83" s="6">
        <v>2025</v>
      </c>
      <c r="L83" t="s">
        <v>33</v>
      </c>
      <c r="M83" s="12">
        <v>10.06</v>
      </c>
      <c r="N83" t="s">
        <v>59</v>
      </c>
    </row>
    <row r="84" spans="1:14" x14ac:dyDescent="0.25">
      <c r="A84" t="s">
        <v>195</v>
      </c>
      <c r="B84" t="s">
        <v>13</v>
      </c>
      <c r="C84" t="s">
        <v>36</v>
      </c>
      <c r="D84" t="s">
        <v>24</v>
      </c>
      <c r="E84" s="6" t="s">
        <v>196</v>
      </c>
      <c r="F84" t="s">
        <v>26</v>
      </c>
      <c r="G84" s="9">
        <v>10087.84</v>
      </c>
      <c r="H84" s="13">
        <v>102037</v>
      </c>
      <c r="I84" s="10" t="s">
        <v>27</v>
      </c>
      <c r="J84" t="s">
        <v>18</v>
      </c>
      <c r="K84" s="6">
        <v>2025</v>
      </c>
      <c r="L84" t="s">
        <v>38</v>
      </c>
      <c r="M84" s="12">
        <v>10.11</v>
      </c>
      <c r="N84" t="s">
        <v>28</v>
      </c>
    </row>
    <row r="85" spans="1:14" x14ac:dyDescent="0.25">
      <c r="A85" t="s">
        <v>152</v>
      </c>
      <c r="B85" t="s">
        <v>23</v>
      </c>
      <c r="C85" t="s">
        <v>41</v>
      </c>
      <c r="D85" t="s">
        <v>54</v>
      </c>
      <c r="E85" s="6" t="s">
        <v>153</v>
      </c>
      <c r="F85" t="s">
        <v>56</v>
      </c>
      <c r="G85" s="9">
        <v>95.04</v>
      </c>
      <c r="H85" s="13">
        <v>798</v>
      </c>
      <c r="I85" s="10" t="s">
        <v>58</v>
      </c>
      <c r="J85" t="s">
        <v>18</v>
      </c>
      <c r="K85" s="6">
        <v>2025</v>
      </c>
      <c r="L85" t="s">
        <v>20</v>
      </c>
      <c r="M85" s="12">
        <v>8.39</v>
      </c>
      <c r="N85" t="s">
        <v>59</v>
      </c>
    </row>
    <row r="86" spans="1:14" x14ac:dyDescent="0.25">
      <c r="A86" t="s">
        <v>751</v>
      </c>
      <c r="B86" t="s">
        <v>70</v>
      </c>
      <c r="C86" t="s">
        <v>36</v>
      </c>
      <c r="D86" t="s">
        <v>24</v>
      </c>
      <c r="E86" s="6" t="s">
        <v>752</v>
      </c>
      <c r="F86" t="s">
        <v>17</v>
      </c>
      <c r="G86" s="9">
        <v>2692.02</v>
      </c>
      <c r="H86" s="13">
        <v>34041</v>
      </c>
      <c r="I86" s="10" t="s">
        <v>19</v>
      </c>
      <c r="J86" t="s">
        <v>18</v>
      </c>
      <c r="K86" s="6">
        <v>2024</v>
      </c>
      <c r="L86" t="s">
        <v>33</v>
      </c>
      <c r="M86" s="12">
        <v>12.65</v>
      </c>
      <c r="N86" t="s">
        <v>21</v>
      </c>
    </row>
    <row r="87" spans="1:14" x14ac:dyDescent="0.25">
      <c r="A87" t="s">
        <v>436</v>
      </c>
      <c r="B87" t="s">
        <v>30</v>
      </c>
      <c r="C87" t="s">
        <v>14</v>
      </c>
      <c r="D87" t="s">
        <v>24</v>
      </c>
      <c r="E87" s="6" t="s">
        <v>437</v>
      </c>
      <c r="F87" t="s">
        <v>56</v>
      </c>
      <c r="G87" s="9">
        <v>645.5</v>
      </c>
      <c r="H87" s="13">
        <v>5834</v>
      </c>
      <c r="I87" s="10" t="s">
        <v>58</v>
      </c>
      <c r="J87" t="s">
        <v>18</v>
      </c>
      <c r="K87" s="6">
        <v>2025</v>
      </c>
      <c r="L87" t="s">
        <v>20</v>
      </c>
      <c r="M87" s="12">
        <v>9.0399999999999991</v>
      </c>
      <c r="N87" t="s">
        <v>59</v>
      </c>
    </row>
    <row r="88" spans="1:14" x14ac:dyDescent="0.25">
      <c r="A88" t="s">
        <v>442</v>
      </c>
      <c r="B88" t="s">
        <v>66</v>
      </c>
      <c r="C88" t="s">
        <v>41</v>
      </c>
      <c r="D88" t="s">
        <v>24</v>
      </c>
      <c r="E88" s="6" t="s">
        <v>437</v>
      </c>
      <c r="F88" t="s">
        <v>56</v>
      </c>
      <c r="G88" s="9">
        <v>5485.52</v>
      </c>
      <c r="H88" s="13">
        <v>47370</v>
      </c>
      <c r="I88" s="10" t="s">
        <v>58</v>
      </c>
      <c r="J88" t="s">
        <v>57</v>
      </c>
      <c r="K88" s="6">
        <v>2025</v>
      </c>
      <c r="L88" t="s">
        <v>33</v>
      </c>
      <c r="M88" s="12">
        <v>8.64</v>
      </c>
      <c r="N88" t="s">
        <v>59</v>
      </c>
    </row>
    <row r="89" spans="1:14" x14ac:dyDescent="0.25">
      <c r="A89" t="s">
        <v>305</v>
      </c>
      <c r="B89" t="s">
        <v>40</v>
      </c>
      <c r="C89" t="s">
        <v>63</v>
      </c>
      <c r="D89" t="s">
        <v>24</v>
      </c>
      <c r="E89" s="6" t="s">
        <v>306</v>
      </c>
      <c r="F89" t="s">
        <v>26</v>
      </c>
      <c r="G89" s="9">
        <v>2257.2600000000002</v>
      </c>
      <c r="H89" s="13">
        <v>32961</v>
      </c>
      <c r="I89" s="10" t="s">
        <v>27</v>
      </c>
      <c r="J89" t="s">
        <v>57</v>
      </c>
      <c r="K89" s="6">
        <v>2025</v>
      </c>
      <c r="L89" t="s">
        <v>33</v>
      </c>
      <c r="M89" s="12">
        <v>14.6</v>
      </c>
      <c r="N89" t="s">
        <v>28</v>
      </c>
    </row>
    <row r="90" spans="1:14" x14ac:dyDescent="0.25">
      <c r="A90" t="s">
        <v>695</v>
      </c>
      <c r="B90" t="s">
        <v>13</v>
      </c>
      <c r="C90" t="s">
        <v>63</v>
      </c>
      <c r="D90" t="s">
        <v>24</v>
      </c>
      <c r="E90" s="6" t="s">
        <v>306</v>
      </c>
      <c r="F90" t="s">
        <v>48</v>
      </c>
      <c r="G90" s="9">
        <v>1512.69</v>
      </c>
      <c r="H90" s="13">
        <v>13058</v>
      </c>
      <c r="I90" s="10" t="s">
        <v>27</v>
      </c>
      <c r="J90" t="s">
        <v>18</v>
      </c>
      <c r="K90" s="6">
        <v>2025</v>
      </c>
      <c r="L90" t="s">
        <v>20</v>
      </c>
      <c r="M90" s="12">
        <v>8.6300000000000008</v>
      </c>
      <c r="N90" t="s">
        <v>49</v>
      </c>
    </row>
    <row r="91" spans="1:14" x14ac:dyDescent="0.25">
      <c r="A91" t="s">
        <v>227</v>
      </c>
      <c r="B91" t="s">
        <v>66</v>
      </c>
      <c r="C91" t="s">
        <v>41</v>
      </c>
      <c r="D91" t="s">
        <v>54</v>
      </c>
      <c r="E91" s="6" t="s">
        <v>228</v>
      </c>
      <c r="F91" t="s">
        <v>48</v>
      </c>
      <c r="G91" s="9">
        <v>3571.15</v>
      </c>
      <c r="H91" s="13">
        <v>2085</v>
      </c>
      <c r="I91" s="10" t="s">
        <v>27</v>
      </c>
      <c r="J91" t="s">
        <v>18</v>
      </c>
      <c r="K91" s="6">
        <v>2026</v>
      </c>
      <c r="L91" t="s">
        <v>33</v>
      </c>
      <c r="M91" s="12">
        <v>0.57999999999999996</v>
      </c>
      <c r="N91" t="s">
        <v>49</v>
      </c>
    </row>
    <row r="92" spans="1:14" x14ac:dyDescent="0.25">
      <c r="A92" t="s">
        <v>495</v>
      </c>
      <c r="B92" t="s">
        <v>70</v>
      </c>
      <c r="C92" t="s">
        <v>53</v>
      </c>
      <c r="D92" t="s">
        <v>31</v>
      </c>
      <c r="E92" s="6" t="s">
        <v>496</v>
      </c>
      <c r="F92" t="s">
        <v>26</v>
      </c>
      <c r="G92" s="9">
        <v>2164.34</v>
      </c>
      <c r="H92" s="13">
        <v>31190</v>
      </c>
      <c r="I92" s="10" t="s">
        <v>27</v>
      </c>
      <c r="J92" t="s">
        <v>57</v>
      </c>
      <c r="K92" s="6">
        <v>2024</v>
      </c>
      <c r="L92" t="s">
        <v>33</v>
      </c>
      <c r="M92" s="12">
        <v>14.41</v>
      </c>
      <c r="N92" t="s">
        <v>28</v>
      </c>
    </row>
    <row r="93" spans="1:14" x14ac:dyDescent="0.25">
      <c r="A93" t="s">
        <v>300</v>
      </c>
      <c r="B93" t="s">
        <v>40</v>
      </c>
      <c r="C93" t="s">
        <v>41</v>
      </c>
      <c r="D93" t="s">
        <v>54</v>
      </c>
      <c r="E93" s="6" t="s">
        <v>301</v>
      </c>
      <c r="F93" t="s">
        <v>17</v>
      </c>
      <c r="G93" s="9">
        <v>40.29</v>
      </c>
      <c r="H93" s="13">
        <v>513</v>
      </c>
      <c r="I93" s="10" t="s">
        <v>19</v>
      </c>
      <c r="J93" t="s">
        <v>18</v>
      </c>
      <c r="K93" s="6">
        <v>2025</v>
      </c>
      <c r="L93" t="s">
        <v>20</v>
      </c>
      <c r="M93" s="12">
        <v>12.72</v>
      </c>
      <c r="N93" t="s">
        <v>21</v>
      </c>
    </row>
    <row r="94" spans="1:14" x14ac:dyDescent="0.25">
      <c r="A94" t="s">
        <v>640</v>
      </c>
      <c r="B94" t="s">
        <v>23</v>
      </c>
      <c r="C94" t="s">
        <v>53</v>
      </c>
      <c r="D94" t="s">
        <v>24</v>
      </c>
      <c r="E94" s="6" t="s">
        <v>641</v>
      </c>
      <c r="F94" t="s">
        <v>17</v>
      </c>
      <c r="G94" s="9">
        <v>11093.71</v>
      </c>
      <c r="H94" s="13">
        <v>149253</v>
      </c>
      <c r="I94" s="10" t="s">
        <v>19</v>
      </c>
      <c r="J94" t="s">
        <v>18</v>
      </c>
      <c r="K94" s="6">
        <v>2024</v>
      </c>
      <c r="L94" t="s">
        <v>38</v>
      </c>
      <c r="M94" s="12">
        <v>13.45</v>
      </c>
      <c r="N94" t="s">
        <v>21</v>
      </c>
    </row>
    <row r="95" spans="1:14" x14ac:dyDescent="0.25">
      <c r="A95" t="s">
        <v>219</v>
      </c>
      <c r="B95" t="s">
        <v>40</v>
      </c>
      <c r="C95" t="s">
        <v>53</v>
      </c>
      <c r="D95" t="s">
        <v>54</v>
      </c>
      <c r="E95" s="6" t="s">
        <v>220</v>
      </c>
      <c r="F95" t="s">
        <v>56</v>
      </c>
      <c r="G95" s="9">
        <v>331.93</v>
      </c>
      <c r="H95" s="13">
        <v>4918</v>
      </c>
      <c r="I95" s="10" t="s">
        <v>58</v>
      </c>
      <c r="J95" t="s">
        <v>57</v>
      </c>
      <c r="K95" s="6">
        <v>2025</v>
      </c>
      <c r="L95" t="s">
        <v>20</v>
      </c>
      <c r="M95" s="12">
        <v>14.82</v>
      </c>
      <c r="N95" t="s">
        <v>59</v>
      </c>
    </row>
    <row r="96" spans="1:14" x14ac:dyDescent="0.25">
      <c r="A96" t="s">
        <v>412</v>
      </c>
      <c r="B96" t="s">
        <v>13</v>
      </c>
      <c r="C96" t="s">
        <v>63</v>
      </c>
      <c r="D96" t="s">
        <v>31</v>
      </c>
      <c r="E96" s="6" t="s">
        <v>413</v>
      </c>
      <c r="F96" t="s">
        <v>48</v>
      </c>
      <c r="G96" s="9">
        <v>2830.26</v>
      </c>
      <c r="H96" s="13">
        <v>27031</v>
      </c>
      <c r="I96" s="10" t="s">
        <v>27</v>
      </c>
      <c r="J96" t="s">
        <v>57</v>
      </c>
      <c r="K96" s="6">
        <v>2024</v>
      </c>
      <c r="L96" t="s">
        <v>33</v>
      </c>
      <c r="M96" s="12">
        <v>9.5500000000000007</v>
      </c>
      <c r="N96" t="s">
        <v>49</v>
      </c>
    </row>
    <row r="97" spans="1:14" x14ac:dyDescent="0.25">
      <c r="A97" t="s">
        <v>402</v>
      </c>
      <c r="B97" t="s">
        <v>13</v>
      </c>
      <c r="C97" t="s">
        <v>63</v>
      </c>
      <c r="D97" t="s">
        <v>24</v>
      </c>
      <c r="E97" s="6" t="s">
        <v>403</v>
      </c>
      <c r="F97" t="s">
        <v>26</v>
      </c>
      <c r="G97" s="9">
        <v>9444.61</v>
      </c>
      <c r="H97" s="13">
        <v>83937</v>
      </c>
      <c r="I97" s="10" t="s">
        <v>27</v>
      </c>
      <c r="J97" t="s">
        <v>18</v>
      </c>
      <c r="K97" s="6">
        <v>2025</v>
      </c>
      <c r="L97" t="s">
        <v>38</v>
      </c>
      <c r="M97" s="12">
        <v>8.89</v>
      </c>
      <c r="N97" t="s">
        <v>28</v>
      </c>
    </row>
    <row r="98" spans="1:14" x14ac:dyDescent="0.25">
      <c r="A98" t="s">
        <v>202</v>
      </c>
      <c r="B98" t="s">
        <v>30</v>
      </c>
      <c r="C98" t="s">
        <v>63</v>
      </c>
      <c r="D98" t="s">
        <v>54</v>
      </c>
      <c r="E98" s="6" t="s">
        <v>203</v>
      </c>
      <c r="F98" t="s">
        <v>48</v>
      </c>
      <c r="G98" s="9">
        <v>303.33</v>
      </c>
      <c r="H98" s="13">
        <v>3236</v>
      </c>
      <c r="I98" s="10" t="s">
        <v>27</v>
      </c>
      <c r="J98" t="s">
        <v>18</v>
      </c>
      <c r="K98" s="6">
        <v>2024</v>
      </c>
      <c r="L98" t="s">
        <v>20</v>
      </c>
      <c r="M98" s="12">
        <v>10.67</v>
      </c>
      <c r="N98" t="s">
        <v>49</v>
      </c>
    </row>
    <row r="99" spans="1:14" x14ac:dyDescent="0.25">
      <c r="A99" t="s">
        <v>303</v>
      </c>
      <c r="B99" t="s">
        <v>30</v>
      </c>
      <c r="C99" t="s">
        <v>63</v>
      </c>
      <c r="D99" t="s">
        <v>24</v>
      </c>
      <c r="E99" s="6" t="s">
        <v>304</v>
      </c>
      <c r="F99" t="s">
        <v>26</v>
      </c>
      <c r="G99" s="9">
        <v>4904.91</v>
      </c>
      <c r="H99" s="13">
        <v>60511</v>
      </c>
      <c r="I99" s="10" t="s">
        <v>27</v>
      </c>
      <c r="J99" t="s">
        <v>57</v>
      </c>
      <c r="K99" s="6">
        <v>2025</v>
      </c>
      <c r="L99" t="s">
        <v>33</v>
      </c>
      <c r="M99" s="12">
        <v>12.34</v>
      </c>
      <c r="N99" t="s">
        <v>28</v>
      </c>
    </row>
    <row r="100" spans="1:14" x14ac:dyDescent="0.25">
      <c r="A100" t="s">
        <v>22</v>
      </c>
      <c r="B100" t="s">
        <v>23</v>
      </c>
      <c r="C100" t="s">
        <v>14</v>
      </c>
      <c r="D100" t="s">
        <v>24</v>
      </c>
      <c r="E100" s="6" t="s">
        <v>25</v>
      </c>
      <c r="F100" t="s">
        <v>26</v>
      </c>
      <c r="G100" s="9">
        <v>1786.55</v>
      </c>
      <c r="H100" s="13">
        <v>24143</v>
      </c>
      <c r="I100" s="10" t="s">
        <v>27</v>
      </c>
      <c r="J100" t="s">
        <v>18</v>
      </c>
      <c r="K100" s="6">
        <v>2024</v>
      </c>
      <c r="L100" t="s">
        <v>20</v>
      </c>
      <c r="M100" s="12">
        <v>13.51</v>
      </c>
      <c r="N100" t="s">
        <v>28</v>
      </c>
    </row>
    <row r="101" spans="1:14" x14ac:dyDescent="0.25">
      <c r="A101" t="s">
        <v>326</v>
      </c>
      <c r="B101" t="s">
        <v>30</v>
      </c>
      <c r="C101" t="s">
        <v>41</v>
      </c>
      <c r="D101" t="s">
        <v>15</v>
      </c>
      <c r="E101" s="6" t="s">
        <v>25</v>
      </c>
      <c r="F101" t="s">
        <v>17</v>
      </c>
      <c r="G101" s="9">
        <v>188.55</v>
      </c>
      <c r="H101" s="13">
        <v>2218</v>
      </c>
      <c r="I101" s="10" t="s">
        <v>19</v>
      </c>
      <c r="J101" t="s">
        <v>18</v>
      </c>
      <c r="K101" s="6">
        <v>2024</v>
      </c>
      <c r="L101" t="s">
        <v>20</v>
      </c>
      <c r="M101" s="12">
        <v>11.76</v>
      </c>
      <c r="N101" t="s">
        <v>21</v>
      </c>
    </row>
    <row r="102" spans="1:14" x14ac:dyDescent="0.25">
      <c r="A102" t="s">
        <v>369</v>
      </c>
      <c r="B102" t="s">
        <v>30</v>
      </c>
      <c r="C102" t="s">
        <v>41</v>
      </c>
      <c r="D102" t="s">
        <v>24</v>
      </c>
      <c r="E102" s="6" t="s">
        <v>25</v>
      </c>
      <c r="F102" t="s">
        <v>26</v>
      </c>
      <c r="G102" s="9">
        <v>11438.85</v>
      </c>
      <c r="H102" s="13">
        <v>118216</v>
      </c>
      <c r="I102" s="10" t="s">
        <v>27</v>
      </c>
      <c r="J102" t="s">
        <v>57</v>
      </c>
      <c r="K102" s="6">
        <v>2024</v>
      </c>
      <c r="L102" t="s">
        <v>38</v>
      </c>
      <c r="M102" s="12">
        <v>10.33</v>
      </c>
      <c r="N102" t="s">
        <v>28</v>
      </c>
    </row>
    <row r="103" spans="1:14" x14ac:dyDescent="0.25">
      <c r="A103" t="s">
        <v>713</v>
      </c>
      <c r="B103" t="s">
        <v>23</v>
      </c>
      <c r="C103" t="s">
        <v>41</v>
      </c>
      <c r="D103" t="s">
        <v>24</v>
      </c>
      <c r="E103" s="6" t="s">
        <v>25</v>
      </c>
      <c r="F103" t="s">
        <v>17</v>
      </c>
      <c r="G103" s="9">
        <v>6232.67</v>
      </c>
      <c r="H103" s="13">
        <v>91646</v>
      </c>
      <c r="I103" s="10" t="s">
        <v>19</v>
      </c>
      <c r="J103" t="s">
        <v>57</v>
      </c>
      <c r="K103" s="6">
        <v>2024</v>
      </c>
      <c r="L103" t="s">
        <v>33</v>
      </c>
      <c r="M103" s="12">
        <v>14.7</v>
      </c>
      <c r="N103" t="s">
        <v>21</v>
      </c>
    </row>
    <row r="104" spans="1:14" x14ac:dyDescent="0.25">
      <c r="A104" t="s">
        <v>423</v>
      </c>
      <c r="B104" t="s">
        <v>35</v>
      </c>
      <c r="C104" t="s">
        <v>63</v>
      </c>
      <c r="D104" t="s">
        <v>24</v>
      </c>
      <c r="E104" s="6" t="s">
        <v>424</v>
      </c>
      <c r="F104" t="s">
        <v>26</v>
      </c>
      <c r="G104" s="9">
        <v>8368.98</v>
      </c>
      <c r="H104" s="13">
        <v>68777</v>
      </c>
      <c r="I104" s="10" t="s">
        <v>27</v>
      </c>
      <c r="J104" t="s">
        <v>18</v>
      </c>
      <c r="K104" s="6">
        <v>2025</v>
      </c>
      <c r="L104" t="s">
        <v>38</v>
      </c>
      <c r="M104" s="12">
        <v>8.2200000000000006</v>
      </c>
      <c r="N104" t="s">
        <v>28</v>
      </c>
    </row>
    <row r="105" spans="1:14" x14ac:dyDescent="0.25">
      <c r="A105" t="s">
        <v>685</v>
      </c>
      <c r="B105" t="s">
        <v>66</v>
      </c>
      <c r="C105" t="s">
        <v>53</v>
      </c>
      <c r="D105" t="s">
        <v>24</v>
      </c>
      <c r="E105" s="6" t="s">
        <v>424</v>
      </c>
      <c r="F105" t="s">
        <v>17</v>
      </c>
      <c r="G105" s="9">
        <v>1702.9</v>
      </c>
      <c r="H105" s="13">
        <v>17818</v>
      </c>
      <c r="I105" s="10" t="s">
        <v>19</v>
      </c>
      <c r="J105" t="s">
        <v>57</v>
      </c>
      <c r="K105" s="6">
        <v>2025</v>
      </c>
      <c r="L105" t="s">
        <v>20</v>
      </c>
      <c r="M105" s="12">
        <v>10.46</v>
      </c>
      <c r="N105" t="s">
        <v>21</v>
      </c>
    </row>
    <row r="106" spans="1:14" x14ac:dyDescent="0.25">
      <c r="A106" t="s">
        <v>631</v>
      </c>
      <c r="B106" t="s">
        <v>70</v>
      </c>
      <c r="C106" t="s">
        <v>63</v>
      </c>
      <c r="D106" t="s">
        <v>24</v>
      </c>
      <c r="E106" s="6" t="s">
        <v>632</v>
      </c>
      <c r="F106" t="s">
        <v>17</v>
      </c>
      <c r="G106" s="9">
        <v>2213.38</v>
      </c>
      <c r="H106" s="13">
        <v>19347</v>
      </c>
      <c r="I106" s="10" t="s">
        <v>19</v>
      </c>
      <c r="J106" t="s">
        <v>57</v>
      </c>
      <c r="K106" s="6">
        <v>2024</v>
      </c>
      <c r="L106" t="s">
        <v>33</v>
      </c>
      <c r="M106" s="12">
        <v>8.74</v>
      </c>
      <c r="N106" t="s">
        <v>21</v>
      </c>
    </row>
    <row r="107" spans="1:14" x14ac:dyDescent="0.25">
      <c r="A107" t="s">
        <v>490</v>
      </c>
      <c r="B107" t="s">
        <v>35</v>
      </c>
      <c r="C107" t="s">
        <v>63</v>
      </c>
      <c r="D107" t="s">
        <v>24</v>
      </c>
      <c r="E107" s="6" t="s">
        <v>491</v>
      </c>
      <c r="F107" t="s">
        <v>48</v>
      </c>
      <c r="G107" s="9">
        <v>6884.53</v>
      </c>
      <c r="H107" s="13">
        <v>97177</v>
      </c>
      <c r="I107" s="10" t="s">
        <v>27</v>
      </c>
      <c r="J107" t="s">
        <v>18</v>
      </c>
      <c r="K107" s="6">
        <v>2025</v>
      </c>
      <c r="L107" t="s">
        <v>33</v>
      </c>
      <c r="M107" s="12">
        <v>14.12</v>
      </c>
      <c r="N107" t="s">
        <v>49</v>
      </c>
    </row>
    <row r="108" spans="1:14" x14ac:dyDescent="0.25">
      <c r="A108" t="s">
        <v>50</v>
      </c>
      <c r="B108" t="s">
        <v>35</v>
      </c>
      <c r="C108" t="s">
        <v>36</v>
      </c>
      <c r="D108" t="s">
        <v>24</v>
      </c>
      <c r="E108" s="6" t="s">
        <v>51</v>
      </c>
      <c r="F108" t="s">
        <v>48</v>
      </c>
      <c r="G108" s="9">
        <v>5442.55</v>
      </c>
      <c r="H108" s="13">
        <v>76505</v>
      </c>
      <c r="I108" s="10" t="s">
        <v>27</v>
      </c>
      <c r="J108" t="s">
        <v>18</v>
      </c>
      <c r="K108" s="6">
        <v>2026</v>
      </c>
      <c r="L108" t="s">
        <v>33</v>
      </c>
      <c r="M108" s="12">
        <v>14.06</v>
      </c>
      <c r="N108" t="s">
        <v>49</v>
      </c>
    </row>
    <row r="109" spans="1:14" x14ac:dyDescent="0.25">
      <c r="A109" t="s">
        <v>121</v>
      </c>
      <c r="B109" t="s">
        <v>23</v>
      </c>
      <c r="C109" t="s">
        <v>53</v>
      </c>
      <c r="D109" t="s">
        <v>24</v>
      </c>
      <c r="E109" s="6" t="s">
        <v>122</v>
      </c>
      <c r="F109" t="s">
        <v>26</v>
      </c>
      <c r="G109" s="9">
        <v>9393.26</v>
      </c>
      <c r="H109" s="13">
        <v>137883</v>
      </c>
      <c r="I109" s="10" t="s">
        <v>27</v>
      </c>
      <c r="J109" t="s">
        <v>57</v>
      </c>
      <c r="K109" s="6">
        <v>2025</v>
      </c>
      <c r="L109" t="s">
        <v>38</v>
      </c>
      <c r="M109" s="12">
        <v>14.68</v>
      </c>
      <c r="N109" t="s">
        <v>28</v>
      </c>
    </row>
    <row r="110" spans="1:14" x14ac:dyDescent="0.25">
      <c r="A110" t="s">
        <v>175</v>
      </c>
      <c r="B110" t="s">
        <v>40</v>
      </c>
      <c r="C110" t="s">
        <v>63</v>
      </c>
      <c r="D110" t="s">
        <v>24</v>
      </c>
      <c r="E110" s="6" t="s">
        <v>122</v>
      </c>
      <c r="F110" t="s">
        <v>48</v>
      </c>
      <c r="G110" s="9">
        <v>1933.19</v>
      </c>
      <c r="H110" s="13">
        <v>24098</v>
      </c>
      <c r="I110" s="10" t="s">
        <v>27</v>
      </c>
      <c r="J110" t="s">
        <v>57</v>
      </c>
      <c r="K110" s="6">
        <v>2025</v>
      </c>
      <c r="L110" t="s">
        <v>20</v>
      </c>
      <c r="M110" s="12">
        <v>12.47</v>
      </c>
      <c r="N110" t="s">
        <v>49</v>
      </c>
    </row>
    <row r="111" spans="1:14" x14ac:dyDescent="0.25">
      <c r="A111" t="s">
        <v>759</v>
      </c>
      <c r="B111" t="s">
        <v>23</v>
      </c>
      <c r="C111" t="s">
        <v>36</v>
      </c>
      <c r="D111" t="s">
        <v>24</v>
      </c>
      <c r="E111" s="6" t="s">
        <v>760</v>
      </c>
      <c r="F111" t="s">
        <v>56</v>
      </c>
      <c r="G111" s="9">
        <v>9385.76</v>
      </c>
      <c r="H111" s="13">
        <v>83558</v>
      </c>
      <c r="I111" s="10" t="s">
        <v>58</v>
      </c>
      <c r="J111" t="s">
        <v>18</v>
      </c>
      <c r="K111" s="6">
        <v>2025</v>
      </c>
      <c r="L111" t="s">
        <v>38</v>
      </c>
      <c r="M111" s="12">
        <v>8.9</v>
      </c>
      <c r="N111" t="s">
        <v>59</v>
      </c>
    </row>
    <row r="112" spans="1:14" x14ac:dyDescent="0.25">
      <c r="A112" t="s">
        <v>676</v>
      </c>
      <c r="B112" t="s">
        <v>30</v>
      </c>
      <c r="C112" t="s">
        <v>53</v>
      </c>
      <c r="D112" t="s">
        <v>31</v>
      </c>
      <c r="E112" s="6" t="s">
        <v>677</v>
      </c>
      <c r="F112" t="s">
        <v>26</v>
      </c>
      <c r="G112" s="9">
        <v>1364.07</v>
      </c>
      <c r="H112" s="13">
        <v>13931</v>
      </c>
      <c r="I112" s="10" t="s">
        <v>27</v>
      </c>
      <c r="J112" t="s">
        <v>57</v>
      </c>
      <c r="K112" s="6">
        <v>2024</v>
      </c>
      <c r="L112" t="s">
        <v>20</v>
      </c>
      <c r="M112" s="12">
        <v>10.210000000000001</v>
      </c>
      <c r="N112" t="s">
        <v>28</v>
      </c>
    </row>
    <row r="113" spans="1:14" x14ac:dyDescent="0.25">
      <c r="A113" t="s">
        <v>60</v>
      </c>
      <c r="B113" t="s">
        <v>40</v>
      </c>
      <c r="C113" t="s">
        <v>36</v>
      </c>
      <c r="D113" t="s">
        <v>24</v>
      </c>
      <c r="E113" s="6" t="s">
        <v>61</v>
      </c>
      <c r="F113" t="s">
        <v>56</v>
      </c>
      <c r="G113" s="9">
        <v>4693.49</v>
      </c>
      <c r="H113" s="13">
        <v>53461</v>
      </c>
      <c r="I113" s="10" t="s">
        <v>58</v>
      </c>
      <c r="J113" t="s">
        <v>18</v>
      </c>
      <c r="K113" s="6">
        <v>2025</v>
      </c>
      <c r="L113" t="s">
        <v>33</v>
      </c>
      <c r="M113" s="12">
        <v>11.39</v>
      </c>
      <c r="N113" t="s">
        <v>59</v>
      </c>
    </row>
    <row r="114" spans="1:14" x14ac:dyDescent="0.25">
      <c r="A114" t="s">
        <v>501</v>
      </c>
      <c r="B114" t="s">
        <v>40</v>
      </c>
      <c r="C114" t="s">
        <v>63</v>
      </c>
      <c r="D114" t="s">
        <v>24</v>
      </c>
      <c r="E114" s="6" t="s">
        <v>502</v>
      </c>
      <c r="F114" t="s">
        <v>17</v>
      </c>
      <c r="G114" s="9">
        <v>3883.71</v>
      </c>
      <c r="H114" s="13">
        <v>39564</v>
      </c>
      <c r="I114" s="10" t="s">
        <v>19</v>
      </c>
      <c r="J114" t="s">
        <v>18</v>
      </c>
      <c r="K114" s="6">
        <v>2025</v>
      </c>
      <c r="L114" t="s">
        <v>33</v>
      </c>
      <c r="M114" s="12">
        <v>10.19</v>
      </c>
      <c r="N114" t="s">
        <v>21</v>
      </c>
    </row>
    <row r="115" spans="1:14" x14ac:dyDescent="0.25">
      <c r="A115" t="s">
        <v>168</v>
      </c>
      <c r="B115" t="s">
        <v>40</v>
      </c>
      <c r="C115" t="s">
        <v>53</v>
      </c>
      <c r="D115" t="s">
        <v>24</v>
      </c>
      <c r="E115" s="6" t="s">
        <v>169</v>
      </c>
      <c r="F115" t="s">
        <v>56</v>
      </c>
      <c r="G115" s="9">
        <v>11412.06</v>
      </c>
      <c r="H115" s="13">
        <v>145868</v>
      </c>
      <c r="I115" s="10" t="s">
        <v>58</v>
      </c>
      <c r="J115" t="s">
        <v>57</v>
      </c>
      <c r="K115" s="6">
        <v>2024</v>
      </c>
      <c r="L115" t="s">
        <v>38</v>
      </c>
      <c r="M115" s="12">
        <v>12.78</v>
      </c>
      <c r="N115" t="s">
        <v>59</v>
      </c>
    </row>
    <row r="116" spans="1:14" x14ac:dyDescent="0.25">
      <c r="A116" t="s">
        <v>440</v>
      </c>
      <c r="B116" t="s">
        <v>70</v>
      </c>
      <c r="C116" t="s">
        <v>41</v>
      </c>
      <c r="D116" t="s">
        <v>24</v>
      </c>
      <c r="E116" s="6" t="s">
        <v>441</v>
      </c>
      <c r="F116" t="s">
        <v>56</v>
      </c>
      <c r="G116" s="9">
        <v>6137.32</v>
      </c>
      <c r="H116" s="13">
        <v>75920</v>
      </c>
      <c r="I116" s="10" t="s">
        <v>58</v>
      </c>
      <c r="J116" t="s">
        <v>18</v>
      </c>
      <c r="K116" s="6">
        <v>2024</v>
      </c>
      <c r="L116" t="s">
        <v>33</v>
      </c>
      <c r="M116" s="12">
        <v>12.37</v>
      </c>
      <c r="N116" t="s">
        <v>59</v>
      </c>
    </row>
    <row r="117" spans="1:14" x14ac:dyDescent="0.25">
      <c r="A117" t="s">
        <v>576</v>
      </c>
      <c r="B117" t="s">
        <v>13</v>
      </c>
      <c r="C117" t="s">
        <v>53</v>
      </c>
      <c r="D117" t="s">
        <v>24</v>
      </c>
      <c r="E117" s="6" t="s">
        <v>577</v>
      </c>
      <c r="F117" t="s">
        <v>48</v>
      </c>
      <c r="G117" s="9">
        <v>1479.58</v>
      </c>
      <c r="H117" s="13">
        <v>18861</v>
      </c>
      <c r="I117" s="10" t="s">
        <v>27</v>
      </c>
      <c r="J117" t="s">
        <v>18</v>
      </c>
      <c r="K117" s="6">
        <v>2025</v>
      </c>
      <c r="L117" t="s">
        <v>20</v>
      </c>
      <c r="M117" s="12">
        <v>12.75</v>
      </c>
      <c r="N117" t="s">
        <v>49</v>
      </c>
    </row>
    <row r="118" spans="1:14" x14ac:dyDescent="0.25">
      <c r="A118" t="s">
        <v>520</v>
      </c>
      <c r="B118" t="s">
        <v>30</v>
      </c>
      <c r="C118" t="s">
        <v>14</v>
      </c>
      <c r="D118" t="s">
        <v>24</v>
      </c>
      <c r="E118" s="6" t="s">
        <v>521</v>
      </c>
      <c r="F118" t="s">
        <v>48</v>
      </c>
      <c r="G118" s="9">
        <v>8794.77</v>
      </c>
      <c r="H118" s="13">
        <v>117604</v>
      </c>
      <c r="I118" s="10" t="s">
        <v>27</v>
      </c>
      <c r="J118" t="s">
        <v>18</v>
      </c>
      <c r="K118" s="6">
        <v>2024</v>
      </c>
      <c r="L118" t="s">
        <v>38</v>
      </c>
      <c r="M118" s="12">
        <v>13.37</v>
      </c>
      <c r="N118" t="s">
        <v>49</v>
      </c>
    </row>
    <row r="119" spans="1:14" x14ac:dyDescent="0.25">
      <c r="A119" t="s">
        <v>492</v>
      </c>
      <c r="B119" t="s">
        <v>70</v>
      </c>
      <c r="C119" t="s">
        <v>36</v>
      </c>
      <c r="D119" t="s">
        <v>24</v>
      </c>
      <c r="E119" s="6" t="s">
        <v>493</v>
      </c>
      <c r="F119" t="s">
        <v>17</v>
      </c>
      <c r="G119" s="9">
        <v>3263.73</v>
      </c>
      <c r="H119" s="13">
        <v>47611</v>
      </c>
      <c r="I119" s="10" t="s">
        <v>19</v>
      </c>
      <c r="J119" t="s">
        <v>57</v>
      </c>
      <c r="K119" s="6">
        <v>2025</v>
      </c>
      <c r="L119" t="s">
        <v>33</v>
      </c>
      <c r="M119" s="12">
        <v>14.59</v>
      </c>
      <c r="N119" t="s">
        <v>21</v>
      </c>
    </row>
    <row r="120" spans="1:14" x14ac:dyDescent="0.25">
      <c r="A120" t="s">
        <v>609</v>
      </c>
      <c r="B120" t="s">
        <v>66</v>
      </c>
      <c r="C120" t="s">
        <v>36</v>
      </c>
      <c r="D120" t="s">
        <v>31</v>
      </c>
      <c r="E120" s="6" t="s">
        <v>610</v>
      </c>
      <c r="F120" t="s">
        <v>56</v>
      </c>
      <c r="G120" s="9">
        <v>2099.1799999999998</v>
      </c>
      <c r="H120" s="13">
        <v>23549</v>
      </c>
      <c r="I120" s="10" t="s">
        <v>58</v>
      </c>
      <c r="J120" t="s">
        <v>18</v>
      </c>
      <c r="K120" s="6">
        <v>2024</v>
      </c>
      <c r="L120" t="s">
        <v>33</v>
      </c>
      <c r="M120" s="12">
        <v>11.22</v>
      </c>
      <c r="N120" t="s">
        <v>59</v>
      </c>
    </row>
    <row r="121" spans="1:14" x14ac:dyDescent="0.25">
      <c r="A121" t="s">
        <v>391</v>
      </c>
      <c r="B121" t="s">
        <v>30</v>
      </c>
      <c r="C121" t="s">
        <v>41</v>
      </c>
      <c r="D121" t="s">
        <v>24</v>
      </c>
      <c r="E121" s="6" t="s">
        <v>392</v>
      </c>
      <c r="F121" t="s">
        <v>26</v>
      </c>
      <c r="G121" s="9">
        <v>4167.34</v>
      </c>
      <c r="H121" s="13">
        <v>15921</v>
      </c>
      <c r="I121" s="10" t="s">
        <v>27</v>
      </c>
      <c r="J121" t="s">
        <v>57</v>
      </c>
      <c r="K121" s="6">
        <v>2026</v>
      </c>
      <c r="L121" t="s">
        <v>33</v>
      </c>
      <c r="M121" s="12">
        <v>3.82</v>
      </c>
      <c r="N121" t="s">
        <v>28</v>
      </c>
    </row>
    <row r="122" spans="1:14" x14ac:dyDescent="0.25">
      <c r="A122" t="s">
        <v>590</v>
      </c>
      <c r="B122" t="s">
        <v>70</v>
      </c>
      <c r="C122" t="s">
        <v>63</v>
      </c>
      <c r="D122" t="s">
        <v>24</v>
      </c>
      <c r="E122" s="6" t="s">
        <v>591</v>
      </c>
      <c r="F122" t="s">
        <v>26</v>
      </c>
      <c r="G122" s="9">
        <v>7268.04</v>
      </c>
      <c r="H122" s="13">
        <v>97022</v>
      </c>
      <c r="I122" s="10" t="s">
        <v>27</v>
      </c>
      <c r="J122" t="s">
        <v>18</v>
      </c>
      <c r="K122" s="6">
        <v>2026</v>
      </c>
      <c r="L122" t="s">
        <v>38</v>
      </c>
      <c r="M122" s="12">
        <v>13.35</v>
      </c>
      <c r="N122" t="s">
        <v>28</v>
      </c>
    </row>
    <row r="123" spans="1:14" x14ac:dyDescent="0.25">
      <c r="A123" t="s">
        <v>213</v>
      </c>
      <c r="B123" t="s">
        <v>66</v>
      </c>
      <c r="C123" t="s">
        <v>36</v>
      </c>
      <c r="D123" t="s">
        <v>24</v>
      </c>
      <c r="E123" s="6" t="s">
        <v>214</v>
      </c>
      <c r="F123" t="s">
        <v>48</v>
      </c>
      <c r="G123" s="9">
        <v>11538.07</v>
      </c>
      <c r="H123" s="13">
        <v>124272</v>
      </c>
      <c r="I123" s="10" t="s">
        <v>27</v>
      </c>
      <c r="J123" t="s">
        <v>57</v>
      </c>
      <c r="K123" s="6">
        <v>2025</v>
      </c>
      <c r="L123" t="s">
        <v>38</v>
      </c>
      <c r="M123" s="12">
        <v>10.77</v>
      </c>
      <c r="N123" t="s">
        <v>49</v>
      </c>
    </row>
    <row r="124" spans="1:14" x14ac:dyDescent="0.25">
      <c r="A124" t="s">
        <v>560</v>
      </c>
      <c r="B124" t="s">
        <v>40</v>
      </c>
      <c r="C124" t="s">
        <v>41</v>
      </c>
      <c r="D124" t="s">
        <v>54</v>
      </c>
      <c r="E124" s="6" t="s">
        <v>214</v>
      </c>
      <c r="F124" t="s">
        <v>26</v>
      </c>
      <c r="G124" s="9">
        <v>170.35</v>
      </c>
      <c r="H124" s="13">
        <v>1548</v>
      </c>
      <c r="I124" s="10" t="s">
        <v>27</v>
      </c>
      <c r="J124" t="s">
        <v>57</v>
      </c>
      <c r="K124" s="6">
        <v>2025</v>
      </c>
      <c r="L124" t="s">
        <v>20</v>
      </c>
      <c r="M124" s="12">
        <v>9.09</v>
      </c>
      <c r="N124" t="s">
        <v>28</v>
      </c>
    </row>
    <row r="125" spans="1:14" x14ac:dyDescent="0.25">
      <c r="A125" t="s">
        <v>159</v>
      </c>
      <c r="B125" t="s">
        <v>66</v>
      </c>
      <c r="C125" t="s">
        <v>53</v>
      </c>
      <c r="D125" t="s">
        <v>54</v>
      </c>
      <c r="E125" s="6" t="s">
        <v>160</v>
      </c>
      <c r="F125" t="s">
        <v>17</v>
      </c>
      <c r="G125" s="9">
        <v>403.26</v>
      </c>
      <c r="H125" s="13">
        <v>4389</v>
      </c>
      <c r="I125" s="10" t="s">
        <v>19</v>
      </c>
      <c r="J125" t="s">
        <v>57</v>
      </c>
      <c r="K125" s="6">
        <v>2025</v>
      </c>
      <c r="L125" t="s">
        <v>20</v>
      </c>
      <c r="M125" s="12">
        <v>10.88</v>
      </c>
      <c r="N125" t="s">
        <v>21</v>
      </c>
    </row>
    <row r="126" spans="1:14" x14ac:dyDescent="0.25">
      <c r="A126" t="s">
        <v>615</v>
      </c>
      <c r="B126" t="s">
        <v>70</v>
      </c>
      <c r="C126" t="s">
        <v>41</v>
      </c>
      <c r="D126" t="s">
        <v>24</v>
      </c>
      <c r="E126" s="6" t="s">
        <v>616</v>
      </c>
      <c r="F126" t="s">
        <v>56</v>
      </c>
      <c r="G126" s="9">
        <v>10385.48</v>
      </c>
      <c r="H126" s="13">
        <v>129621</v>
      </c>
      <c r="I126" s="10" t="s">
        <v>58</v>
      </c>
      <c r="J126" t="s">
        <v>18</v>
      </c>
      <c r="K126" s="6">
        <v>2025</v>
      </c>
      <c r="L126" t="s">
        <v>38</v>
      </c>
      <c r="M126" s="12">
        <v>12.48</v>
      </c>
      <c r="N126" t="s">
        <v>59</v>
      </c>
    </row>
    <row r="127" spans="1:14" x14ac:dyDescent="0.25">
      <c r="A127" t="s">
        <v>653</v>
      </c>
      <c r="B127" t="s">
        <v>66</v>
      </c>
      <c r="C127" t="s">
        <v>53</v>
      </c>
      <c r="D127" t="s">
        <v>24</v>
      </c>
      <c r="E127" s="6" t="s">
        <v>654</v>
      </c>
      <c r="F127" t="s">
        <v>17</v>
      </c>
      <c r="G127" s="9">
        <v>8947.14</v>
      </c>
      <c r="H127" s="13">
        <v>78016</v>
      </c>
      <c r="I127" s="10" t="s">
        <v>19</v>
      </c>
      <c r="J127" t="s">
        <v>57</v>
      </c>
      <c r="K127" s="6">
        <v>2025</v>
      </c>
      <c r="L127" t="s">
        <v>38</v>
      </c>
      <c r="M127" s="12">
        <v>8.7200000000000006</v>
      </c>
      <c r="N127" t="s">
        <v>21</v>
      </c>
    </row>
    <row r="128" spans="1:14" x14ac:dyDescent="0.25">
      <c r="A128" t="s">
        <v>232</v>
      </c>
      <c r="B128" t="s">
        <v>35</v>
      </c>
      <c r="C128" t="s">
        <v>53</v>
      </c>
      <c r="D128" t="s">
        <v>24</v>
      </c>
      <c r="E128" s="6" t="s">
        <v>233</v>
      </c>
      <c r="F128" t="s">
        <v>17</v>
      </c>
      <c r="G128" s="9">
        <v>1031.46</v>
      </c>
      <c r="H128" s="13">
        <v>9833</v>
      </c>
      <c r="I128" s="10" t="s">
        <v>19</v>
      </c>
      <c r="J128" t="s">
        <v>57</v>
      </c>
      <c r="K128" s="6">
        <v>2024</v>
      </c>
      <c r="L128" t="s">
        <v>20</v>
      </c>
      <c r="M128" s="12">
        <v>9.5299999999999994</v>
      </c>
      <c r="N128" t="s">
        <v>21</v>
      </c>
    </row>
    <row r="129" spans="1:14" x14ac:dyDescent="0.25">
      <c r="A129" t="s">
        <v>451</v>
      </c>
      <c r="B129" t="s">
        <v>30</v>
      </c>
      <c r="C129" t="s">
        <v>53</v>
      </c>
      <c r="D129" t="s">
        <v>24</v>
      </c>
      <c r="E129" s="6" t="s">
        <v>233</v>
      </c>
      <c r="F129" t="s">
        <v>26</v>
      </c>
      <c r="G129" s="9">
        <v>7980.26</v>
      </c>
      <c r="H129" s="13">
        <v>108146</v>
      </c>
      <c r="I129" s="10" t="s">
        <v>27</v>
      </c>
      <c r="J129" t="s">
        <v>57</v>
      </c>
      <c r="K129" s="6">
        <v>2024</v>
      </c>
      <c r="L129" t="s">
        <v>38</v>
      </c>
      <c r="M129" s="12">
        <v>13.55</v>
      </c>
      <c r="N129" t="s">
        <v>28</v>
      </c>
    </row>
    <row r="130" spans="1:14" x14ac:dyDescent="0.25">
      <c r="A130" t="s">
        <v>86</v>
      </c>
      <c r="B130" t="s">
        <v>66</v>
      </c>
      <c r="C130" t="s">
        <v>53</v>
      </c>
      <c r="D130" t="s">
        <v>24</v>
      </c>
      <c r="E130" s="6" t="s">
        <v>87</v>
      </c>
      <c r="F130" t="s">
        <v>26</v>
      </c>
      <c r="G130" s="9">
        <v>9698.7000000000007</v>
      </c>
      <c r="H130" s="13">
        <v>144694</v>
      </c>
      <c r="I130" s="10" t="s">
        <v>27</v>
      </c>
      <c r="J130" t="s">
        <v>57</v>
      </c>
      <c r="K130" s="6">
        <v>2024</v>
      </c>
      <c r="L130" t="s">
        <v>38</v>
      </c>
      <c r="M130" s="12">
        <v>14.92</v>
      </c>
      <c r="N130" t="s">
        <v>28</v>
      </c>
    </row>
    <row r="131" spans="1:14" x14ac:dyDescent="0.25">
      <c r="A131" t="s">
        <v>350</v>
      </c>
      <c r="B131" t="s">
        <v>40</v>
      </c>
      <c r="C131" t="s">
        <v>53</v>
      </c>
      <c r="D131" t="s">
        <v>24</v>
      </c>
      <c r="E131" s="6" t="s">
        <v>87</v>
      </c>
      <c r="F131" t="s">
        <v>17</v>
      </c>
      <c r="G131" s="9">
        <v>10929.68</v>
      </c>
      <c r="H131" s="13">
        <v>115541</v>
      </c>
      <c r="I131" s="10" t="s">
        <v>19</v>
      </c>
      <c r="J131" t="s">
        <v>18</v>
      </c>
      <c r="K131" s="6">
        <v>2024</v>
      </c>
      <c r="L131" t="s">
        <v>38</v>
      </c>
      <c r="M131" s="12">
        <v>10.57</v>
      </c>
      <c r="N131" t="s">
        <v>21</v>
      </c>
    </row>
    <row r="132" spans="1:14" x14ac:dyDescent="0.25">
      <c r="A132" t="s">
        <v>45</v>
      </c>
      <c r="B132" t="s">
        <v>46</v>
      </c>
      <c r="C132" t="s">
        <v>36</v>
      </c>
      <c r="D132" t="s">
        <v>24</v>
      </c>
      <c r="E132" s="6" t="s">
        <v>47</v>
      </c>
      <c r="F132" t="s">
        <v>48</v>
      </c>
      <c r="G132" s="9">
        <v>6854.04</v>
      </c>
      <c r="H132" s="13">
        <v>86495</v>
      </c>
      <c r="I132" s="10" t="s">
        <v>27</v>
      </c>
      <c r="J132" t="s">
        <v>18</v>
      </c>
      <c r="K132" s="6">
        <v>2024</v>
      </c>
      <c r="L132" t="s">
        <v>33</v>
      </c>
      <c r="M132" s="12">
        <v>12.62</v>
      </c>
      <c r="N132" t="s">
        <v>49</v>
      </c>
    </row>
    <row r="133" spans="1:14" x14ac:dyDescent="0.25">
      <c r="A133" t="s">
        <v>261</v>
      </c>
      <c r="B133" t="s">
        <v>23</v>
      </c>
      <c r="C133" t="s">
        <v>63</v>
      </c>
      <c r="D133" t="s">
        <v>54</v>
      </c>
      <c r="E133" s="6" t="s">
        <v>47</v>
      </c>
      <c r="F133" t="s">
        <v>17</v>
      </c>
      <c r="G133" s="9">
        <v>278.7</v>
      </c>
      <c r="H133" s="13">
        <v>2943</v>
      </c>
      <c r="I133" s="10" t="s">
        <v>19</v>
      </c>
      <c r="J133" t="s">
        <v>57</v>
      </c>
      <c r="K133" s="6">
        <v>2024</v>
      </c>
      <c r="L133" t="s">
        <v>20</v>
      </c>
      <c r="M133" s="12">
        <v>10.56</v>
      </c>
      <c r="N133" t="s">
        <v>21</v>
      </c>
    </row>
    <row r="134" spans="1:14" x14ac:dyDescent="0.25">
      <c r="A134" t="s">
        <v>286</v>
      </c>
      <c r="B134" t="s">
        <v>70</v>
      </c>
      <c r="C134" t="s">
        <v>41</v>
      </c>
      <c r="D134" t="s">
        <v>24</v>
      </c>
      <c r="E134" s="6" t="s">
        <v>287</v>
      </c>
      <c r="F134" t="s">
        <v>48</v>
      </c>
      <c r="G134" s="9">
        <v>10158.42</v>
      </c>
      <c r="H134" s="13">
        <v>87689</v>
      </c>
      <c r="I134" s="10" t="s">
        <v>27</v>
      </c>
      <c r="J134" t="s">
        <v>57</v>
      </c>
      <c r="K134" s="6">
        <v>2024</v>
      </c>
      <c r="L134" t="s">
        <v>38</v>
      </c>
      <c r="M134" s="12">
        <v>8.6300000000000008</v>
      </c>
      <c r="N134" t="s">
        <v>49</v>
      </c>
    </row>
    <row r="135" spans="1:14" x14ac:dyDescent="0.25">
      <c r="A135" t="s">
        <v>291</v>
      </c>
      <c r="B135" t="s">
        <v>30</v>
      </c>
      <c r="C135" t="s">
        <v>36</v>
      </c>
      <c r="D135" t="s">
        <v>24</v>
      </c>
      <c r="E135" s="6" t="s">
        <v>292</v>
      </c>
      <c r="F135" t="s">
        <v>17</v>
      </c>
      <c r="G135" s="9">
        <v>3251.33</v>
      </c>
      <c r="H135" s="13">
        <v>34399</v>
      </c>
      <c r="I135" s="10" t="s">
        <v>19</v>
      </c>
      <c r="J135" t="s">
        <v>57</v>
      </c>
      <c r="K135" s="6">
        <v>2026</v>
      </c>
      <c r="L135" t="s">
        <v>33</v>
      </c>
      <c r="M135" s="12">
        <v>10.58</v>
      </c>
      <c r="N135" t="s">
        <v>21</v>
      </c>
    </row>
    <row r="136" spans="1:14" x14ac:dyDescent="0.25">
      <c r="A136" t="s">
        <v>170</v>
      </c>
      <c r="B136" t="s">
        <v>46</v>
      </c>
      <c r="C136" t="s">
        <v>53</v>
      </c>
      <c r="D136" t="s">
        <v>24</v>
      </c>
      <c r="E136" s="6" t="s">
        <v>171</v>
      </c>
      <c r="F136" t="s">
        <v>17</v>
      </c>
      <c r="G136" s="9">
        <v>3263.73</v>
      </c>
      <c r="H136" s="13">
        <v>127341</v>
      </c>
      <c r="I136" s="10" t="s">
        <v>19</v>
      </c>
      <c r="J136" t="s">
        <v>57</v>
      </c>
      <c r="K136" s="6">
        <v>2024</v>
      </c>
      <c r="L136" t="s">
        <v>33</v>
      </c>
      <c r="M136" s="12">
        <v>39.020000000000003</v>
      </c>
      <c r="N136" t="s">
        <v>21</v>
      </c>
    </row>
    <row r="137" spans="1:14" x14ac:dyDescent="0.25">
      <c r="A137" t="s">
        <v>734</v>
      </c>
      <c r="B137" t="s">
        <v>30</v>
      </c>
      <c r="C137" t="s">
        <v>41</v>
      </c>
      <c r="D137" t="s">
        <v>54</v>
      </c>
      <c r="E137" s="6" t="s">
        <v>735</v>
      </c>
      <c r="F137" t="s">
        <v>56</v>
      </c>
      <c r="G137" s="9">
        <v>56.73</v>
      </c>
      <c r="H137" s="13">
        <v>475</v>
      </c>
      <c r="I137" s="10" t="s">
        <v>58</v>
      </c>
      <c r="J137" t="s">
        <v>18</v>
      </c>
      <c r="K137" s="6">
        <v>2024</v>
      </c>
      <c r="L137" t="s">
        <v>20</v>
      </c>
      <c r="M137" s="12">
        <v>8.3699999999999992</v>
      </c>
      <c r="N137" t="s">
        <v>59</v>
      </c>
    </row>
    <row r="138" spans="1:14" x14ac:dyDescent="0.25">
      <c r="A138" t="s">
        <v>141</v>
      </c>
      <c r="B138" t="s">
        <v>70</v>
      </c>
      <c r="C138" t="s">
        <v>63</v>
      </c>
      <c r="D138" t="s">
        <v>15</v>
      </c>
      <c r="E138" s="6" t="s">
        <v>142</v>
      </c>
      <c r="F138" t="s">
        <v>48</v>
      </c>
      <c r="G138" s="9">
        <v>69.14</v>
      </c>
      <c r="H138" s="13">
        <v>894</v>
      </c>
      <c r="I138" s="10" t="s">
        <v>27</v>
      </c>
      <c r="J138" t="s">
        <v>57</v>
      </c>
      <c r="K138" s="6">
        <v>2025</v>
      </c>
      <c r="L138" t="s">
        <v>20</v>
      </c>
      <c r="M138" s="12">
        <v>12.93</v>
      </c>
      <c r="N138" t="s">
        <v>49</v>
      </c>
    </row>
    <row r="139" spans="1:14" x14ac:dyDescent="0.25">
      <c r="A139" t="s">
        <v>434</v>
      </c>
      <c r="B139" t="s">
        <v>40</v>
      </c>
      <c r="C139" t="s">
        <v>53</v>
      </c>
      <c r="D139" t="s">
        <v>24</v>
      </c>
      <c r="E139" s="6" t="s">
        <v>435</v>
      </c>
      <c r="F139" t="s">
        <v>48</v>
      </c>
      <c r="G139" s="9">
        <v>7946.75</v>
      </c>
      <c r="H139" s="13">
        <v>81492</v>
      </c>
      <c r="I139" s="10" t="s">
        <v>27</v>
      </c>
      <c r="J139" t="s">
        <v>18</v>
      </c>
      <c r="K139" s="6">
        <v>2024</v>
      </c>
      <c r="L139" t="s">
        <v>38</v>
      </c>
      <c r="M139" s="12">
        <v>10.25</v>
      </c>
      <c r="N139" t="s">
        <v>49</v>
      </c>
    </row>
    <row r="140" spans="1:14" x14ac:dyDescent="0.25">
      <c r="A140" t="s">
        <v>688</v>
      </c>
      <c r="B140" t="s">
        <v>66</v>
      </c>
      <c r="C140" t="s">
        <v>53</v>
      </c>
      <c r="D140" t="s">
        <v>24</v>
      </c>
      <c r="E140" s="6" t="s">
        <v>689</v>
      </c>
      <c r="F140" t="s">
        <v>26</v>
      </c>
      <c r="G140" s="9">
        <v>6197.89</v>
      </c>
      <c r="H140" s="13">
        <v>51215</v>
      </c>
      <c r="I140" s="10" t="s">
        <v>27</v>
      </c>
      <c r="J140" t="s">
        <v>57</v>
      </c>
      <c r="K140" s="6">
        <v>2025</v>
      </c>
      <c r="L140" t="s">
        <v>33</v>
      </c>
      <c r="M140" s="12">
        <v>8.26</v>
      </c>
      <c r="N140" t="s">
        <v>28</v>
      </c>
    </row>
    <row r="141" spans="1:14" x14ac:dyDescent="0.25">
      <c r="A141" t="s">
        <v>600</v>
      </c>
      <c r="B141" t="s">
        <v>35</v>
      </c>
      <c r="C141" t="s">
        <v>36</v>
      </c>
      <c r="D141" t="s">
        <v>24</v>
      </c>
      <c r="E141" s="6" t="s">
        <v>601</v>
      </c>
      <c r="F141" t="s">
        <v>48</v>
      </c>
      <c r="G141" s="9">
        <v>7693.42</v>
      </c>
      <c r="H141" s="13">
        <v>73940</v>
      </c>
      <c r="I141" s="10" t="s">
        <v>27</v>
      </c>
      <c r="J141" t="s">
        <v>18</v>
      </c>
      <c r="K141" s="6">
        <v>2025</v>
      </c>
      <c r="L141" t="s">
        <v>38</v>
      </c>
      <c r="M141" s="12">
        <v>9.61</v>
      </c>
      <c r="N141" t="s">
        <v>49</v>
      </c>
    </row>
    <row r="142" spans="1:14" x14ac:dyDescent="0.25">
      <c r="A142" t="s">
        <v>165</v>
      </c>
      <c r="B142" t="s">
        <v>40</v>
      </c>
      <c r="C142" t="s">
        <v>36</v>
      </c>
      <c r="D142" t="s">
        <v>54</v>
      </c>
      <c r="E142" s="6" t="s">
        <v>166</v>
      </c>
      <c r="F142" t="s">
        <v>56</v>
      </c>
      <c r="G142" s="9">
        <v>98.52</v>
      </c>
      <c r="H142" s="13">
        <v>1208</v>
      </c>
      <c r="I142" s="10" t="s">
        <v>58</v>
      </c>
      <c r="J142" t="s">
        <v>18</v>
      </c>
      <c r="K142" s="6">
        <v>2024</v>
      </c>
      <c r="L142" t="s">
        <v>20</v>
      </c>
      <c r="M142" s="12">
        <v>12.27</v>
      </c>
      <c r="N142" t="s">
        <v>59</v>
      </c>
    </row>
    <row r="143" spans="1:14" x14ac:dyDescent="0.25">
      <c r="A143" t="s">
        <v>438</v>
      </c>
      <c r="B143" t="s">
        <v>70</v>
      </c>
      <c r="C143" t="s">
        <v>36</v>
      </c>
      <c r="D143" t="s">
        <v>54</v>
      </c>
      <c r="E143" s="6" t="s">
        <v>439</v>
      </c>
      <c r="F143" t="s">
        <v>26</v>
      </c>
      <c r="G143" s="9">
        <v>210.03</v>
      </c>
      <c r="H143" s="13">
        <v>1866</v>
      </c>
      <c r="I143" s="10" t="s">
        <v>27</v>
      </c>
      <c r="J143" t="s">
        <v>18</v>
      </c>
      <c r="K143" s="6">
        <v>2025</v>
      </c>
      <c r="L143" t="s">
        <v>20</v>
      </c>
      <c r="M143" s="12">
        <v>8.8800000000000008</v>
      </c>
      <c r="N143" t="s">
        <v>28</v>
      </c>
    </row>
    <row r="144" spans="1:14" x14ac:dyDescent="0.25">
      <c r="A144" t="s">
        <v>701</v>
      </c>
      <c r="B144" t="s">
        <v>40</v>
      </c>
      <c r="C144" t="s">
        <v>36</v>
      </c>
      <c r="D144" t="s">
        <v>24</v>
      </c>
      <c r="E144" s="6" t="s">
        <v>439</v>
      </c>
      <c r="F144" t="s">
        <v>56</v>
      </c>
      <c r="G144" s="9">
        <v>10446.469999999999</v>
      </c>
      <c r="H144" s="13">
        <v>153350</v>
      </c>
      <c r="I144" s="10" t="s">
        <v>58</v>
      </c>
      <c r="J144" t="s">
        <v>57</v>
      </c>
      <c r="K144" s="6">
        <v>2025</v>
      </c>
      <c r="L144" t="s">
        <v>38</v>
      </c>
      <c r="M144" s="12">
        <v>14.68</v>
      </c>
      <c r="N144" t="s">
        <v>59</v>
      </c>
    </row>
    <row r="145" spans="1:14" x14ac:dyDescent="0.25">
      <c r="A145" t="s">
        <v>277</v>
      </c>
      <c r="B145" t="s">
        <v>40</v>
      </c>
      <c r="C145" t="s">
        <v>63</v>
      </c>
      <c r="D145" t="s">
        <v>24</v>
      </c>
      <c r="E145" s="6" t="s">
        <v>278</v>
      </c>
      <c r="F145" t="s">
        <v>48</v>
      </c>
      <c r="G145" s="9">
        <v>3571.15</v>
      </c>
      <c r="H145" s="13">
        <v>104691</v>
      </c>
      <c r="I145" s="10" t="s">
        <v>27</v>
      </c>
      <c r="J145" t="s">
        <v>18</v>
      </c>
      <c r="K145" s="6">
        <v>2024</v>
      </c>
      <c r="L145" t="s">
        <v>33</v>
      </c>
      <c r="M145" s="12">
        <v>29.32</v>
      </c>
      <c r="N145" t="s">
        <v>49</v>
      </c>
    </row>
    <row r="146" spans="1:14" x14ac:dyDescent="0.25">
      <c r="A146" t="s">
        <v>234</v>
      </c>
      <c r="B146" t="s">
        <v>66</v>
      </c>
      <c r="C146" t="s">
        <v>53</v>
      </c>
      <c r="D146" t="s">
        <v>24</v>
      </c>
      <c r="E146" s="6" t="s">
        <v>235</v>
      </c>
      <c r="F146" t="s">
        <v>48</v>
      </c>
      <c r="G146" s="9">
        <v>11815.26</v>
      </c>
      <c r="H146" s="13">
        <v>110247</v>
      </c>
      <c r="I146" s="10" t="s">
        <v>27</v>
      </c>
      <c r="J146" t="s">
        <v>18</v>
      </c>
      <c r="K146" s="6">
        <v>2026</v>
      </c>
      <c r="L146" t="s">
        <v>38</v>
      </c>
      <c r="M146" s="12">
        <v>9.33</v>
      </c>
      <c r="N146" t="s">
        <v>49</v>
      </c>
    </row>
    <row r="147" spans="1:14" x14ac:dyDescent="0.25">
      <c r="A147" t="s">
        <v>513</v>
      </c>
      <c r="B147" t="s">
        <v>70</v>
      </c>
      <c r="C147" t="s">
        <v>36</v>
      </c>
      <c r="D147" t="s">
        <v>31</v>
      </c>
      <c r="E147" s="6" t="s">
        <v>514</v>
      </c>
      <c r="F147" t="s">
        <v>17</v>
      </c>
      <c r="G147" s="9">
        <v>2990.23</v>
      </c>
      <c r="H147" s="13">
        <v>35565</v>
      </c>
      <c r="I147" s="10" t="s">
        <v>19</v>
      </c>
      <c r="J147" t="s">
        <v>18</v>
      </c>
      <c r="K147" s="6">
        <v>2024</v>
      </c>
      <c r="L147" t="s">
        <v>33</v>
      </c>
      <c r="M147" s="12">
        <v>11.89</v>
      </c>
      <c r="N147" t="s">
        <v>21</v>
      </c>
    </row>
    <row r="148" spans="1:14" x14ac:dyDescent="0.25">
      <c r="A148" t="s">
        <v>328</v>
      </c>
      <c r="B148" t="s">
        <v>35</v>
      </c>
      <c r="C148" t="s">
        <v>41</v>
      </c>
      <c r="D148" t="s">
        <v>31</v>
      </c>
      <c r="E148" s="6" t="s">
        <v>329</v>
      </c>
      <c r="F148" t="s">
        <v>26</v>
      </c>
      <c r="G148" s="9">
        <v>1230.96</v>
      </c>
      <c r="H148" s="13">
        <v>13045</v>
      </c>
      <c r="I148" s="10" t="s">
        <v>27</v>
      </c>
      <c r="J148" t="s">
        <v>57</v>
      </c>
      <c r="K148" s="6">
        <v>2025</v>
      </c>
      <c r="L148" t="s">
        <v>20</v>
      </c>
      <c r="M148" s="12">
        <v>10.6</v>
      </c>
      <c r="N148" t="s">
        <v>28</v>
      </c>
    </row>
    <row r="149" spans="1:14" x14ac:dyDescent="0.25">
      <c r="A149" t="s">
        <v>143</v>
      </c>
      <c r="B149" t="s">
        <v>70</v>
      </c>
      <c r="C149" t="s">
        <v>63</v>
      </c>
      <c r="D149" t="s">
        <v>24</v>
      </c>
      <c r="E149" s="6" t="s">
        <v>144</v>
      </c>
      <c r="F149" t="s">
        <v>56</v>
      </c>
      <c r="G149" s="9">
        <v>9543.92</v>
      </c>
      <c r="H149" s="13">
        <v>83066</v>
      </c>
      <c r="I149" s="10" t="s">
        <v>58</v>
      </c>
      <c r="J149" t="s">
        <v>57</v>
      </c>
      <c r="K149" s="6">
        <v>2024</v>
      </c>
      <c r="L149" t="s">
        <v>38</v>
      </c>
      <c r="M149" s="12">
        <v>8.6999999999999993</v>
      </c>
      <c r="N149" t="s">
        <v>59</v>
      </c>
    </row>
    <row r="150" spans="1:14" x14ac:dyDescent="0.25">
      <c r="A150" t="s">
        <v>379</v>
      </c>
      <c r="B150" t="s">
        <v>13</v>
      </c>
      <c r="C150" t="s">
        <v>63</v>
      </c>
      <c r="D150" t="s">
        <v>24</v>
      </c>
      <c r="E150" s="6" t="s">
        <v>144</v>
      </c>
      <c r="F150" t="s">
        <v>56</v>
      </c>
      <c r="G150" s="9">
        <v>11508.78</v>
      </c>
      <c r="H150" s="13">
        <v>154455</v>
      </c>
      <c r="I150" s="10" t="s">
        <v>58</v>
      </c>
      <c r="J150" t="s">
        <v>57</v>
      </c>
      <c r="K150" s="6">
        <v>2024</v>
      </c>
      <c r="L150" t="s">
        <v>38</v>
      </c>
      <c r="M150" s="12">
        <v>13.42</v>
      </c>
      <c r="N150" t="s">
        <v>59</v>
      </c>
    </row>
    <row r="151" spans="1:14" x14ac:dyDescent="0.25">
      <c r="A151" t="s">
        <v>535</v>
      </c>
      <c r="B151" t="s">
        <v>46</v>
      </c>
      <c r="C151" t="s">
        <v>41</v>
      </c>
      <c r="D151" t="s">
        <v>24</v>
      </c>
      <c r="E151" s="6" t="s">
        <v>536</v>
      </c>
      <c r="F151" t="s">
        <v>17</v>
      </c>
      <c r="G151" s="9">
        <v>11775.87</v>
      </c>
      <c r="H151" s="13">
        <v>123142</v>
      </c>
      <c r="I151" s="10" t="s">
        <v>19</v>
      </c>
      <c r="J151" t="s">
        <v>18</v>
      </c>
      <c r="K151" s="6">
        <v>2024</v>
      </c>
      <c r="L151" t="s">
        <v>38</v>
      </c>
      <c r="M151" s="12">
        <v>10.46</v>
      </c>
      <c r="N151" t="s">
        <v>21</v>
      </c>
    </row>
    <row r="152" spans="1:14" x14ac:dyDescent="0.25">
      <c r="A152" t="s">
        <v>599</v>
      </c>
      <c r="B152" t="s">
        <v>30</v>
      </c>
      <c r="C152" t="s">
        <v>14</v>
      </c>
      <c r="D152" t="s">
        <v>54</v>
      </c>
      <c r="E152" s="6" t="s">
        <v>536</v>
      </c>
      <c r="F152" t="s">
        <v>17</v>
      </c>
      <c r="G152" s="9">
        <v>381.37</v>
      </c>
      <c r="H152" s="13">
        <v>4473</v>
      </c>
      <c r="I152" s="10" t="s">
        <v>19</v>
      </c>
      <c r="J152" t="s">
        <v>18</v>
      </c>
      <c r="K152" s="6">
        <v>2024</v>
      </c>
      <c r="L152" t="s">
        <v>20</v>
      </c>
      <c r="M152" s="12">
        <v>11.73</v>
      </c>
      <c r="N152" t="s">
        <v>21</v>
      </c>
    </row>
    <row r="153" spans="1:14" x14ac:dyDescent="0.25">
      <c r="A153" t="s">
        <v>497</v>
      </c>
      <c r="B153" t="s">
        <v>13</v>
      </c>
      <c r="C153" t="s">
        <v>53</v>
      </c>
      <c r="D153" t="s">
        <v>15</v>
      </c>
      <c r="E153" s="6" t="s">
        <v>498</v>
      </c>
      <c r="F153" t="s">
        <v>26</v>
      </c>
      <c r="G153" s="9">
        <v>89.63</v>
      </c>
      <c r="H153" s="13">
        <v>749</v>
      </c>
      <c r="I153" s="10" t="s">
        <v>27</v>
      </c>
      <c r="J153" t="s">
        <v>57</v>
      </c>
      <c r="K153" s="6">
        <v>2025</v>
      </c>
      <c r="L153" t="s">
        <v>20</v>
      </c>
      <c r="M153" s="12">
        <v>8.36</v>
      </c>
      <c r="N153" t="s">
        <v>28</v>
      </c>
    </row>
    <row r="154" spans="1:14" x14ac:dyDescent="0.25">
      <c r="A154" t="s">
        <v>253</v>
      </c>
      <c r="B154" t="s">
        <v>70</v>
      </c>
      <c r="C154" t="s">
        <v>14</v>
      </c>
      <c r="D154" t="s">
        <v>24</v>
      </c>
      <c r="E154" s="6" t="s">
        <v>254</v>
      </c>
      <c r="F154" t="s">
        <v>48</v>
      </c>
      <c r="G154" s="9">
        <v>3571.15</v>
      </c>
      <c r="H154" s="13">
        <v>42966</v>
      </c>
      <c r="I154" s="10" t="s">
        <v>27</v>
      </c>
      <c r="J154" t="s">
        <v>18</v>
      </c>
      <c r="K154" s="6">
        <v>2025</v>
      </c>
      <c r="L154" t="s">
        <v>33</v>
      </c>
      <c r="M154" s="12">
        <v>12.03</v>
      </c>
      <c r="N154" t="s">
        <v>49</v>
      </c>
    </row>
    <row r="155" spans="1:14" x14ac:dyDescent="0.25">
      <c r="A155" t="s">
        <v>272</v>
      </c>
      <c r="B155" t="s">
        <v>40</v>
      </c>
      <c r="C155" t="s">
        <v>14</v>
      </c>
      <c r="D155" t="s">
        <v>15</v>
      </c>
      <c r="E155" s="6" t="s">
        <v>273</v>
      </c>
      <c r="F155" t="s">
        <v>26</v>
      </c>
      <c r="G155" s="9">
        <v>88.51</v>
      </c>
      <c r="H155" s="13">
        <v>1206</v>
      </c>
      <c r="I155" s="10" t="s">
        <v>27</v>
      </c>
      <c r="J155" t="s">
        <v>57</v>
      </c>
      <c r="K155" s="6">
        <v>2025</v>
      </c>
      <c r="L155" t="s">
        <v>20</v>
      </c>
      <c r="M155" s="12">
        <v>13.63</v>
      </c>
      <c r="N155" t="s">
        <v>28</v>
      </c>
    </row>
    <row r="156" spans="1:14" x14ac:dyDescent="0.25">
      <c r="A156" t="s">
        <v>635</v>
      </c>
      <c r="B156" t="s">
        <v>40</v>
      </c>
      <c r="C156" t="s">
        <v>63</v>
      </c>
      <c r="D156" t="s">
        <v>24</v>
      </c>
      <c r="E156" s="6" t="s">
        <v>273</v>
      </c>
      <c r="F156" t="s">
        <v>26</v>
      </c>
      <c r="G156" s="9">
        <v>4167.34</v>
      </c>
      <c r="H156" s="13">
        <v>2334</v>
      </c>
      <c r="I156" s="10" t="s">
        <v>27</v>
      </c>
      <c r="J156" t="s">
        <v>57</v>
      </c>
      <c r="K156" s="6">
        <v>2025</v>
      </c>
      <c r="L156" t="s">
        <v>33</v>
      </c>
      <c r="M156" s="12">
        <v>0.56000000000000005</v>
      </c>
      <c r="N156" t="s">
        <v>28</v>
      </c>
    </row>
    <row r="157" spans="1:14" x14ac:dyDescent="0.25">
      <c r="A157" t="s">
        <v>309</v>
      </c>
      <c r="B157" t="s">
        <v>70</v>
      </c>
      <c r="C157" t="s">
        <v>53</v>
      </c>
      <c r="D157" t="s">
        <v>24</v>
      </c>
      <c r="E157" s="6" t="s">
        <v>310</v>
      </c>
      <c r="F157" t="s">
        <v>17</v>
      </c>
      <c r="G157" s="9">
        <v>5270.98</v>
      </c>
      <c r="H157" s="13">
        <v>64678</v>
      </c>
      <c r="I157" s="10" t="s">
        <v>19</v>
      </c>
      <c r="J157" t="s">
        <v>18</v>
      </c>
      <c r="K157" s="6">
        <v>2025</v>
      </c>
      <c r="L157" t="s">
        <v>33</v>
      </c>
      <c r="M157" s="12">
        <v>12.27</v>
      </c>
      <c r="N157" t="s">
        <v>21</v>
      </c>
    </row>
    <row r="158" spans="1:14" x14ac:dyDescent="0.25">
      <c r="A158" t="s">
        <v>714</v>
      </c>
      <c r="B158" t="s">
        <v>13</v>
      </c>
      <c r="C158" t="s">
        <v>63</v>
      </c>
      <c r="D158" t="s">
        <v>24</v>
      </c>
      <c r="E158" s="6" t="s">
        <v>310</v>
      </c>
      <c r="F158" t="s">
        <v>26</v>
      </c>
      <c r="G158" s="9">
        <v>5583.47</v>
      </c>
      <c r="H158" s="13">
        <v>62276</v>
      </c>
      <c r="I158" s="10" t="s">
        <v>27</v>
      </c>
      <c r="J158" t="s">
        <v>18</v>
      </c>
      <c r="K158" s="6">
        <v>2025</v>
      </c>
      <c r="L158" t="s">
        <v>33</v>
      </c>
      <c r="M158" s="12">
        <v>11.15</v>
      </c>
      <c r="N158" t="s">
        <v>28</v>
      </c>
    </row>
    <row r="159" spans="1:14" x14ac:dyDescent="0.25">
      <c r="A159" t="s">
        <v>280</v>
      </c>
      <c r="B159" t="s">
        <v>40</v>
      </c>
      <c r="C159" t="s">
        <v>14</v>
      </c>
      <c r="D159" t="s">
        <v>24</v>
      </c>
      <c r="E159" s="6" t="s">
        <v>281</v>
      </c>
      <c r="F159" t="s">
        <v>56</v>
      </c>
      <c r="G159" s="9">
        <v>2330.3200000000002</v>
      </c>
      <c r="H159" s="13">
        <v>29644</v>
      </c>
      <c r="I159" s="10" t="s">
        <v>58</v>
      </c>
      <c r="J159" t="s">
        <v>18</v>
      </c>
      <c r="K159" s="6">
        <v>2025</v>
      </c>
      <c r="L159" t="s">
        <v>33</v>
      </c>
      <c r="M159" s="12">
        <v>12.72</v>
      </c>
      <c r="N159" t="s">
        <v>59</v>
      </c>
    </row>
    <row r="160" spans="1:14" x14ac:dyDescent="0.25">
      <c r="A160" t="s">
        <v>116</v>
      </c>
      <c r="B160" t="s">
        <v>70</v>
      </c>
      <c r="C160" t="s">
        <v>36</v>
      </c>
      <c r="D160" t="s">
        <v>24</v>
      </c>
      <c r="E160" s="6" t="s">
        <v>117</v>
      </c>
      <c r="F160" t="s">
        <v>26</v>
      </c>
      <c r="G160" s="9">
        <v>8090.38</v>
      </c>
      <c r="H160" s="13">
        <v>69272</v>
      </c>
      <c r="I160" s="10" t="s">
        <v>27</v>
      </c>
      <c r="J160" t="s">
        <v>18</v>
      </c>
      <c r="K160" s="6">
        <v>2026</v>
      </c>
      <c r="L160" t="s">
        <v>38</v>
      </c>
      <c r="M160" s="12">
        <v>8.56</v>
      </c>
      <c r="N160" t="s">
        <v>28</v>
      </c>
    </row>
    <row r="161" spans="1:14" x14ac:dyDescent="0.25">
      <c r="A161" t="s">
        <v>478</v>
      </c>
      <c r="B161" t="s">
        <v>35</v>
      </c>
      <c r="C161" t="s">
        <v>63</v>
      </c>
      <c r="D161" t="s">
        <v>54</v>
      </c>
      <c r="E161" s="6" t="s">
        <v>479</v>
      </c>
      <c r="F161" t="s">
        <v>56</v>
      </c>
      <c r="G161" s="9">
        <v>139.83000000000001</v>
      </c>
      <c r="H161" s="13">
        <v>1847</v>
      </c>
      <c r="I161" s="10" t="s">
        <v>58</v>
      </c>
      <c r="J161" t="s">
        <v>57</v>
      </c>
      <c r="K161" s="6">
        <v>2025</v>
      </c>
      <c r="L161" t="s">
        <v>20</v>
      </c>
      <c r="M161" s="12">
        <v>13.21</v>
      </c>
      <c r="N161" t="s">
        <v>59</v>
      </c>
    </row>
    <row r="162" spans="1:14" x14ac:dyDescent="0.25">
      <c r="A162" t="s">
        <v>551</v>
      </c>
      <c r="B162" t="s">
        <v>30</v>
      </c>
      <c r="C162" t="s">
        <v>53</v>
      </c>
      <c r="D162" t="s">
        <v>24</v>
      </c>
      <c r="E162" s="6" t="s">
        <v>479</v>
      </c>
      <c r="F162" t="s">
        <v>56</v>
      </c>
      <c r="G162" s="9">
        <v>11357.03</v>
      </c>
      <c r="H162" s="13">
        <v>126921</v>
      </c>
      <c r="I162" s="10" t="s">
        <v>58</v>
      </c>
      <c r="J162" t="s">
        <v>18</v>
      </c>
      <c r="K162" s="6">
        <v>2025</v>
      </c>
      <c r="L162" t="s">
        <v>38</v>
      </c>
      <c r="M162" s="12">
        <v>11.18</v>
      </c>
      <c r="N162" t="s">
        <v>59</v>
      </c>
    </row>
    <row r="163" spans="1:14" x14ac:dyDescent="0.25">
      <c r="A163" t="s">
        <v>367</v>
      </c>
      <c r="B163" t="s">
        <v>30</v>
      </c>
      <c r="C163" t="s">
        <v>36</v>
      </c>
      <c r="D163" t="s">
        <v>24</v>
      </c>
      <c r="E163" s="6" t="s">
        <v>368</v>
      </c>
      <c r="F163" t="s">
        <v>17</v>
      </c>
      <c r="G163" s="9">
        <v>3699.95</v>
      </c>
      <c r="H163" s="13">
        <v>30910</v>
      </c>
      <c r="I163" s="10" t="s">
        <v>19</v>
      </c>
      <c r="J163" t="s">
        <v>18</v>
      </c>
      <c r="K163" s="6">
        <v>2024</v>
      </c>
      <c r="L163" t="s">
        <v>33</v>
      </c>
      <c r="M163" s="12">
        <v>8.35</v>
      </c>
      <c r="N163" t="s">
        <v>21</v>
      </c>
    </row>
    <row r="164" spans="1:14" x14ac:dyDescent="0.25">
      <c r="A164" t="s">
        <v>91</v>
      </c>
      <c r="B164" t="s">
        <v>35</v>
      </c>
      <c r="C164" t="s">
        <v>14</v>
      </c>
      <c r="D164" t="s">
        <v>24</v>
      </c>
      <c r="E164" s="6" t="s">
        <v>92</v>
      </c>
      <c r="F164" t="s">
        <v>17</v>
      </c>
      <c r="G164" s="9">
        <v>2562.65</v>
      </c>
      <c r="H164" s="13">
        <v>23230</v>
      </c>
      <c r="I164" s="10" t="s">
        <v>19</v>
      </c>
      <c r="J164" t="s">
        <v>18</v>
      </c>
      <c r="K164" s="6">
        <v>2025</v>
      </c>
      <c r="L164" t="s">
        <v>33</v>
      </c>
      <c r="M164" s="12">
        <v>9.06</v>
      </c>
      <c r="N164" t="s">
        <v>21</v>
      </c>
    </row>
    <row r="165" spans="1:14" x14ac:dyDescent="0.25">
      <c r="A165" t="s">
        <v>192</v>
      </c>
      <c r="B165" t="s">
        <v>13</v>
      </c>
      <c r="C165" t="s">
        <v>14</v>
      </c>
      <c r="D165" t="s">
        <v>24</v>
      </c>
      <c r="E165" s="6" t="s">
        <v>92</v>
      </c>
      <c r="F165" t="s">
        <v>48</v>
      </c>
      <c r="G165" s="9">
        <v>7044.71</v>
      </c>
      <c r="H165" s="13">
        <v>90399</v>
      </c>
      <c r="I165" s="10" t="s">
        <v>27</v>
      </c>
      <c r="J165" t="s">
        <v>18</v>
      </c>
      <c r="K165" s="6">
        <v>2025</v>
      </c>
      <c r="L165" t="s">
        <v>38</v>
      </c>
      <c r="M165" s="12">
        <v>12.83</v>
      </c>
      <c r="N165" t="s">
        <v>49</v>
      </c>
    </row>
    <row r="166" spans="1:14" x14ac:dyDescent="0.25">
      <c r="A166" t="s">
        <v>238</v>
      </c>
      <c r="B166" t="s">
        <v>40</v>
      </c>
      <c r="C166" t="s">
        <v>14</v>
      </c>
      <c r="D166" t="s">
        <v>24</v>
      </c>
      <c r="E166" s="6" t="s">
        <v>239</v>
      </c>
      <c r="F166" t="s">
        <v>26</v>
      </c>
      <c r="G166" s="9">
        <v>5737.29</v>
      </c>
      <c r="H166" s="13">
        <v>76721</v>
      </c>
      <c r="I166" s="10" t="s">
        <v>27</v>
      </c>
      <c r="J166" t="s">
        <v>18</v>
      </c>
      <c r="K166" s="6">
        <v>2024</v>
      </c>
      <c r="L166" t="s">
        <v>33</v>
      </c>
      <c r="M166" s="12">
        <v>13.37</v>
      </c>
      <c r="N166" t="s">
        <v>28</v>
      </c>
    </row>
    <row r="167" spans="1:14" x14ac:dyDescent="0.25">
      <c r="A167" t="s">
        <v>639</v>
      </c>
      <c r="B167" t="s">
        <v>70</v>
      </c>
      <c r="C167" t="s">
        <v>53</v>
      </c>
      <c r="D167" t="s">
        <v>54</v>
      </c>
      <c r="E167" s="6" t="s">
        <v>239</v>
      </c>
      <c r="F167" t="s">
        <v>56</v>
      </c>
      <c r="G167" s="9">
        <v>412.12</v>
      </c>
      <c r="H167" s="13">
        <v>3936</v>
      </c>
      <c r="I167" s="10" t="s">
        <v>58</v>
      </c>
      <c r="J167" t="s">
        <v>57</v>
      </c>
      <c r="K167" s="6">
        <v>2024</v>
      </c>
      <c r="L167" t="s">
        <v>20</v>
      </c>
      <c r="M167" s="12">
        <v>9.5500000000000007</v>
      </c>
      <c r="N167" t="s">
        <v>59</v>
      </c>
    </row>
    <row r="168" spans="1:14" x14ac:dyDescent="0.25">
      <c r="A168" t="s">
        <v>658</v>
      </c>
      <c r="B168" t="s">
        <v>40</v>
      </c>
      <c r="C168" t="s">
        <v>63</v>
      </c>
      <c r="D168" t="s">
        <v>24</v>
      </c>
      <c r="E168" s="6" t="s">
        <v>239</v>
      </c>
      <c r="F168" t="s">
        <v>56</v>
      </c>
      <c r="G168" s="9">
        <v>4148.93</v>
      </c>
      <c r="H168" s="13">
        <v>47370</v>
      </c>
      <c r="I168" s="10" t="s">
        <v>58</v>
      </c>
      <c r="J168" t="s">
        <v>18</v>
      </c>
      <c r="K168" s="6">
        <v>2024</v>
      </c>
      <c r="L168" t="s">
        <v>33</v>
      </c>
      <c r="M168" s="12">
        <v>11.42</v>
      </c>
      <c r="N168" t="s">
        <v>59</v>
      </c>
    </row>
    <row r="169" spans="1:14" x14ac:dyDescent="0.25">
      <c r="A169" t="s">
        <v>568</v>
      </c>
      <c r="B169" t="s">
        <v>13</v>
      </c>
      <c r="C169" t="s">
        <v>36</v>
      </c>
      <c r="D169" t="s">
        <v>15</v>
      </c>
      <c r="E169" s="6" t="s">
        <v>569</v>
      </c>
      <c r="F169" t="s">
        <v>17</v>
      </c>
      <c r="G169" s="9">
        <v>115.4</v>
      </c>
      <c r="H169" s="13">
        <v>1258</v>
      </c>
      <c r="I169" s="10" t="s">
        <v>19</v>
      </c>
      <c r="J169" t="s">
        <v>57</v>
      </c>
      <c r="K169" s="6">
        <v>2024</v>
      </c>
      <c r="L169" t="s">
        <v>20</v>
      </c>
      <c r="M169" s="12">
        <v>10.9</v>
      </c>
      <c r="N169" t="s">
        <v>21</v>
      </c>
    </row>
    <row r="170" spans="1:14" x14ac:dyDescent="0.25">
      <c r="A170" t="s">
        <v>145</v>
      </c>
      <c r="B170" t="s">
        <v>35</v>
      </c>
      <c r="C170" t="s">
        <v>63</v>
      </c>
      <c r="D170" t="s">
        <v>54</v>
      </c>
      <c r="E170" s="6" t="s">
        <v>146</v>
      </c>
      <c r="F170" t="s">
        <v>26</v>
      </c>
      <c r="G170" s="9">
        <v>218.2</v>
      </c>
      <c r="H170" s="13">
        <v>2000</v>
      </c>
      <c r="I170" s="10" t="s">
        <v>27</v>
      </c>
      <c r="J170" t="s">
        <v>57</v>
      </c>
      <c r="K170" s="6">
        <v>2025</v>
      </c>
      <c r="L170" t="s">
        <v>20</v>
      </c>
      <c r="M170" s="12">
        <v>9.16</v>
      </c>
      <c r="N170" t="s">
        <v>28</v>
      </c>
    </row>
    <row r="171" spans="1:14" x14ac:dyDescent="0.25">
      <c r="A171" t="s">
        <v>637</v>
      </c>
      <c r="B171" t="s">
        <v>40</v>
      </c>
      <c r="C171" t="s">
        <v>14</v>
      </c>
      <c r="D171" t="s">
        <v>31</v>
      </c>
      <c r="E171" s="6" t="s">
        <v>638</v>
      </c>
      <c r="F171" t="s">
        <v>48</v>
      </c>
      <c r="G171" s="9">
        <v>1825.63</v>
      </c>
      <c r="H171" s="13">
        <v>24136</v>
      </c>
      <c r="I171" s="10" t="s">
        <v>27</v>
      </c>
      <c r="J171" t="s">
        <v>57</v>
      </c>
      <c r="K171" s="6">
        <v>2025</v>
      </c>
      <c r="L171" t="s">
        <v>20</v>
      </c>
      <c r="M171" s="12">
        <v>13.22</v>
      </c>
      <c r="N171" t="s">
        <v>49</v>
      </c>
    </row>
    <row r="172" spans="1:14" x14ac:dyDescent="0.25">
      <c r="A172" t="s">
        <v>549</v>
      </c>
      <c r="B172" t="s">
        <v>40</v>
      </c>
      <c r="C172" t="s">
        <v>53</v>
      </c>
      <c r="D172" t="s">
        <v>31</v>
      </c>
      <c r="E172" s="6" t="s">
        <v>550</v>
      </c>
      <c r="F172" t="s">
        <v>56</v>
      </c>
      <c r="G172" s="9">
        <v>947.2</v>
      </c>
      <c r="H172" s="13">
        <v>10072</v>
      </c>
      <c r="I172" s="10" t="s">
        <v>58</v>
      </c>
      <c r="J172" t="s">
        <v>18</v>
      </c>
      <c r="K172" s="6">
        <v>2024</v>
      </c>
      <c r="L172" t="s">
        <v>20</v>
      </c>
      <c r="M172" s="12">
        <v>10.63</v>
      </c>
      <c r="N172" t="s">
        <v>59</v>
      </c>
    </row>
    <row r="173" spans="1:14" x14ac:dyDescent="0.25">
      <c r="A173" t="s">
        <v>545</v>
      </c>
      <c r="B173" t="s">
        <v>13</v>
      </c>
      <c r="C173" t="s">
        <v>63</v>
      </c>
      <c r="D173" t="s">
        <v>31</v>
      </c>
      <c r="E173" s="6" t="s">
        <v>546</v>
      </c>
      <c r="F173" t="s">
        <v>26</v>
      </c>
      <c r="G173" s="9">
        <v>232</v>
      </c>
      <c r="H173" s="13">
        <v>2005</v>
      </c>
      <c r="I173" s="10" t="s">
        <v>27</v>
      </c>
      <c r="J173" t="s">
        <v>57</v>
      </c>
      <c r="K173" s="6">
        <v>2026</v>
      </c>
      <c r="L173" t="s">
        <v>20</v>
      </c>
      <c r="M173" s="12">
        <v>8.64</v>
      </c>
      <c r="N173" t="s">
        <v>28</v>
      </c>
    </row>
    <row r="174" spans="1:14" x14ac:dyDescent="0.25">
      <c r="A174" t="s">
        <v>711</v>
      </c>
      <c r="B174" t="s">
        <v>35</v>
      </c>
      <c r="C174" t="s">
        <v>14</v>
      </c>
      <c r="D174" t="s">
        <v>24</v>
      </c>
      <c r="E174" s="6" t="s">
        <v>712</v>
      </c>
      <c r="F174" t="s">
        <v>56</v>
      </c>
      <c r="G174" s="9">
        <v>7660.29</v>
      </c>
      <c r="H174" s="13">
        <v>88167</v>
      </c>
      <c r="I174" s="10" t="s">
        <v>58</v>
      </c>
      <c r="J174" t="s">
        <v>18</v>
      </c>
      <c r="K174" s="6">
        <v>2024</v>
      </c>
      <c r="L174" t="s">
        <v>38</v>
      </c>
      <c r="M174" s="12">
        <v>11.51</v>
      </c>
      <c r="N174" t="s">
        <v>59</v>
      </c>
    </row>
    <row r="175" spans="1:14" x14ac:dyDescent="0.25">
      <c r="A175" t="s">
        <v>338</v>
      </c>
      <c r="B175" t="s">
        <v>70</v>
      </c>
      <c r="C175" t="s">
        <v>14</v>
      </c>
      <c r="D175" t="s">
        <v>24</v>
      </c>
      <c r="E175" s="6" t="s">
        <v>339</v>
      </c>
      <c r="F175" t="s">
        <v>17</v>
      </c>
      <c r="G175" s="9">
        <v>3638.76</v>
      </c>
      <c r="H175" s="13">
        <v>50345</v>
      </c>
      <c r="I175" s="10" t="s">
        <v>19</v>
      </c>
      <c r="J175" t="s">
        <v>18</v>
      </c>
      <c r="K175" s="6">
        <v>2026</v>
      </c>
      <c r="L175" t="s">
        <v>33</v>
      </c>
      <c r="M175" s="12">
        <v>13.84</v>
      </c>
      <c r="N175" t="s">
        <v>21</v>
      </c>
    </row>
    <row r="176" spans="1:14" x14ac:dyDescent="0.25">
      <c r="A176" t="s">
        <v>354</v>
      </c>
      <c r="B176" t="s">
        <v>40</v>
      </c>
      <c r="C176" t="s">
        <v>14</v>
      </c>
      <c r="D176" t="s">
        <v>54</v>
      </c>
      <c r="E176" s="6" t="s">
        <v>339</v>
      </c>
      <c r="F176" t="s">
        <v>56</v>
      </c>
      <c r="G176" s="9">
        <v>41.97</v>
      </c>
      <c r="H176" s="13">
        <v>354</v>
      </c>
      <c r="I176" s="10" t="s">
        <v>58</v>
      </c>
      <c r="J176" t="s">
        <v>18</v>
      </c>
      <c r="K176" s="6">
        <v>2026</v>
      </c>
      <c r="L176" t="s">
        <v>20</v>
      </c>
      <c r="M176" s="12">
        <v>8.42</v>
      </c>
      <c r="N176" t="s">
        <v>59</v>
      </c>
    </row>
    <row r="177" spans="1:14" x14ac:dyDescent="0.25">
      <c r="A177" t="s">
        <v>382</v>
      </c>
      <c r="B177" t="s">
        <v>30</v>
      </c>
      <c r="C177" t="s">
        <v>63</v>
      </c>
      <c r="D177" t="s">
        <v>24</v>
      </c>
      <c r="E177" s="6" t="s">
        <v>383</v>
      </c>
      <c r="F177" t="s">
        <v>48</v>
      </c>
      <c r="G177" s="9">
        <v>856.84</v>
      </c>
      <c r="H177" s="13">
        <v>10429</v>
      </c>
      <c r="I177" s="10" t="s">
        <v>27</v>
      </c>
      <c r="J177" t="s">
        <v>57</v>
      </c>
      <c r="K177" s="6">
        <v>2026</v>
      </c>
      <c r="L177" t="s">
        <v>20</v>
      </c>
      <c r="M177" s="12">
        <v>12.17</v>
      </c>
      <c r="N177" t="s">
        <v>49</v>
      </c>
    </row>
    <row r="178" spans="1:14" x14ac:dyDescent="0.25">
      <c r="A178" t="s">
        <v>127</v>
      </c>
      <c r="B178" t="s">
        <v>35</v>
      </c>
      <c r="C178" t="s">
        <v>14</v>
      </c>
      <c r="D178" t="s">
        <v>31</v>
      </c>
      <c r="E178" s="6" t="s">
        <v>128</v>
      </c>
      <c r="F178" t="s">
        <v>26</v>
      </c>
      <c r="G178" s="9">
        <v>2546.62</v>
      </c>
      <c r="H178" s="13">
        <v>30017</v>
      </c>
      <c r="I178" s="10" t="s">
        <v>27</v>
      </c>
      <c r="J178" t="s">
        <v>18</v>
      </c>
      <c r="K178" s="6">
        <v>2024</v>
      </c>
      <c r="L178" t="s">
        <v>33</v>
      </c>
      <c r="M178" s="12">
        <v>11.79</v>
      </c>
      <c r="N178" t="s">
        <v>28</v>
      </c>
    </row>
    <row r="179" spans="1:14" x14ac:dyDescent="0.25">
      <c r="A179" t="s">
        <v>419</v>
      </c>
      <c r="B179" t="s">
        <v>35</v>
      </c>
      <c r="C179" t="s">
        <v>41</v>
      </c>
      <c r="D179" t="s">
        <v>15</v>
      </c>
      <c r="E179" s="6" t="s">
        <v>420</v>
      </c>
      <c r="F179" t="s">
        <v>56</v>
      </c>
      <c r="G179" s="9">
        <v>48.57</v>
      </c>
      <c r="H179" s="13">
        <v>613</v>
      </c>
      <c r="I179" s="10" t="s">
        <v>58</v>
      </c>
      <c r="J179" t="s">
        <v>57</v>
      </c>
      <c r="K179" s="6">
        <v>2025</v>
      </c>
      <c r="L179" t="s">
        <v>20</v>
      </c>
      <c r="M179" s="12">
        <v>12.61</v>
      </c>
      <c r="N179" t="s">
        <v>59</v>
      </c>
    </row>
    <row r="180" spans="1:14" x14ac:dyDescent="0.25">
      <c r="A180" t="s">
        <v>652</v>
      </c>
      <c r="B180" t="s">
        <v>66</v>
      </c>
      <c r="C180" t="s">
        <v>36</v>
      </c>
      <c r="D180" t="s">
        <v>24</v>
      </c>
      <c r="E180" s="6" t="s">
        <v>420</v>
      </c>
      <c r="F180" t="s">
        <v>48</v>
      </c>
      <c r="G180" s="9">
        <v>10728.36</v>
      </c>
      <c r="H180" s="13">
        <v>96918</v>
      </c>
      <c r="I180" s="10" t="s">
        <v>27</v>
      </c>
      <c r="J180" t="s">
        <v>57</v>
      </c>
      <c r="K180" s="6">
        <v>2025</v>
      </c>
      <c r="L180" t="s">
        <v>38</v>
      </c>
      <c r="M180" s="12">
        <v>9.0299999999999994</v>
      </c>
      <c r="N180" t="s">
        <v>49</v>
      </c>
    </row>
    <row r="181" spans="1:14" x14ac:dyDescent="0.25">
      <c r="A181" t="s">
        <v>246</v>
      </c>
      <c r="B181" t="s">
        <v>13</v>
      </c>
      <c r="C181" t="s">
        <v>63</v>
      </c>
      <c r="D181" t="s">
        <v>24</v>
      </c>
      <c r="E181" s="6" t="s">
        <v>247</v>
      </c>
      <c r="F181" t="s">
        <v>48</v>
      </c>
      <c r="G181" s="9">
        <v>8407.66</v>
      </c>
      <c r="H181" s="13">
        <v>69225</v>
      </c>
      <c r="I181" s="10" t="s">
        <v>27</v>
      </c>
      <c r="J181" t="s">
        <v>18</v>
      </c>
      <c r="K181" s="6">
        <v>2024</v>
      </c>
      <c r="L181" t="s">
        <v>38</v>
      </c>
      <c r="M181" s="12">
        <v>8.23</v>
      </c>
      <c r="N181" t="s">
        <v>49</v>
      </c>
    </row>
    <row r="182" spans="1:14" x14ac:dyDescent="0.25">
      <c r="A182" t="s">
        <v>323</v>
      </c>
      <c r="B182" t="s">
        <v>40</v>
      </c>
      <c r="C182" t="s">
        <v>14</v>
      </c>
      <c r="D182" t="s">
        <v>31</v>
      </c>
      <c r="E182" s="6" t="s">
        <v>324</v>
      </c>
      <c r="F182" t="s">
        <v>17</v>
      </c>
      <c r="G182" s="9">
        <v>1769.5</v>
      </c>
      <c r="H182" s="13">
        <v>15594</v>
      </c>
      <c r="I182" s="10" t="s">
        <v>19</v>
      </c>
      <c r="J182" t="s">
        <v>18</v>
      </c>
      <c r="K182" s="6">
        <v>2025</v>
      </c>
      <c r="L182" t="s">
        <v>20</v>
      </c>
      <c r="M182" s="12">
        <v>8.81</v>
      </c>
      <c r="N182" t="s">
        <v>21</v>
      </c>
    </row>
    <row r="183" spans="1:14" x14ac:dyDescent="0.25">
      <c r="A183" t="s">
        <v>682</v>
      </c>
      <c r="B183" t="s">
        <v>13</v>
      </c>
      <c r="C183" t="s">
        <v>36</v>
      </c>
      <c r="D183" t="s">
        <v>24</v>
      </c>
      <c r="E183" s="6" t="s">
        <v>683</v>
      </c>
      <c r="F183" t="s">
        <v>26</v>
      </c>
      <c r="G183" s="9">
        <v>5196</v>
      </c>
      <c r="H183" s="13">
        <v>70532</v>
      </c>
      <c r="I183" s="10" t="s">
        <v>27</v>
      </c>
      <c r="J183" t="s">
        <v>18</v>
      </c>
      <c r="K183" s="6">
        <v>2024</v>
      </c>
      <c r="L183" t="s">
        <v>33</v>
      </c>
      <c r="M183" s="12">
        <v>13.57</v>
      </c>
      <c r="N183" t="s">
        <v>28</v>
      </c>
    </row>
    <row r="184" spans="1:14" x14ac:dyDescent="0.25">
      <c r="A184" t="s">
        <v>691</v>
      </c>
      <c r="B184" t="s">
        <v>40</v>
      </c>
      <c r="C184" t="s">
        <v>14</v>
      </c>
      <c r="D184" t="s">
        <v>54</v>
      </c>
      <c r="E184" s="6" t="s">
        <v>692</v>
      </c>
      <c r="F184" t="s">
        <v>26</v>
      </c>
      <c r="G184" s="9">
        <v>200.23</v>
      </c>
      <c r="H184" s="13">
        <v>2004</v>
      </c>
      <c r="I184" s="10" t="s">
        <v>27</v>
      </c>
      <c r="J184" t="s">
        <v>18</v>
      </c>
      <c r="K184" s="6">
        <v>2025</v>
      </c>
      <c r="L184" t="s">
        <v>20</v>
      </c>
      <c r="M184" s="12">
        <v>10.01</v>
      </c>
      <c r="N184" t="s">
        <v>28</v>
      </c>
    </row>
    <row r="185" spans="1:14" x14ac:dyDescent="0.25">
      <c r="A185" t="s">
        <v>430</v>
      </c>
      <c r="B185" t="s">
        <v>35</v>
      </c>
      <c r="C185" t="s">
        <v>14</v>
      </c>
      <c r="D185" t="s">
        <v>24</v>
      </c>
      <c r="E185" s="6" t="s">
        <v>431</v>
      </c>
      <c r="F185" t="s">
        <v>17</v>
      </c>
      <c r="G185" s="9">
        <v>6626.57</v>
      </c>
      <c r="H185" s="13">
        <v>86058</v>
      </c>
      <c r="I185" s="10" t="s">
        <v>19</v>
      </c>
      <c r="J185" t="s">
        <v>18</v>
      </c>
      <c r="K185" s="6">
        <v>2024</v>
      </c>
      <c r="L185" t="s">
        <v>33</v>
      </c>
      <c r="M185" s="12">
        <v>12.99</v>
      </c>
      <c r="N185" t="s">
        <v>21</v>
      </c>
    </row>
    <row r="186" spans="1:14" x14ac:dyDescent="0.25">
      <c r="A186" t="s">
        <v>757</v>
      </c>
      <c r="B186" t="s">
        <v>40</v>
      </c>
      <c r="C186" t="s">
        <v>14</v>
      </c>
      <c r="D186" t="s">
        <v>24</v>
      </c>
      <c r="E186" s="6" t="s">
        <v>758</v>
      </c>
      <c r="F186" t="s">
        <v>17</v>
      </c>
      <c r="G186" s="9">
        <v>1302.82</v>
      </c>
      <c r="H186" s="13">
        <v>16461</v>
      </c>
      <c r="I186" s="10" t="s">
        <v>19</v>
      </c>
      <c r="J186" t="s">
        <v>18</v>
      </c>
      <c r="K186" s="6">
        <v>2025</v>
      </c>
      <c r="L186" t="s">
        <v>20</v>
      </c>
      <c r="M186" s="12">
        <v>12.63</v>
      </c>
      <c r="N186" t="s">
        <v>21</v>
      </c>
    </row>
    <row r="187" spans="1:14" x14ac:dyDescent="0.25">
      <c r="A187" t="s">
        <v>399</v>
      </c>
      <c r="B187" t="s">
        <v>23</v>
      </c>
      <c r="C187" t="s">
        <v>41</v>
      </c>
      <c r="D187" t="s">
        <v>15</v>
      </c>
      <c r="E187" s="6" t="s">
        <v>400</v>
      </c>
      <c r="F187" t="s">
        <v>26</v>
      </c>
      <c r="G187" s="9">
        <v>192.75</v>
      </c>
      <c r="H187" s="13">
        <v>1563</v>
      </c>
      <c r="I187" s="10" t="s">
        <v>27</v>
      </c>
      <c r="J187" t="s">
        <v>18</v>
      </c>
      <c r="K187" s="6">
        <v>2024</v>
      </c>
      <c r="L187" t="s">
        <v>20</v>
      </c>
      <c r="M187" s="12">
        <v>8.11</v>
      </c>
      <c r="N187" t="s">
        <v>28</v>
      </c>
    </row>
    <row r="188" spans="1:14" x14ac:dyDescent="0.25">
      <c r="A188" t="s">
        <v>211</v>
      </c>
      <c r="B188" t="s">
        <v>13</v>
      </c>
      <c r="C188" t="s">
        <v>63</v>
      </c>
      <c r="D188" t="s">
        <v>24</v>
      </c>
      <c r="E188" s="6" t="s">
        <v>212</v>
      </c>
      <c r="F188" t="s">
        <v>56</v>
      </c>
      <c r="G188" s="9">
        <v>9627.9599999999991</v>
      </c>
      <c r="H188" s="13">
        <v>132965</v>
      </c>
      <c r="I188" s="10" t="s">
        <v>58</v>
      </c>
      <c r="J188" t="s">
        <v>18</v>
      </c>
      <c r="K188" s="6">
        <v>2025</v>
      </c>
      <c r="L188" t="s">
        <v>38</v>
      </c>
      <c r="M188" s="12">
        <v>13.81</v>
      </c>
      <c r="N188" t="s">
        <v>59</v>
      </c>
    </row>
    <row r="189" spans="1:14" x14ac:dyDescent="0.25">
      <c r="A189" t="s">
        <v>525</v>
      </c>
      <c r="B189" t="s">
        <v>70</v>
      </c>
      <c r="C189" t="s">
        <v>36</v>
      </c>
      <c r="D189" t="s">
        <v>24</v>
      </c>
      <c r="E189" s="6" t="s">
        <v>212</v>
      </c>
      <c r="F189" t="s">
        <v>56</v>
      </c>
      <c r="G189" s="9">
        <v>8436.8799999999992</v>
      </c>
      <c r="H189" s="13">
        <v>103461</v>
      </c>
      <c r="I189" s="10" t="s">
        <v>58</v>
      </c>
      <c r="J189" t="s">
        <v>57</v>
      </c>
      <c r="K189" s="6">
        <v>2025</v>
      </c>
      <c r="L189" t="s">
        <v>38</v>
      </c>
      <c r="M189" s="12">
        <v>12.26</v>
      </c>
      <c r="N189" t="s">
        <v>59</v>
      </c>
    </row>
    <row r="190" spans="1:14" x14ac:dyDescent="0.25">
      <c r="A190" t="s">
        <v>342</v>
      </c>
      <c r="B190" t="s">
        <v>46</v>
      </c>
      <c r="C190" t="s">
        <v>14</v>
      </c>
      <c r="D190" t="s">
        <v>24</v>
      </c>
      <c r="E190" s="6" t="s">
        <v>343</v>
      </c>
      <c r="F190" t="s">
        <v>48</v>
      </c>
      <c r="G190" s="9">
        <v>3571.15</v>
      </c>
      <c r="H190" s="13">
        <v>81578</v>
      </c>
      <c r="I190" s="10" t="s">
        <v>27</v>
      </c>
      <c r="J190" t="s">
        <v>18</v>
      </c>
      <c r="K190" s="6">
        <v>2024</v>
      </c>
      <c r="L190" t="s">
        <v>33</v>
      </c>
      <c r="M190" s="12">
        <v>22.84</v>
      </c>
      <c r="N190" t="s">
        <v>49</v>
      </c>
    </row>
    <row r="191" spans="1:14" x14ac:dyDescent="0.25">
      <c r="A191" t="s">
        <v>527</v>
      </c>
      <c r="B191" t="s">
        <v>66</v>
      </c>
      <c r="C191" t="s">
        <v>63</v>
      </c>
      <c r="D191" t="s">
        <v>24</v>
      </c>
      <c r="E191" s="6" t="s">
        <v>528</v>
      </c>
      <c r="F191" t="s">
        <v>56</v>
      </c>
      <c r="G191" s="9">
        <v>8993.9500000000007</v>
      </c>
      <c r="H191" s="13">
        <v>115611</v>
      </c>
      <c r="I191" s="10" t="s">
        <v>58</v>
      </c>
      <c r="J191" t="s">
        <v>18</v>
      </c>
      <c r="K191" s="6">
        <v>2024</v>
      </c>
      <c r="L191" t="s">
        <v>38</v>
      </c>
      <c r="M191" s="12">
        <v>12.85</v>
      </c>
      <c r="N191" t="s">
        <v>59</v>
      </c>
    </row>
    <row r="192" spans="1:14" x14ac:dyDescent="0.25">
      <c r="A192" t="s">
        <v>284</v>
      </c>
      <c r="B192" t="s">
        <v>66</v>
      </c>
      <c r="C192" t="s">
        <v>36</v>
      </c>
      <c r="D192" t="s">
        <v>24</v>
      </c>
      <c r="E192" s="6" t="s">
        <v>285</v>
      </c>
      <c r="F192" t="s">
        <v>17</v>
      </c>
      <c r="G192" s="9">
        <v>9145.43</v>
      </c>
      <c r="H192" s="13">
        <v>108841</v>
      </c>
      <c r="I192" s="10" t="s">
        <v>19</v>
      </c>
      <c r="J192" t="s">
        <v>18</v>
      </c>
      <c r="K192" s="6">
        <v>2024</v>
      </c>
      <c r="L192" t="s">
        <v>38</v>
      </c>
      <c r="M192" s="12">
        <v>11.9</v>
      </c>
      <c r="N192" t="s">
        <v>21</v>
      </c>
    </row>
    <row r="193" spans="1:14" x14ac:dyDescent="0.25">
      <c r="A193" t="s">
        <v>573</v>
      </c>
      <c r="B193" t="s">
        <v>35</v>
      </c>
      <c r="C193" t="s">
        <v>14</v>
      </c>
      <c r="D193" t="s">
        <v>24</v>
      </c>
      <c r="E193" s="6" t="s">
        <v>574</v>
      </c>
      <c r="F193" t="s">
        <v>17</v>
      </c>
      <c r="G193" s="9">
        <v>3263.73</v>
      </c>
      <c r="H193" s="13">
        <v>35034</v>
      </c>
      <c r="I193" s="10" t="s">
        <v>19</v>
      </c>
      <c r="J193" t="s">
        <v>18</v>
      </c>
      <c r="K193" s="6">
        <v>2026</v>
      </c>
      <c r="L193" t="s">
        <v>33</v>
      </c>
      <c r="M193" s="12">
        <v>10.73</v>
      </c>
      <c r="N193" t="s">
        <v>21</v>
      </c>
    </row>
    <row r="194" spans="1:14" x14ac:dyDescent="0.25">
      <c r="A194" t="s">
        <v>722</v>
      </c>
      <c r="B194" t="s">
        <v>40</v>
      </c>
      <c r="C194" t="s">
        <v>14</v>
      </c>
      <c r="D194" t="s">
        <v>31</v>
      </c>
      <c r="E194" s="6" t="s">
        <v>723</v>
      </c>
      <c r="F194" t="s">
        <v>56</v>
      </c>
      <c r="G194" s="9">
        <v>183.72</v>
      </c>
      <c r="H194" s="13">
        <v>2380</v>
      </c>
      <c r="I194" s="10" t="s">
        <v>58</v>
      </c>
      <c r="J194" t="s">
        <v>18</v>
      </c>
      <c r="K194" s="6">
        <v>2024</v>
      </c>
      <c r="L194" t="s">
        <v>20</v>
      </c>
      <c r="M194" s="12">
        <v>12.95</v>
      </c>
      <c r="N194" t="s">
        <v>59</v>
      </c>
    </row>
    <row r="195" spans="1:14" x14ac:dyDescent="0.25">
      <c r="A195" t="s">
        <v>188</v>
      </c>
      <c r="B195" t="s">
        <v>35</v>
      </c>
      <c r="C195" t="s">
        <v>63</v>
      </c>
      <c r="D195" t="s">
        <v>24</v>
      </c>
      <c r="E195" s="6" t="s">
        <v>189</v>
      </c>
      <c r="F195" t="s">
        <v>26</v>
      </c>
      <c r="G195" s="9">
        <v>9103.5499999999993</v>
      </c>
      <c r="H195" s="13">
        <v>91892</v>
      </c>
      <c r="I195" s="10" t="s">
        <v>27</v>
      </c>
      <c r="J195" t="s">
        <v>18</v>
      </c>
      <c r="K195" s="6">
        <v>2025</v>
      </c>
      <c r="L195" t="s">
        <v>38</v>
      </c>
      <c r="M195" s="12">
        <v>10.09</v>
      </c>
      <c r="N195" t="s">
        <v>28</v>
      </c>
    </row>
    <row r="196" spans="1:14" x14ac:dyDescent="0.25">
      <c r="A196" t="s">
        <v>595</v>
      </c>
      <c r="B196" t="s">
        <v>70</v>
      </c>
      <c r="C196" t="s">
        <v>14</v>
      </c>
      <c r="D196" t="s">
        <v>24</v>
      </c>
      <c r="E196" s="6" t="s">
        <v>596</v>
      </c>
      <c r="F196" t="s">
        <v>56</v>
      </c>
      <c r="G196" s="9">
        <v>11541.25</v>
      </c>
      <c r="H196" s="13">
        <v>127122</v>
      </c>
      <c r="I196" s="10" t="s">
        <v>58</v>
      </c>
      <c r="J196" t="s">
        <v>57</v>
      </c>
      <c r="K196" s="6">
        <v>2024</v>
      </c>
      <c r="L196" t="s">
        <v>38</v>
      </c>
      <c r="M196" s="12">
        <v>11.01</v>
      </c>
      <c r="N196" t="s">
        <v>59</v>
      </c>
    </row>
    <row r="197" spans="1:14" x14ac:dyDescent="0.25">
      <c r="A197" t="s">
        <v>646</v>
      </c>
      <c r="B197" t="s">
        <v>13</v>
      </c>
      <c r="C197" t="s">
        <v>14</v>
      </c>
      <c r="D197" t="s">
        <v>31</v>
      </c>
      <c r="E197" s="6" t="s">
        <v>596</v>
      </c>
      <c r="F197" t="s">
        <v>26</v>
      </c>
      <c r="G197" s="9">
        <v>1267.27</v>
      </c>
      <c r="H197" s="13">
        <v>11858</v>
      </c>
      <c r="I197" s="10" t="s">
        <v>27</v>
      </c>
      <c r="J197" t="s">
        <v>18</v>
      </c>
      <c r="K197" s="6">
        <v>2024</v>
      </c>
      <c r="L197" t="s">
        <v>20</v>
      </c>
      <c r="M197" s="12">
        <v>9.36</v>
      </c>
      <c r="N197" t="s">
        <v>28</v>
      </c>
    </row>
    <row r="198" spans="1:14" x14ac:dyDescent="0.25">
      <c r="A198" t="s">
        <v>216</v>
      </c>
      <c r="B198" t="s">
        <v>40</v>
      </c>
      <c r="C198" t="s">
        <v>36</v>
      </c>
      <c r="D198" t="s">
        <v>24</v>
      </c>
      <c r="E198" s="6" t="s">
        <v>217</v>
      </c>
      <c r="F198" t="s">
        <v>26</v>
      </c>
      <c r="G198" s="9">
        <v>8076.78</v>
      </c>
      <c r="H198" s="13">
        <v>113523</v>
      </c>
      <c r="I198" s="10" t="s">
        <v>27</v>
      </c>
      <c r="J198" t="s">
        <v>57</v>
      </c>
      <c r="K198" s="6">
        <v>2025</v>
      </c>
      <c r="L198" t="s">
        <v>38</v>
      </c>
      <c r="M198" s="12">
        <v>14.06</v>
      </c>
      <c r="N198" t="s">
        <v>28</v>
      </c>
    </row>
    <row r="199" spans="1:14" x14ac:dyDescent="0.25">
      <c r="A199" t="s">
        <v>532</v>
      </c>
      <c r="B199" t="s">
        <v>40</v>
      </c>
      <c r="C199" t="s">
        <v>41</v>
      </c>
      <c r="D199" t="s">
        <v>24</v>
      </c>
      <c r="E199" s="6" t="s">
        <v>533</v>
      </c>
      <c r="F199" t="s">
        <v>17</v>
      </c>
      <c r="G199" s="9">
        <v>9242.39</v>
      </c>
      <c r="H199" s="13">
        <v>123265</v>
      </c>
      <c r="I199" s="10" t="s">
        <v>19</v>
      </c>
      <c r="J199" t="s">
        <v>18</v>
      </c>
      <c r="K199" s="6">
        <v>2025</v>
      </c>
      <c r="L199" t="s">
        <v>38</v>
      </c>
      <c r="M199" s="12">
        <v>13.34</v>
      </c>
      <c r="N199" t="s">
        <v>21</v>
      </c>
    </row>
    <row r="200" spans="1:14" x14ac:dyDescent="0.25">
      <c r="A200" t="s">
        <v>558</v>
      </c>
      <c r="B200" t="s">
        <v>30</v>
      </c>
      <c r="C200" t="s">
        <v>36</v>
      </c>
      <c r="D200" t="s">
        <v>24</v>
      </c>
      <c r="E200" s="6" t="s">
        <v>559</v>
      </c>
      <c r="F200" t="s">
        <v>17</v>
      </c>
      <c r="G200" s="9">
        <v>6005.21</v>
      </c>
      <c r="H200" s="13">
        <v>85174</v>
      </c>
      <c r="I200" s="10" t="s">
        <v>19</v>
      </c>
      <c r="J200" t="s">
        <v>18</v>
      </c>
      <c r="K200" s="6">
        <v>2024</v>
      </c>
      <c r="L200" t="s">
        <v>33</v>
      </c>
      <c r="M200" s="12">
        <v>14.18</v>
      </c>
      <c r="N200" t="s">
        <v>21</v>
      </c>
    </row>
    <row r="201" spans="1:14" x14ac:dyDescent="0.25">
      <c r="A201" t="s">
        <v>125</v>
      </c>
      <c r="B201" t="s">
        <v>46</v>
      </c>
      <c r="C201" t="s">
        <v>14</v>
      </c>
      <c r="D201" t="s">
        <v>24</v>
      </c>
      <c r="E201" s="6" t="s">
        <v>126</v>
      </c>
      <c r="F201" t="s">
        <v>56</v>
      </c>
      <c r="G201" s="9">
        <v>8314.4599999999991</v>
      </c>
      <c r="H201" s="13">
        <v>94915</v>
      </c>
      <c r="I201" s="10" t="s">
        <v>58</v>
      </c>
      <c r="J201" t="s">
        <v>18</v>
      </c>
      <c r="K201" s="6">
        <v>2026</v>
      </c>
      <c r="L201" t="s">
        <v>38</v>
      </c>
      <c r="M201" s="12">
        <v>11.42</v>
      </c>
      <c r="N201" t="s">
        <v>59</v>
      </c>
    </row>
    <row r="202" spans="1:14" x14ac:dyDescent="0.25">
      <c r="A202" t="s">
        <v>706</v>
      </c>
      <c r="B202" t="s">
        <v>40</v>
      </c>
      <c r="C202" t="s">
        <v>53</v>
      </c>
      <c r="D202" t="s">
        <v>24</v>
      </c>
      <c r="E202" s="6" t="s">
        <v>707</v>
      </c>
      <c r="F202" t="s">
        <v>56</v>
      </c>
      <c r="G202" s="9">
        <v>5812.73</v>
      </c>
      <c r="H202" s="13">
        <v>69762</v>
      </c>
      <c r="I202" s="10" t="s">
        <v>58</v>
      </c>
      <c r="J202" t="s">
        <v>57</v>
      </c>
      <c r="K202" s="6">
        <v>2024</v>
      </c>
      <c r="L202" t="s">
        <v>33</v>
      </c>
      <c r="M202" s="12">
        <v>12</v>
      </c>
      <c r="N202" t="s">
        <v>59</v>
      </c>
    </row>
    <row r="203" spans="1:14" x14ac:dyDescent="0.25">
      <c r="A203" t="s">
        <v>485</v>
      </c>
      <c r="B203" t="s">
        <v>30</v>
      </c>
      <c r="C203" t="s">
        <v>14</v>
      </c>
      <c r="D203" t="s">
        <v>54</v>
      </c>
      <c r="E203" s="6" t="s">
        <v>486</v>
      </c>
      <c r="F203" t="s">
        <v>56</v>
      </c>
      <c r="G203" s="9">
        <v>95.53</v>
      </c>
      <c r="H203" s="13">
        <v>1140</v>
      </c>
      <c r="I203" s="10" t="s">
        <v>58</v>
      </c>
      <c r="J203" t="s">
        <v>18</v>
      </c>
      <c r="K203" s="6">
        <v>2025</v>
      </c>
      <c r="L203" t="s">
        <v>20</v>
      </c>
      <c r="M203" s="12">
        <v>11.93</v>
      </c>
      <c r="N203" t="s">
        <v>59</v>
      </c>
    </row>
    <row r="204" spans="1:14" x14ac:dyDescent="0.25">
      <c r="A204" t="s">
        <v>388</v>
      </c>
      <c r="B204" t="s">
        <v>13</v>
      </c>
      <c r="C204" t="s">
        <v>36</v>
      </c>
      <c r="D204" t="s">
        <v>31</v>
      </c>
      <c r="E204" s="6" t="s">
        <v>389</v>
      </c>
      <c r="F204" t="s">
        <v>17</v>
      </c>
      <c r="G204" s="9">
        <v>791.78</v>
      </c>
      <c r="H204" s="13">
        <v>9328</v>
      </c>
      <c r="I204" s="10" t="s">
        <v>19</v>
      </c>
      <c r="J204" t="s">
        <v>57</v>
      </c>
      <c r="K204" s="6">
        <v>2026</v>
      </c>
      <c r="L204" t="s">
        <v>20</v>
      </c>
      <c r="M204" s="12">
        <v>11.78</v>
      </c>
      <c r="N204" t="s">
        <v>21</v>
      </c>
    </row>
    <row r="205" spans="1:14" x14ac:dyDescent="0.25">
      <c r="A205" t="s">
        <v>619</v>
      </c>
      <c r="B205" t="s">
        <v>46</v>
      </c>
      <c r="C205" t="s">
        <v>36</v>
      </c>
      <c r="D205" t="s">
        <v>24</v>
      </c>
      <c r="E205" s="6" t="s">
        <v>620</v>
      </c>
      <c r="F205" t="s">
        <v>17</v>
      </c>
      <c r="G205" s="9">
        <v>3184.37</v>
      </c>
      <c r="H205" s="13">
        <v>34503</v>
      </c>
      <c r="I205" s="10" t="s">
        <v>19</v>
      </c>
      <c r="J205" t="s">
        <v>57</v>
      </c>
      <c r="K205" s="6">
        <v>2025</v>
      </c>
      <c r="L205" t="s">
        <v>33</v>
      </c>
      <c r="M205" s="12">
        <v>10.84</v>
      </c>
      <c r="N205" t="s">
        <v>21</v>
      </c>
    </row>
    <row r="206" spans="1:14" x14ac:dyDescent="0.25">
      <c r="A206" t="s">
        <v>135</v>
      </c>
      <c r="B206" t="s">
        <v>70</v>
      </c>
      <c r="C206" t="s">
        <v>14</v>
      </c>
      <c r="D206" t="s">
        <v>54</v>
      </c>
      <c r="E206" s="6" t="s">
        <v>136</v>
      </c>
      <c r="F206" t="s">
        <v>26</v>
      </c>
      <c r="G206" s="9">
        <v>290.29000000000002</v>
      </c>
      <c r="H206" s="13">
        <v>2785</v>
      </c>
      <c r="I206" s="10" t="s">
        <v>27</v>
      </c>
      <c r="J206" t="s">
        <v>18</v>
      </c>
      <c r="K206" s="6">
        <v>2026</v>
      </c>
      <c r="L206" t="s">
        <v>20</v>
      </c>
      <c r="M206" s="12">
        <v>9.59</v>
      </c>
      <c r="N206" t="s">
        <v>28</v>
      </c>
    </row>
    <row r="207" spans="1:14" x14ac:dyDescent="0.25">
      <c r="A207" t="s">
        <v>410</v>
      </c>
      <c r="B207" t="s">
        <v>46</v>
      </c>
      <c r="C207" t="s">
        <v>53</v>
      </c>
      <c r="D207" t="s">
        <v>54</v>
      </c>
      <c r="E207" s="6" t="s">
        <v>136</v>
      </c>
      <c r="F207" t="s">
        <v>17</v>
      </c>
      <c r="G207" s="9">
        <v>454.01</v>
      </c>
      <c r="H207" s="13">
        <v>5519</v>
      </c>
      <c r="I207" s="10" t="s">
        <v>19</v>
      </c>
      <c r="J207" t="s">
        <v>18</v>
      </c>
      <c r="K207" s="6">
        <v>2026</v>
      </c>
      <c r="L207" t="s">
        <v>20</v>
      </c>
      <c r="M207" s="12">
        <v>12.16</v>
      </c>
      <c r="N207" t="s">
        <v>21</v>
      </c>
    </row>
    <row r="208" spans="1:14" x14ac:dyDescent="0.25">
      <c r="A208" t="s">
        <v>352</v>
      </c>
      <c r="B208" t="s">
        <v>30</v>
      </c>
      <c r="C208" t="s">
        <v>36</v>
      </c>
      <c r="D208" t="s">
        <v>24</v>
      </c>
      <c r="E208" s="6" t="s">
        <v>353</v>
      </c>
      <c r="F208" t="s">
        <v>26</v>
      </c>
      <c r="G208" s="9">
        <v>8124.5</v>
      </c>
      <c r="H208" s="13">
        <v>101668</v>
      </c>
      <c r="I208" s="10" t="s">
        <v>27</v>
      </c>
      <c r="J208" t="s">
        <v>18</v>
      </c>
      <c r="K208" s="6">
        <v>2025</v>
      </c>
      <c r="L208" t="s">
        <v>38</v>
      </c>
      <c r="M208" s="12">
        <v>12.51</v>
      </c>
      <c r="N208" t="s">
        <v>28</v>
      </c>
    </row>
    <row r="209" spans="1:14" x14ac:dyDescent="0.25">
      <c r="A209" t="s">
        <v>422</v>
      </c>
      <c r="B209" t="s">
        <v>30</v>
      </c>
      <c r="C209" t="s">
        <v>36</v>
      </c>
      <c r="D209" t="s">
        <v>24</v>
      </c>
      <c r="E209" s="6" t="s">
        <v>353</v>
      </c>
      <c r="F209" t="s">
        <v>48</v>
      </c>
      <c r="G209" s="9">
        <v>3968.2</v>
      </c>
      <c r="H209" s="13">
        <v>49616</v>
      </c>
      <c r="I209" s="10" t="s">
        <v>27</v>
      </c>
      <c r="J209" t="s">
        <v>57</v>
      </c>
      <c r="K209" s="6">
        <v>2025</v>
      </c>
      <c r="L209" t="s">
        <v>33</v>
      </c>
      <c r="M209" s="12">
        <v>12.5</v>
      </c>
      <c r="N209" t="s">
        <v>49</v>
      </c>
    </row>
    <row r="210" spans="1:14" x14ac:dyDescent="0.25">
      <c r="A210" t="s">
        <v>460</v>
      </c>
      <c r="B210" t="s">
        <v>40</v>
      </c>
      <c r="C210" t="s">
        <v>14</v>
      </c>
      <c r="D210" t="s">
        <v>24</v>
      </c>
      <c r="E210" s="6" t="s">
        <v>461</v>
      </c>
      <c r="F210" t="s">
        <v>17</v>
      </c>
      <c r="G210" s="9">
        <v>3323.19</v>
      </c>
      <c r="H210" s="13">
        <v>36212</v>
      </c>
      <c r="I210" s="10" t="s">
        <v>19</v>
      </c>
      <c r="J210" t="s">
        <v>57</v>
      </c>
      <c r="K210" s="6">
        <v>2025</v>
      </c>
      <c r="L210" t="s">
        <v>33</v>
      </c>
      <c r="M210" s="12">
        <v>10.9</v>
      </c>
      <c r="N210" t="s">
        <v>21</v>
      </c>
    </row>
    <row r="211" spans="1:14" x14ac:dyDescent="0.25">
      <c r="A211" t="s">
        <v>644</v>
      </c>
      <c r="B211" t="s">
        <v>35</v>
      </c>
      <c r="C211" t="s">
        <v>53</v>
      </c>
      <c r="D211" t="s">
        <v>24</v>
      </c>
      <c r="E211" s="6" t="s">
        <v>461</v>
      </c>
      <c r="F211" t="s">
        <v>56</v>
      </c>
      <c r="G211" s="9">
        <v>5890.03</v>
      </c>
      <c r="H211" s="13">
        <v>73228</v>
      </c>
      <c r="I211" s="10" t="s">
        <v>58</v>
      </c>
      <c r="J211" t="s">
        <v>57</v>
      </c>
      <c r="K211" s="6">
        <v>2025</v>
      </c>
      <c r="L211" t="s">
        <v>33</v>
      </c>
      <c r="M211" s="12">
        <v>12.43</v>
      </c>
      <c r="N211" t="s">
        <v>59</v>
      </c>
    </row>
    <row r="212" spans="1:14" x14ac:dyDescent="0.25">
      <c r="A212" t="s">
        <v>12</v>
      </c>
      <c r="B212" t="s">
        <v>13</v>
      </c>
      <c r="C212" t="s">
        <v>14</v>
      </c>
      <c r="D212" t="s">
        <v>15</v>
      </c>
      <c r="E212" s="6" t="s">
        <v>16</v>
      </c>
      <c r="F212" t="s">
        <v>17</v>
      </c>
      <c r="G212" s="9">
        <v>112.18</v>
      </c>
      <c r="H212" s="13">
        <v>1164</v>
      </c>
      <c r="I212" s="10" t="s">
        <v>19</v>
      </c>
      <c r="J212" t="s">
        <v>18</v>
      </c>
      <c r="K212" s="6">
        <v>2025</v>
      </c>
      <c r="L212" t="s">
        <v>20</v>
      </c>
      <c r="M212" s="12">
        <v>10.38</v>
      </c>
      <c r="N212" t="s">
        <v>21</v>
      </c>
    </row>
    <row r="213" spans="1:14" x14ac:dyDescent="0.25">
      <c r="A213" t="s">
        <v>588</v>
      </c>
      <c r="B213" t="s">
        <v>40</v>
      </c>
      <c r="C213" t="s">
        <v>41</v>
      </c>
      <c r="D213" t="s">
        <v>54</v>
      </c>
      <c r="E213" s="6" t="s">
        <v>589</v>
      </c>
      <c r="F213" t="s">
        <v>17</v>
      </c>
      <c r="G213" s="9">
        <v>148.68</v>
      </c>
      <c r="H213" s="13">
        <v>1988</v>
      </c>
      <c r="I213" s="10" t="s">
        <v>19</v>
      </c>
      <c r="J213" t="s">
        <v>57</v>
      </c>
      <c r="K213" s="6">
        <v>2025</v>
      </c>
      <c r="L213" t="s">
        <v>20</v>
      </c>
      <c r="M213" s="12">
        <v>13.37</v>
      </c>
      <c r="N213" t="s">
        <v>21</v>
      </c>
    </row>
    <row r="214" spans="1:14" x14ac:dyDescent="0.25">
      <c r="A214" t="s">
        <v>43</v>
      </c>
      <c r="B214" t="s">
        <v>40</v>
      </c>
      <c r="C214" t="s">
        <v>41</v>
      </c>
      <c r="D214" t="s">
        <v>31</v>
      </c>
      <c r="E214" s="6" t="s">
        <v>44</v>
      </c>
      <c r="F214" t="s">
        <v>17</v>
      </c>
      <c r="G214" s="9">
        <v>1170.73</v>
      </c>
      <c r="H214" s="13">
        <v>14118</v>
      </c>
      <c r="I214" s="10" t="s">
        <v>19</v>
      </c>
      <c r="J214" t="s">
        <v>18</v>
      </c>
      <c r="K214" s="6">
        <v>2024</v>
      </c>
      <c r="L214" t="s">
        <v>20</v>
      </c>
      <c r="M214" s="12">
        <v>12.06</v>
      </c>
      <c r="N214" t="s">
        <v>21</v>
      </c>
    </row>
    <row r="215" spans="1:14" x14ac:dyDescent="0.25">
      <c r="A215" t="s">
        <v>397</v>
      </c>
      <c r="B215" t="s">
        <v>23</v>
      </c>
      <c r="C215" t="s">
        <v>14</v>
      </c>
      <c r="D215" t="s">
        <v>24</v>
      </c>
      <c r="E215" s="6" t="s">
        <v>398</v>
      </c>
      <c r="F215" t="s">
        <v>17</v>
      </c>
      <c r="G215" s="9">
        <v>7467.77</v>
      </c>
      <c r="H215" s="13">
        <v>90524</v>
      </c>
      <c r="I215" s="10" t="s">
        <v>19</v>
      </c>
      <c r="J215" t="s">
        <v>18</v>
      </c>
      <c r="K215" s="6">
        <v>2025</v>
      </c>
      <c r="L215" t="s">
        <v>38</v>
      </c>
      <c r="M215" s="12">
        <v>12.12</v>
      </c>
      <c r="N215" t="s">
        <v>21</v>
      </c>
    </row>
    <row r="216" spans="1:14" x14ac:dyDescent="0.25">
      <c r="A216" t="s">
        <v>209</v>
      </c>
      <c r="B216" t="s">
        <v>70</v>
      </c>
      <c r="C216" t="s">
        <v>36</v>
      </c>
      <c r="D216" t="s">
        <v>15</v>
      </c>
      <c r="E216" s="6" t="s">
        <v>210</v>
      </c>
      <c r="F216" t="s">
        <v>17</v>
      </c>
      <c r="G216" s="9">
        <v>102.23</v>
      </c>
      <c r="H216" s="13">
        <v>834</v>
      </c>
      <c r="I216" s="10" t="s">
        <v>19</v>
      </c>
      <c r="J216" t="s">
        <v>57</v>
      </c>
      <c r="K216" s="6">
        <v>2024</v>
      </c>
      <c r="L216" t="s">
        <v>20</v>
      </c>
      <c r="M216" s="12">
        <v>8.15</v>
      </c>
      <c r="N216" t="s">
        <v>21</v>
      </c>
    </row>
    <row r="217" spans="1:14" x14ac:dyDescent="0.25">
      <c r="A217" t="s">
        <v>732</v>
      </c>
      <c r="B217" t="s">
        <v>35</v>
      </c>
      <c r="C217" t="s">
        <v>53</v>
      </c>
      <c r="D217" t="s">
        <v>24</v>
      </c>
      <c r="E217" s="6" t="s">
        <v>733</v>
      </c>
      <c r="F217" t="s">
        <v>48</v>
      </c>
      <c r="G217" s="9">
        <v>10176.17</v>
      </c>
      <c r="H217" s="13">
        <v>129769</v>
      </c>
      <c r="I217" s="10" t="s">
        <v>27</v>
      </c>
      <c r="J217" t="s">
        <v>18</v>
      </c>
      <c r="K217" s="6">
        <v>2026</v>
      </c>
      <c r="L217" t="s">
        <v>38</v>
      </c>
      <c r="M217" s="12">
        <v>12.75</v>
      </c>
      <c r="N217" t="s">
        <v>49</v>
      </c>
    </row>
    <row r="218" spans="1:14" x14ac:dyDescent="0.25">
      <c r="A218" t="s">
        <v>699</v>
      </c>
      <c r="B218" t="s">
        <v>13</v>
      </c>
      <c r="C218" t="s">
        <v>14</v>
      </c>
      <c r="D218" t="s">
        <v>24</v>
      </c>
      <c r="E218" s="6" t="s">
        <v>700</v>
      </c>
      <c r="F218" t="s">
        <v>56</v>
      </c>
      <c r="G218" s="9">
        <v>9384.2999999999993</v>
      </c>
      <c r="H218" s="13">
        <v>113196</v>
      </c>
      <c r="I218" s="10" t="s">
        <v>58</v>
      </c>
      <c r="J218" t="s">
        <v>18</v>
      </c>
      <c r="K218" s="6">
        <v>2026</v>
      </c>
      <c r="L218" t="s">
        <v>38</v>
      </c>
      <c r="M218" s="12">
        <v>12.06</v>
      </c>
      <c r="N218" t="s">
        <v>59</v>
      </c>
    </row>
    <row r="219" spans="1:14" x14ac:dyDescent="0.25">
      <c r="A219" t="s">
        <v>704</v>
      </c>
      <c r="B219" t="s">
        <v>40</v>
      </c>
      <c r="C219" t="s">
        <v>63</v>
      </c>
      <c r="D219" t="s">
        <v>24</v>
      </c>
      <c r="E219" s="6" t="s">
        <v>705</v>
      </c>
      <c r="F219" t="s">
        <v>48</v>
      </c>
      <c r="G219" s="9">
        <v>10497.73</v>
      </c>
      <c r="H219" s="13">
        <v>150783</v>
      </c>
      <c r="I219" s="10" t="s">
        <v>27</v>
      </c>
      <c r="J219" t="s">
        <v>57</v>
      </c>
      <c r="K219" s="6">
        <v>2024</v>
      </c>
      <c r="L219" t="s">
        <v>38</v>
      </c>
      <c r="M219" s="12">
        <v>14.36</v>
      </c>
      <c r="N219" t="s">
        <v>49</v>
      </c>
    </row>
    <row r="220" spans="1:14" x14ac:dyDescent="0.25">
      <c r="A220" t="s">
        <v>669</v>
      </c>
      <c r="B220" t="s">
        <v>35</v>
      </c>
      <c r="C220" t="s">
        <v>41</v>
      </c>
      <c r="D220" t="s">
        <v>54</v>
      </c>
      <c r="E220" s="6" t="s">
        <v>670</v>
      </c>
      <c r="F220" t="s">
        <v>17</v>
      </c>
      <c r="G220" s="9">
        <v>381.55</v>
      </c>
      <c r="H220" s="13">
        <v>4872</v>
      </c>
      <c r="I220" s="10" t="s">
        <v>19</v>
      </c>
      <c r="J220" t="s">
        <v>18</v>
      </c>
      <c r="K220" s="6">
        <v>2024</v>
      </c>
      <c r="L220" t="s">
        <v>20</v>
      </c>
      <c r="M220" s="12">
        <v>12.77</v>
      </c>
      <c r="N220" t="s">
        <v>21</v>
      </c>
    </row>
    <row r="221" spans="1:14" x14ac:dyDescent="0.25">
      <c r="A221" t="s">
        <v>104</v>
      </c>
      <c r="B221" t="s">
        <v>40</v>
      </c>
      <c r="C221" t="s">
        <v>14</v>
      </c>
      <c r="D221" t="s">
        <v>31</v>
      </c>
      <c r="E221" s="6" t="s">
        <v>105</v>
      </c>
      <c r="F221" t="s">
        <v>26</v>
      </c>
      <c r="G221" s="9">
        <v>1209.3699999999999</v>
      </c>
      <c r="H221" s="13">
        <v>9805</v>
      </c>
      <c r="I221" s="10" t="s">
        <v>27</v>
      </c>
      <c r="J221" t="s">
        <v>18</v>
      </c>
      <c r="K221" s="6">
        <v>2026</v>
      </c>
      <c r="L221" t="s">
        <v>20</v>
      </c>
      <c r="M221" s="12">
        <v>8.11</v>
      </c>
      <c r="N221" t="s">
        <v>28</v>
      </c>
    </row>
    <row r="222" spans="1:14" x14ac:dyDescent="0.25">
      <c r="A222" t="s">
        <v>505</v>
      </c>
      <c r="B222" t="s">
        <v>30</v>
      </c>
      <c r="C222" t="s">
        <v>14</v>
      </c>
      <c r="D222" t="s">
        <v>54</v>
      </c>
      <c r="E222" s="6" t="s">
        <v>506</v>
      </c>
      <c r="F222" t="s">
        <v>56</v>
      </c>
      <c r="G222" s="9">
        <v>331.98</v>
      </c>
      <c r="H222" s="13">
        <v>3015</v>
      </c>
      <c r="I222" s="10" t="s">
        <v>58</v>
      </c>
      <c r="J222" t="s">
        <v>18</v>
      </c>
      <c r="K222" s="6">
        <v>2025</v>
      </c>
      <c r="L222" t="s">
        <v>20</v>
      </c>
      <c r="M222" s="12">
        <v>9.08</v>
      </c>
      <c r="N222" t="s">
        <v>59</v>
      </c>
    </row>
    <row r="223" spans="1:14" x14ac:dyDescent="0.25">
      <c r="A223" t="s">
        <v>162</v>
      </c>
      <c r="B223" t="s">
        <v>30</v>
      </c>
      <c r="C223" t="s">
        <v>14</v>
      </c>
      <c r="D223" t="s">
        <v>24</v>
      </c>
      <c r="E223" s="6" t="s">
        <v>163</v>
      </c>
      <c r="F223" t="s">
        <v>26</v>
      </c>
      <c r="G223" s="9">
        <v>11313.03</v>
      </c>
      <c r="H223" s="13">
        <v>104763</v>
      </c>
      <c r="I223" s="10" t="s">
        <v>27</v>
      </c>
      <c r="J223" t="s">
        <v>18</v>
      </c>
      <c r="K223" s="6">
        <v>2024</v>
      </c>
      <c r="L223" t="s">
        <v>38</v>
      </c>
      <c r="M223" s="12">
        <v>9.26</v>
      </c>
      <c r="N223" t="s">
        <v>28</v>
      </c>
    </row>
    <row r="224" spans="1:14" x14ac:dyDescent="0.25">
      <c r="A224" t="s">
        <v>206</v>
      </c>
      <c r="B224" t="s">
        <v>13</v>
      </c>
      <c r="C224" t="s">
        <v>41</v>
      </c>
      <c r="D224" t="s">
        <v>24</v>
      </c>
      <c r="E224" s="6" t="s">
        <v>207</v>
      </c>
      <c r="F224" t="s">
        <v>17</v>
      </c>
      <c r="G224" s="9">
        <v>5580.54</v>
      </c>
      <c r="H224" s="13">
        <v>56202</v>
      </c>
      <c r="I224" s="10" t="s">
        <v>19</v>
      </c>
      <c r="J224" t="s">
        <v>18</v>
      </c>
      <c r="K224" s="6">
        <v>2026</v>
      </c>
      <c r="L224" t="s">
        <v>33</v>
      </c>
      <c r="M224" s="12">
        <v>10.07</v>
      </c>
      <c r="N224" t="s">
        <v>21</v>
      </c>
    </row>
    <row r="225" spans="1:14" x14ac:dyDescent="0.25">
      <c r="A225" t="s">
        <v>494</v>
      </c>
      <c r="B225" t="s">
        <v>66</v>
      </c>
      <c r="C225" t="s">
        <v>53</v>
      </c>
      <c r="D225" t="s">
        <v>24</v>
      </c>
      <c r="E225" s="6" t="s">
        <v>207</v>
      </c>
      <c r="F225" t="s">
        <v>56</v>
      </c>
      <c r="G225" s="9">
        <v>5975.07</v>
      </c>
      <c r="H225" s="13">
        <v>65490</v>
      </c>
      <c r="I225" s="10" t="s">
        <v>58</v>
      </c>
      <c r="J225" t="s">
        <v>57</v>
      </c>
      <c r="K225" s="6">
        <v>2026</v>
      </c>
      <c r="L225" t="s">
        <v>33</v>
      </c>
      <c r="M225" s="12">
        <v>10.96</v>
      </c>
      <c r="N225" t="s">
        <v>59</v>
      </c>
    </row>
    <row r="226" spans="1:14" x14ac:dyDescent="0.25">
      <c r="A226" t="s">
        <v>541</v>
      </c>
      <c r="B226" t="s">
        <v>13</v>
      </c>
      <c r="C226" t="s">
        <v>41</v>
      </c>
      <c r="D226" t="s">
        <v>24</v>
      </c>
      <c r="E226" s="6" t="s">
        <v>542</v>
      </c>
      <c r="F226" t="s">
        <v>48</v>
      </c>
      <c r="G226" s="9">
        <v>3976.08</v>
      </c>
      <c r="H226" s="13">
        <v>33745</v>
      </c>
      <c r="I226" s="10" t="s">
        <v>27</v>
      </c>
      <c r="J226" t="s">
        <v>18</v>
      </c>
      <c r="K226" s="6">
        <v>2024</v>
      </c>
      <c r="L226" t="s">
        <v>33</v>
      </c>
      <c r="M226" s="12">
        <v>8.49</v>
      </c>
      <c r="N226" t="s">
        <v>49</v>
      </c>
    </row>
    <row r="227" spans="1:14" x14ac:dyDescent="0.25">
      <c r="A227" t="s">
        <v>108</v>
      </c>
      <c r="B227" t="s">
        <v>40</v>
      </c>
      <c r="C227" t="s">
        <v>14</v>
      </c>
      <c r="D227" t="s">
        <v>24</v>
      </c>
      <c r="E227" s="6" t="s">
        <v>109</v>
      </c>
      <c r="F227" t="s">
        <v>26</v>
      </c>
      <c r="G227" s="9">
        <v>2795.09</v>
      </c>
      <c r="H227" s="13">
        <v>41339</v>
      </c>
      <c r="I227" s="10" t="s">
        <v>27</v>
      </c>
      <c r="J227" t="s">
        <v>18</v>
      </c>
      <c r="K227" s="6">
        <v>2025</v>
      </c>
      <c r="L227" t="s">
        <v>33</v>
      </c>
      <c r="M227" s="12">
        <v>14.79</v>
      </c>
      <c r="N227" t="s">
        <v>28</v>
      </c>
    </row>
    <row r="228" spans="1:14" x14ac:dyDescent="0.25">
      <c r="A228" t="s">
        <v>416</v>
      </c>
      <c r="B228" t="s">
        <v>70</v>
      </c>
      <c r="C228" t="s">
        <v>36</v>
      </c>
      <c r="D228" t="s">
        <v>24</v>
      </c>
      <c r="E228" s="6" t="s">
        <v>417</v>
      </c>
      <c r="F228" t="s">
        <v>26</v>
      </c>
      <c r="G228" s="9">
        <v>7309.13</v>
      </c>
      <c r="H228" s="13">
        <v>95682</v>
      </c>
      <c r="I228" s="10" t="s">
        <v>27</v>
      </c>
      <c r="J228" t="s">
        <v>57</v>
      </c>
      <c r="K228" s="6">
        <v>2024</v>
      </c>
      <c r="L228" t="s">
        <v>38</v>
      </c>
      <c r="M228" s="12">
        <v>13.09</v>
      </c>
      <c r="N228" t="s">
        <v>28</v>
      </c>
    </row>
    <row r="229" spans="1:14" x14ac:dyDescent="0.25">
      <c r="A229" t="s">
        <v>717</v>
      </c>
      <c r="B229" t="s">
        <v>70</v>
      </c>
      <c r="C229" t="s">
        <v>14</v>
      </c>
      <c r="D229" t="s">
        <v>54</v>
      </c>
      <c r="E229" s="6" t="s">
        <v>718</v>
      </c>
      <c r="F229" t="s">
        <v>48</v>
      </c>
      <c r="G229" s="9">
        <v>65.510000000000005</v>
      </c>
      <c r="H229" s="13">
        <v>975</v>
      </c>
      <c r="I229" s="10" t="s">
        <v>27</v>
      </c>
      <c r="J229" t="s">
        <v>57</v>
      </c>
      <c r="K229" s="6">
        <v>2024</v>
      </c>
      <c r="L229" t="s">
        <v>20</v>
      </c>
      <c r="M229" s="12">
        <v>14.88</v>
      </c>
      <c r="N229" t="s">
        <v>49</v>
      </c>
    </row>
    <row r="230" spans="1:14" x14ac:dyDescent="0.25">
      <c r="A230" t="s">
        <v>199</v>
      </c>
      <c r="B230" t="s">
        <v>40</v>
      </c>
      <c r="C230" t="s">
        <v>63</v>
      </c>
      <c r="D230" t="s">
        <v>24</v>
      </c>
      <c r="E230" s="6" t="s">
        <v>200</v>
      </c>
      <c r="F230" t="s">
        <v>48</v>
      </c>
      <c r="G230" s="9">
        <v>2917.1</v>
      </c>
      <c r="H230" s="13">
        <v>40762</v>
      </c>
      <c r="I230" s="10" t="s">
        <v>27</v>
      </c>
      <c r="J230" t="s">
        <v>18</v>
      </c>
      <c r="K230" s="6">
        <v>2025</v>
      </c>
      <c r="L230" t="s">
        <v>33</v>
      </c>
      <c r="M230" s="12">
        <v>13.97</v>
      </c>
      <c r="N230" t="s">
        <v>49</v>
      </c>
    </row>
    <row r="231" spans="1:14" x14ac:dyDescent="0.25">
      <c r="A231" t="s">
        <v>349</v>
      </c>
      <c r="B231" t="s">
        <v>35</v>
      </c>
      <c r="C231" t="s">
        <v>95</v>
      </c>
      <c r="D231" t="s">
        <v>24</v>
      </c>
      <c r="E231" s="6" t="s">
        <v>200</v>
      </c>
      <c r="F231" t="s">
        <v>48</v>
      </c>
      <c r="G231" s="9">
        <v>6642.42</v>
      </c>
      <c r="H231" s="13">
        <v>98750</v>
      </c>
      <c r="I231" s="10" t="s">
        <v>27</v>
      </c>
      <c r="J231" t="s">
        <v>57</v>
      </c>
      <c r="K231" s="6">
        <v>2025</v>
      </c>
      <c r="L231" t="s">
        <v>33</v>
      </c>
      <c r="M231" s="12">
        <v>14.87</v>
      </c>
      <c r="N231" t="s">
        <v>49</v>
      </c>
    </row>
    <row r="232" spans="1:14" x14ac:dyDescent="0.25">
      <c r="A232" t="s">
        <v>624</v>
      </c>
      <c r="B232" t="s">
        <v>40</v>
      </c>
      <c r="C232" t="s">
        <v>41</v>
      </c>
      <c r="D232" t="s">
        <v>24</v>
      </c>
      <c r="E232" s="6" t="s">
        <v>625</v>
      </c>
      <c r="F232" t="s">
        <v>26</v>
      </c>
      <c r="G232" s="9">
        <v>9744.92</v>
      </c>
      <c r="H232" s="13">
        <v>109345</v>
      </c>
      <c r="I232" s="10" t="s">
        <v>27</v>
      </c>
      <c r="J232" t="s">
        <v>18</v>
      </c>
      <c r="K232" s="6">
        <v>2025</v>
      </c>
      <c r="L232" t="s">
        <v>38</v>
      </c>
      <c r="M232" s="12">
        <v>11.22</v>
      </c>
      <c r="N232" t="s">
        <v>28</v>
      </c>
    </row>
    <row r="233" spans="1:14" x14ac:dyDescent="0.25">
      <c r="A233" t="s">
        <v>157</v>
      </c>
      <c r="B233" t="s">
        <v>40</v>
      </c>
      <c r="C233" t="s">
        <v>36</v>
      </c>
      <c r="D233" t="s">
        <v>24</v>
      </c>
      <c r="E233" s="6" t="s">
        <v>158</v>
      </c>
      <c r="F233" t="s">
        <v>48</v>
      </c>
      <c r="G233" s="9">
        <v>6479.08</v>
      </c>
      <c r="H233" s="13">
        <v>62908</v>
      </c>
      <c r="I233" s="10" t="s">
        <v>27</v>
      </c>
      <c r="J233" t="s">
        <v>18</v>
      </c>
      <c r="K233" s="6">
        <v>2024</v>
      </c>
      <c r="L233" t="s">
        <v>33</v>
      </c>
      <c r="M233" s="12">
        <v>9.7100000000000009</v>
      </c>
      <c r="N233" t="s">
        <v>49</v>
      </c>
    </row>
    <row r="234" spans="1:14" x14ac:dyDescent="0.25">
      <c r="A234" t="s">
        <v>516</v>
      </c>
      <c r="B234" t="s">
        <v>30</v>
      </c>
      <c r="C234" t="s">
        <v>14</v>
      </c>
      <c r="D234" t="s">
        <v>24</v>
      </c>
      <c r="E234" s="6" t="s">
        <v>158</v>
      </c>
      <c r="F234" t="s">
        <v>26</v>
      </c>
      <c r="G234" s="9">
        <v>4545.82</v>
      </c>
      <c r="H234" s="13">
        <v>45231</v>
      </c>
      <c r="I234" s="10" t="s">
        <v>27</v>
      </c>
      <c r="J234" t="s">
        <v>18</v>
      </c>
      <c r="K234" s="6">
        <v>2024</v>
      </c>
      <c r="L234" t="s">
        <v>33</v>
      </c>
      <c r="M234" s="12">
        <v>9.9499999999999993</v>
      </c>
      <c r="N234" t="s">
        <v>28</v>
      </c>
    </row>
    <row r="235" spans="1:14" x14ac:dyDescent="0.25">
      <c r="A235" t="s">
        <v>181</v>
      </c>
      <c r="B235" t="s">
        <v>13</v>
      </c>
      <c r="C235" t="s">
        <v>41</v>
      </c>
      <c r="D235" t="s">
        <v>24</v>
      </c>
      <c r="E235" s="6" t="s">
        <v>182</v>
      </c>
      <c r="F235" t="s">
        <v>17</v>
      </c>
      <c r="G235" s="9">
        <v>6875.74</v>
      </c>
      <c r="H235" s="13">
        <v>81314</v>
      </c>
      <c r="I235" s="10" t="s">
        <v>19</v>
      </c>
      <c r="J235" t="s">
        <v>18</v>
      </c>
      <c r="K235" s="6">
        <v>2024</v>
      </c>
      <c r="L235" t="s">
        <v>33</v>
      </c>
      <c r="M235" s="12">
        <v>11.83</v>
      </c>
      <c r="N235" t="s">
        <v>21</v>
      </c>
    </row>
    <row r="236" spans="1:14" x14ac:dyDescent="0.25">
      <c r="A236" t="s">
        <v>365</v>
      </c>
      <c r="B236" t="s">
        <v>70</v>
      </c>
      <c r="C236" t="s">
        <v>53</v>
      </c>
      <c r="D236" t="s">
        <v>24</v>
      </c>
      <c r="E236" s="6" t="s">
        <v>366</v>
      </c>
      <c r="F236" t="s">
        <v>56</v>
      </c>
      <c r="G236" s="9">
        <v>10615.86</v>
      </c>
      <c r="H236" s="13">
        <v>157090</v>
      </c>
      <c r="I236" s="10" t="s">
        <v>58</v>
      </c>
      <c r="J236" t="s">
        <v>18</v>
      </c>
      <c r="K236" s="6">
        <v>2025</v>
      </c>
      <c r="L236" t="s">
        <v>38</v>
      </c>
      <c r="M236" s="12">
        <v>14.8</v>
      </c>
      <c r="N236" t="s">
        <v>59</v>
      </c>
    </row>
    <row r="237" spans="1:14" x14ac:dyDescent="0.25">
      <c r="A237" t="s">
        <v>730</v>
      </c>
      <c r="B237" t="s">
        <v>23</v>
      </c>
      <c r="C237" t="s">
        <v>63</v>
      </c>
      <c r="D237" t="s">
        <v>24</v>
      </c>
      <c r="E237" s="6" t="s">
        <v>366</v>
      </c>
      <c r="F237" t="s">
        <v>48</v>
      </c>
      <c r="G237" s="9">
        <v>3571.15</v>
      </c>
      <c r="H237" s="13">
        <v>55615</v>
      </c>
      <c r="I237" s="10" t="s">
        <v>27</v>
      </c>
      <c r="J237" t="s">
        <v>57</v>
      </c>
      <c r="K237" s="6">
        <v>2025</v>
      </c>
      <c r="L237" t="s">
        <v>33</v>
      </c>
      <c r="M237" s="12">
        <v>15.57</v>
      </c>
      <c r="N237" t="s">
        <v>49</v>
      </c>
    </row>
    <row r="238" spans="1:14" x14ac:dyDescent="0.25">
      <c r="A238" t="s">
        <v>465</v>
      </c>
      <c r="B238" t="s">
        <v>35</v>
      </c>
      <c r="C238" t="s">
        <v>36</v>
      </c>
      <c r="D238" t="s">
        <v>54</v>
      </c>
      <c r="E238" s="6" t="s">
        <v>466</v>
      </c>
      <c r="F238" t="s">
        <v>48</v>
      </c>
      <c r="G238" s="9">
        <v>375.24</v>
      </c>
      <c r="H238" s="13">
        <v>3823</v>
      </c>
      <c r="I238" s="10" t="s">
        <v>27</v>
      </c>
      <c r="J238" t="s">
        <v>57</v>
      </c>
      <c r="K238" s="6">
        <v>2024</v>
      </c>
      <c r="L238" t="s">
        <v>20</v>
      </c>
      <c r="M238" s="12">
        <v>10.19</v>
      </c>
      <c r="N238" t="s">
        <v>49</v>
      </c>
    </row>
    <row r="239" spans="1:14" x14ac:dyDescent="0.25">
      <c r="A239" t="s">
        <v>675</v>
      </c>
      <c r="B239" t="s">
        <v>66</v>
      </c>
      <c r="C239" t="s">
        <v>53</v>
      </c>
      <c r="D239" t="s">
        <v>24</v>
      </c>
      <c r="E239" s="6" t="s">
        <v>466</v>
      </c>
      <c r="F239" t="s">
        <v>17</v>
      </c>
      <c r="G239" s="9">
        <v>11964.87</v>
      </c>
      <c r="H239" s="13">
        <v>177042</v>
      </c>
      <c r="I239" s="10" t="s">
        <v>19</v>
      </c>
      <c r="J239" t="s">
        <v>57</v>
      </c>
      <c r="K239" s="6">
        <v>2024</v>
      </c>
      <c r="L239" t="s">
        <v>38</v>
      </c>
      <c r="M239" s="12">
        <v>14.8</v>
      </c>
      <c r="N239" t="s">
        <v>21</v>
      </c>
    </row>
    <row r="240" spans="1:14" x14ac:dyDescent="0.25">
      <c r="A240" t="s">
        <v>385</v>
      </c>
      <c r="B240" t="s">
        <v>40</v>
      </c>
      <c r="C240" t="s">
        <v>36</v>
      </c>
      <c r="D240" t="s">
        <v>24</v>
      </c>
      <c r="E240" s="6" t="s">
        <v>386</v>
      </c>
      <c r="F240" t="s">
        <v>26</v>
      </c>
      <c r="G240" s="9">
        <v>10151.129999999999</v>
      </c>
      <c r="H240" s="13">
        <v>151132</v>
      </c>
      <c r="I240" s="10" t="s">
        <v>27</v>
      </c>
      <c r="J240" t="s">
        <v>18</v>
      </c>
      <c r="K240" s="6">
        <v>2026</v>
      </c>
      <c r="L240" t="s">
        <v>38</v>
      </c>
      <c r="M240" s="12">
        <v>14.89</v>
      </c>
      <c r="N240" t="s">
        <v>28</v>
      </c>
    </row>
    <row r="241" spans="1:14" x14ac:dyDescent="0.25">
      <c r="A241" t="s">
        <v>137</v>
      </c>
      <c r="B241" t="s">
        <v>13</v>
      </c>
      <c r="C241" t="s">
        <v>14</v>
      </c>
      <c r="D241" t="s">
        <v>24</v>
      </c>
      <c r="E241" s="6" t="s">
        <v>138</v>
      </c>
      <c r="F241" t="s">
        <v>48</v>
      </c>
      <c r="G241" s="9">
        <v>11810.83</v>
      </c>
      <c r="H241" s="13">
        <v>101959</v>
      </c>
      <c r="I241" s="10" t="s">
        <v>27</v>
      </c>
      <c r="J241" t="s">
        <v>18</v>
      </c>
      <c r="K241" s="6">
        <v>2025</v>
      </c>
      <c r="L241" t="s">
        <v>38</v>
      </c>
      <c r="M241" s="12">
        <v>8.6300000000000008</v>
      </c>
      <c r="N241" t="s">
        <v>49</v>
      </c>
    </row>
    <row r="242" spans="1:14" x14ac:dyDescent="0.25">
      <c r="A242" t="s">
        <v>660</v>
      </c>
      <c r="B242" t="s">
        <v>13</v>
      </c>
      <c r="C242" t="s">
        <v>14</v>
      </c>
      <c r="D242" t="s">
        <v>24</v>
      </c>
      <c r="E242" s="6" t="s">
        <v>661</v>
      </c>
      <c r="F242" t="s">
        <v>17</v>
      </c>
      <c r="G242" s="9">
        <v>10395.94</v>
      </c>
      <c r="H242" s="13">
        <v>88651</v>
      </c>
      <c r="I242" s="10" t="s">
        <v>19</v>
      </c>
      <c r="J242" t="s">
        <v>18</v>
      </c>
      <c r="K242" s="6">
        <v>2024</v>
      </c>
      <c r="L242" t="s">
        <v>38</v>
      </c>
      <c r="M242" s="12">
        <v>8.5299999999999994</v>
      </c>
      <c r="N242" t="s">
        <v>21</v>
      </c>
    </row>
    <row r="243" spans="1:14" x14ac:dyDescent="0.25">
      <c r="A243" t="s">
        <v>741</v>
      </c>
      <c r="B243" t="s">
        <v>70</v>
      </c>
      <c r="C243" t="s">
        <v>14</v>
      </c>
      <c r="D243" t="s">
        <v>54</v>
      </c>
      <c r="E243" s="6" t="s">
        <v>742</v>
      </c>
      <c r="F243" t="s">
        <v>17</v>
      </c>
      <c r="G243" s="9">
        <v>352.71</v>
      </c>
      <c r="H243" s="13">
        <v>3444</v>
      </c>
      <c r="I243" s="10" t="s">
        <v>19</v>
      </c>
      <c r="J243" t="s">
        <v>18</v>
      </c>
      <c r="K243" s="6">
        <v>2024</v>
      </c>
      <c r="L243" t="s">
        <v>20</v>
      </c>
      <c r="M243" s="12">
        <v>9.76</v>
      </c>
      <c r="N243" t="s">
        <v>21</v>
      </c>
    </row>
    <row r="244" spans="1:14" x14ac:dyDescent="0.25">
      <c r="A244" t="s">
        <v>507</v>
      </c>
      <c r="B244" t="s">
        <v>13</v>
      </c>
      <c r="C244" t="s">
        <v>41</v>
      </c>
      <c r="D244" t="s">
        <v>54</v>
      </c>
      <c r="E244" s="6" t="s">
        <v>508</v>
      </c>
      <c r="F244" t="s">
        <v>56</v>
      </c>
      <c r="G244" s="9">
        <v>184.51</v>
      </c>
      <c r="H244" s="13">
        <v>2099</v>
      </c>
      <c r="I244" s="10" t="s">
        <v>58</v>
      </c>
      <c r="J244" t="s">
        <v>57</v>
      </c>
      <c r="K244" s="6">
        <v>2026</v>
      </c>
      <c r="L244" t="s">
        <v>20</v>
      </c>
      <c r="M244" s="12">
        <v>11.38</v>
      </c>
      <c r="N244" t="s">
        <v>59</v>
      </c>
    </row>
    <row r="245" spans="1:14" x14ac:dyDescent="0.25">
      <c r="A245" t="s">
        <v>571</v>
      </c>
      <c r="B245" t="s">
        <v>13</v>
      </c>
      <c r="C245" t="s">
        <v>14</v>
      </c>
      <c r="D245" t="s">
        <v>24</v>
      </c>
      <c r="E245" s="6" t="s">
        <v>572</v>
      </c>
      <c r="F245" t="s">
        <v>48</v>
      </c>
      <c r="G245" s="9">
        <v>2244.86</v>
      </c>
      <c r="H245" s="13">
        <v>26010</v>
      </c>
      <c r="I245" s="10" t="s">
        <v>27</v>
      </c>
      <c r="J245" t="s">
        <v>18</v>
      </c>
      <c r="K245" s="6">
        <v>2025</v>
      </c>
      <c r="L245" t="s">
        <v>33</v>
      </c>
      <c r="M245" s="12">
        <v>11.59</v>
      </c>
      <c r="N245" t="s">
        <v>49</v>
      </c>
    </row>
    <row r="246" spans="1:14" x14ac:dyDescent="0.25">
      <c r="A246" t="s">
        <v>111</v>
      </c>
      <c r="B246" t="s">
        <v>40</v>
      </c>
      <c r="C246" t="s">
        <v>36</v>
      </c>
      <c r="D246" t="s">
        <v>24</v>
      </c>
      <c r="E246" s="6" t="s">
        <v>112</v>
      </c>
      <c r="F246" t="s">
        <v>56</v>
      </c>
      <c r="G246" s="9">
        <v>4521.07</v>
      </c>
      <c r="H246" s="13">
        <v>60902</v>
      </c>
      <c r="I246" s="10" t="s">
        <v>58</v>
      </c>
      <c r="J246" t="s">
        <v>18</v>
      </c>
      <c r="K246" s="6">
        <v>2024</v>
      </c>
      <c r="L246" t="s">
        <v>33</v>
      </c>
      <c r="M246" s="12">
        <v>13.47</v>
      </c>
      <c r="N246" t="s">
        <v>59</v>
      </c>
    </row>
    <row r="247" spans="1:14" x14ac:dyDescent="0.25">
      <c r="A247" t="s">
        <v>325</v>
      </c>
      <c r="B247" t="s">
        <v>70</v>
      </c>
      <c r="C247" t="s">
        <v>36</v>
      </c>
      <c r="D247" t="s">
        <v>24</v>
      </c>
      <c r="E247" s="6" t="s">
        <v>112</v>
      </c>
      <c r="F247" t="s">
        <v>56</v>
      </c>
      <c r="G247" s="9">
        <v>5985.27</v>
      </c>
      <c r="H247" s="13">
        <v>57720</v>
      </c>
      <c r="I247" s="10" t="s">
        <v>58</v>
      </c>
      <c r="J247" t="s">
        <v>18</v>
      </c>
      <c r="K247" s="6">
        <v>2024</v>
      </c>
      <c r="L247" t="s">
        <v>33</v>
      </c>
      <c r="M247" s="12">
        <v>9.64</v>
      </c>
      <c r="N247" t="s">
        <v>59</v>
      </c>
    </row>
    <row r="248" spans="1:14" x14ac:dyDescent="0.25">
      <c r="A248" t="s">
        <v>697</v>
      </c>
      <c r="B248" t="s">
        <v>40</v>
      </c>
      <c r="C248" t="s">
        <v>41</v>
      </c>
      <c r="D248" t="s">
        <v>54</v>
      </c>
      <c r="E248" s="6" t="s">
        <v>698</v>
      </c>
      <c r="F248" t="s">
        <v>48</v>
      </c>
      <c r="G248" s="9">
        <v>57.96</v>
      </c>
      <c r="H248" s="13">
        <v>620</v>
      </c>
      <c r="I248" s="10" t="s">
        <v>27</v>
      </c>
      <c r="J248" t="s">
        <v>18</v>
      </c>
      <c r="K248" s="6">
        <v>2025</v>
      </c>
      <c r="L248" t="s">
        <v>20</v>
      </c>
      <c r="M248" s="12">
        <v>10.69</v>
      </c>
      <c r="N248" t="s">
        <v>49</v>
      </c>
    </row>
    <row r="249" spans="1:14" x14ac:dyDescent="0.25">
      <c r="A249" t="s">
        <v>749</v>
      </c>
      <c r="B249" t="s">
        <v>70</v>
      </c>
      <c r="C249" t="s">
        <v>41</v>
      </c>
      <c r="D249" t="s">
        <v>24</v>
      </c>
      <c r="E249" s="6" t="s">
        <v>750</v>
      </c>
      <c r="F249" t="s">
        <v>48</v>
      </c>
      <c r="G249" s="9">
        <v>2163.38</v>
      </c>
      <c r="H249" s="13">
        <v>42966</v>
      </c>
      <c r="I249" s="10" t="s">
        <v>27</v>
      </c>
      <c r="J249" t="s">
        <v>18</v>
      </c>
      <c r="K249" s="6">
        <v>2025</v>
      </c>
      <c r="L249" t="s">
        <v>33</v>
      </c>
      <c r="M249" s="12">
        <v>19.86</v>
      </c>
      <c r="N249" t="s">
        <v>49</v>
      </c>
    </row>
    <row r="250" spans="1:14" x14ac:dyDescent="0.25">
      <c r="A250" t="s">
        <v>307</v>
      </c>
      <c r="B250" t="s">
        <v>35</v>
      </c>
      <c r="C250" t="s">
        <v>53</v>
      </c>
      <c r="D250" t="s">
        <v>24</v>
      </c>
      <c r="E250" s="6" t="s">
        <v>308</v>
      </c>
      <c r="F250" t="s">
        <v>48</v>
      </c>
      <c r="G250" s="9">
        <v>2960.46</v>
      </c>
      <c r="H250" s="13">
        <v>30481</v>
      </c>
      <c r="I250" s="10" t="s">
        <v>27</v>
      </c>
      <c r="J250" t="s">
        <v>18</v>
      </c>
      <c r="K250" s="6">
        <v>2024</v>
      </c>
      <c r="L250" t="s">
        <v>33</v>
      </c>
      <c r="M250" s="12">
        <v>10.3</v>
      </c>
      <c r="N250" t="s">
        <v>49</v>
      </c>
    </row>
    <row r="251" spans="1:14" x14ac:dyDescent="0.25">
      <c r="A251" t="s">
        <v>731</v>
      </c>
      <c r="B251" t="s">
        <v>35</v>
      </c>
      <c r="C251" t="s">
        <v>53</v>
      </c>
      <c r="D251" t="s">
        <v>15</v>
      </c>
      <c r="E251" s="6" t="s">
        <v>308</v>
      </c>
      <c r="F251" t="s">
        <v>48</v>
      </c>
      <c r="G251" s="9">
        <v>44.94</v>
      </c>
      <c r="H251" s="13">
        <v>603</v>
      </c>
      <c r="I251" s="10" t="s">
        <v>27</v>
      </c>
      <c r="J251" t="s">
        <v>57</v>
      </c>
      <c r="K251" s="6">
        <v>2024</v>
      </c>
      <c r="L251" t="s">
        <v>20</v>
      </c>
      <c r="M251" s="12">
        <v>13.42</v>
      </c>
      <c r="N251" t="s">
        <v>49</v>
      </c>
    </row>
    <row r="252" spans="1:14" x14ac:dyDescent="0.25">
      <c r="A252" t="s">
        <v>155</v>
      </c>
      <c r="B252" t="s">
        <v>70</v>
      </c>
      <c r="C252" t="s">
        <v>41</v>
      </c>
      <c r="D252" t="s">
        <v>24</v>
      </c>
      <c r="E252" s="6" t="s">
        <v>156</v>
      </c>
      <c r="F252" t="s">
        <v>26</v>
      </c>
      <c r="G252" s="9">
        <v>5514.66</v>
      </c>
      <c r="H252" s="13">
        <v>60743</v>
      </c>
      <c r="I252" s="10" t="s">
        <v>27</v>
      </c>
      <c r="J252" t="s">
        <v>18</v>
      </c>
      <c r="K252" s="6">
        <v>2025</v>
      </c>
      <c r="L252" t="s">
        <v>33</v>
      </c>
      <c r="M252" s="12">
        <v>11.01</v>
      </c>
      <c r="N252" t="s">
        <v>28</v>
      </c>
    </row>
    <row r="253" spans="1:14" x14ac:dyDescent="0.25">
      <c r="A253" t="s">
        <v>355</v>
      </c>
      <c r="B253" t="s">
        <v>40</v>
      </c>
      <c r="C253" t="s">
        <v>14</v>
      </c>
      <c r="D253" t="s">
        <v>24</v>
      </c>
      <c r="E253" s="6" t="s">
        <v>356</v>
      </c>
      <c r="F253" t="s">
        <v>56</v>
      </c>
      <c r="G253" s="9">
        <v>5429.05</v>
      </c>
      <c r="H253" s="13">
        <v>53917</v>
      </c>
      <c r="I253" s="10" t="s">
        <v>58</v>
      </c>
      <c r="J253" t="s">
        <v>18</v>
      </c>
      <c r="K253" s="6">
        <v>2024</v>
      </c>
      <c r="L253" t="s">
        <v>33</v>
      </c>
      <c r="M253" s="12">
        <v>9.93</v>
      </c>
      <c r="N253" t="s">
        <v>59</v>
      </c>
    </row>
    <row r="254" spans="1:14" x14ac:dyDescent="0.25">
      <c r="A254" t="s">
        <v>753</v>
      </c>
      <c r="B254" t="s">
        <v>13</v>
      </c>
      <c r="C254" t="s">
        <v>41</v>
      </c>
      <c r="D254" t="s">
        <v>24</v>
      </c>
      <c r="E254" s="6" t="s">
        <v>356</v>
      </c>
      <c r="F254" t="s">
        <v>17</v>
      </c>
      <c r="G254" s="9">
        <v>7392.84</v>
      </c>
      <c r="H254" s="13">
        <v>106584</v>
      </c>
      <c r="I254" s="10" t="s">
        <v>19</v>
      </c>
      <c r="J254" t="s">
        <v>57</v>
      </c>
      <c r="K254" s="6">
        <v>2024</v>
      </c>
      <c r="L254" t="s">
        <v>38</v>
      </c>
      <c r="M254" s="12">
        <v>14.42</v>
      </c>
      <c r="N254" t="s">
        <v>21</v>
      </c>
    </row>
    <row r="255" spans="1:14" x14ac:dyDescent="0.25">
      <c r="A255" t="s">
        <v>650</v>
      </c>
      <c r="B255" t="s">
        <v>66</v>
      </c>
      <c r="C255" t="s">
        <v>14</v>
      </c>
      <c r="D255" t="s">
        <v>24</v>
      </c>
      <c r="E255" s="6" t="s">
        <v>651</v>
      </c>
      <c r="F255" t="s">
        <v>56</v>
      </c>
      <c r="G255" s="9">
        <v>7377.42</v>
      </c>
      <c r="H255" s="13">
        <v>92351</v>
      </c>
      <c r="I255" s="10" t="s">
        <v>58</v>
      </c>
      <c r="J255" t="s">
        <v>18</v>
      </c>
      <c r="K255" s="6">
        <v>2024</v>
      </c>
      <c r="L255" t="s">
        <v>38</v>
      </c>
      <c r="M255" s="12">
        <v>12.52</v>
      </c>
      <c r="N255" t="s">
        <v>59</v>
      </c>
    </row>
    <row r="256" spans="1:14" x14ac:dyDescent="0.25">
      <c r="A256" t="s">
        <v>255</v>
      </c>
      <c r="B256" t="s">
        <v>35</v>
      </c>
      <c r="C256" t="s">
        <v>36</v>
      </c>
      <c r="D256" t="s">
        <v>54</v>
      </c>
      <c r="E256" s="6" t="s">
        <v>256</v>
      </c>
      <c r="F256" t="s">
        <v>17</v>
      </c>
      <c r="G256" s="9">
        <v>3263.73</v>
      </c>
      <c r="H256" s="13">
        <v>35034</v>
      </c>
      <c r="I256" s="10" t="s">
        <v>19</v>
      </c>
      <c r="J256" t="s">
        <v>18</v>
      </c>
      <c r="K256" s="6">
        <v>2025</v>
      </c>
      <c r="L256" t="s">
        <v>33</v>
      </c>
      <c r="M256" s="12">
        <v>10.73</v>
      </c>
      <c r="N256" t="s">
        <v>21</v>
      </c>
    </row>
    <row r="257" spans="1:14" x14ac:dyDescent="0.25">
      <c r="A257" t="s">
        <v>663</v>
      </c>
      <c r="B257" t="s">
        <v>70</v>
      </c>
      <c r="C257" t="s">
        <v>41</v>
      </c>
      <c r="D257" t="s">
        <v>24</v>
      </c>
      <c r="E257" s="6" t="s">
        <v>256</v>
      </c>
      <c r="F257" t="s">
        <v>26</v>
      </c>
      <c r="G257" s="9">
        <v>738.57</v>
      </c>
      <c r="H257" s="13">
        <v>9155</v>
      </c>
      <c r="I257" s="10" t="s">
        <v>27</v>
      </c>
      <c r="J257" t="s">
        <v>18</v>
      </c>
      <c r="K257" s="6">
        <v>2025</v>
      </c>
      <c r="L257" t="s">
        <v>20</v>
      </c>
      <c r="M257" s="12">
        <v>12.4</v>
      </c>
      <c r="N257" t="s">
        <v>28</v>
      </c>
    </row>
    <row r="258" spans="1:14" x14ac:dyDescent="0.25">
      <c r="A258" t="s">
        <v>52</v>
      </c>
      <c r="B258" t="s">
        <v>30</v>
      </c>
      <c r="C258" t="s">
        <v>53</v>
      </c>
      <c r="D258" t="s">
        <v>54</v>
      </c>
      <c r="E258" s="6" t="s">
        <v>55</v>
      </c>
      <c r="F258" t="s">
        <v>56</v>
      </c>
      <c r="G258" s="9">
        <v>20.91</v>
      </c>
      <c r="H258" s="13">
        <v>233</v>
      </c>
      <c r="I258" s="10" t="s">
        <v>58</v>
      </c>
      <c r="J258" t="s">
        <v>57</v>
      </c>
      <c r="K258" s="6">
        <v>2024</v>
      </c>
      <c r="L258" t="s">
        <v>20</v>
      </c>
      <c r="M258" s="12">
        <v>11.13</v>
      </c>
      <c r="N258" t="s">
        <v>59</v>
      </c>
    </row>
    <row r="259" spans="1:14" x14ac:dyDescent="0.25">
      <c r="A259" t="s">
        <v>119</v>
      </c>
      <c r="B259" t="s">
        <v>35</v>
      </c>
      <c r="C259" t="s">
        <v>63</v>
      </c>
      <c r="D259" t="s">
        <v>24</v>
      </c>
      <c r="E259" s="6" t="s">
        <v>55</v>
      </c>
      <c r="F259" t="s">
        <v>26</v>
      </c>
      <c r="G259" s="9">
        <v>3703.94</v>
      </c>
      <c r="H259" s="13">
        <v>44303</v>
      </c>
      <c r="I259" s="10" t="s">
        <v>27</v>
      </c>
      <c r="J259" t="s">
        <v>57</v>
      </c>
      <c r="K259" s="6">
        <v>2024</v>
      </c>
      <c r="L259" t="s">
        <v>33</v>
      </c>
      <c r="M259" s="12">
        <v>11.96</v>
      </c>
      <c r="N259" t="s">
        <v>28</v>
      </c>
    </row>
    <row r="260" spans="1:14" x14ac:dyDescent="0.25">
      <c r="A260" t="s">
        <v>474</v>
      </c>
      <c r="B260" t="s">
        <v>35</v>
      </c>
      <c r="C260" t="s">
        <v>36</v>
      </c>
      <c r="D260" t="s">
        <v>31</v>
      </c>
      <c r="E260" s="6" t="s">
        <v>475</v>
      </c>
      <c r="F260" t="s">
        <v>48</v>
      </c>
      <c r="G260" s="9">
        <v>1513.89</v>
      </c>
      <c r="H260" s="13">
        <v>13078</v>
      </c>
      <c r="I260" s="10" t="s">
        <v>27</v>
      </c>
      <c r="J260" t="s">
        <v>57</v>
      </c>
      <c r="K260" s="6">
        <v>2026</v>
      </c>
      <c r="L260" t="s">
        <v>20</v>
      </c>
      <c r="M260" s="12">
        <v>8.64</v>
      </c>
      <c r="N260" t="s">
        <v>49</v>
      </c>
    </row>
    <row r="261" spans="1:14" x14ac:dyDescent="0.25">
      <c r="A261" t="s">
        <v>566</v>
      </c>
      <c r="B261" t="s">
        <v>23</v>
      </c>
      <c r="C261" t="s">
        <v>41</v>
      </c>
      <c r="D261" t="s">
        <v>31</v>
      </c>
      <c r="E261" s="6" t="s">
        <v>475</v>
      </c>
      <c r="F261" t="s">
        <v>26</v>
      </c>
      <c r="G261" s="9">
        <v>289.5</v>
      </c>
      <c r="H261" s="13">
        <v>3175</v>
      </c>
      <c r="I261" s="10" t="s">
        <v>27</v>
      </c>
      <c r="J261" t="s">
        <v>57</v>
      </c>
      <c r="K261" s="6">
        <v>2026</v>
      </c>
      <c r="L261" t="s">
        <v>20</v>
      </c>
      <c r="M261" s="12">
        <v>10.97</v>
      </c>
      <c r="N261" t="s">
        <v>28</v>
      </c>
    </row>
    <row r="262" spans="1:14" x14ac:dyDescent="0.25">
      <c r="A262" t="s">
        <v>270</v>
      </c>
      <c r="B262" t="s">
        <v>13</v>
      </c>
      <c r="C262" t="s">
        <v>14</v>
      </c>
      <c r="D262" t="s">
        <v>15</v>
      </c>
      <c r="E262" s="6" t="s">
        <v>271</v>
      </c>
      <c r="F262" t="s">
        <v>26</v>
      </c>
      <c r="G262" s="9">
        <v>151.05000000000001</v>
      </c>
      <c r="H262" s="13">
        <v>2129</v>
      </c>
      <c r="I262" s="10" t="s">
        <v>27</v>
      </c>
      <c r="J262" t="s">
        <v>18</v>
      </c>
      <c r="K262" s="6">
        <v>2025</v>
      </c>
      <c r="L262" t="s">
        <v>20</v>
      </c>
      <c r="M262" s="12">
        <v>14.09</v>
      </c>
      <c r="N262" t="s">
        <v>28</v>
      </c>
    </row>
    <row r="263" spans="1:14" x14ac:dyDescent="0.25">
      <c r="A263" t="s">
        <v>197</v>
      </c>
      <c r="B263" t="s">
        <v>40</v>
      </c>
      <c r="C263" t="s">
        <v>41</v>
      </c>
      <c r="D263" t="s">
        <v>24</v>
      </c>
      <c r="E263" s="6" t="s">
        <v>198</v>
      </c>
      <c r="F263" t="s">
        <v>26</v>
      </c>
      <c r="G263" s="9">
        <v>3994.56</v>
      </c>
      <c r="H263" s="13">
        <v>59901</v>
      </c>
      <c r="I263" s="10" t="s">
        <v>27</v>
      </c>
      <c r="J263" t="s">
        <v>57</v>
      </c>
      <c r="K263" s="6">
        <v>2024</v>
      </c>
      <c r="L263" t="s">
        <v>33</v>
      </c>
      <c r="M263" s="12">
        <v>15</v>
      </c>
      <c r="N263" t="s">
        <v>28</v>
      </c>
    </row>
    <row r="264" spans="1:14" x14ac:dyDescent="0.25">
      <c r="A264" t="s">
        <v>555</v>
      </c>
      <c r="B264" t="s">
        <v>13</v>
      </c>
      <c r="C264" t="s">
        <v>53</v>
      </c>
      <c r="D264" t="s">
        <v>24</v>
      </c>
      <c r="E264" s="6" t="s">
        <v>556</v>
      </c>
      <c r="F264" t="s">
        <v>17</v>
      </c>
      <c r="G264" s="9">
        <v>641.04999999999995</v>
      </c>
      <c r="H264" s="13">
        <v>9353</v>
      </c>
      <c r="I264" s="10" t="s">
        <v>19</v>
      </c>
      <c r="J264" t="s">
        <v>57</v>
      </c>
      <c r="K264" s="6">
        <v>2025</v>
      </c>
      <c r="L264" t="s">
        <v>20</v>
      </c>
      <c r="M264" s="12">
        <v>14.59</v>
      </c>
      <c r="N264" t="s">
        <v>21</v>
      </c>
    </row>
    <row r="265" spans="1:14" x14ac:dyDescent="0.25">
      <c r="A265" t="s">
        <v>133</v>
      </c>
      <c r="B265" t="s">
        <v>40</v>
      </c>
      <c r="C265" t="s">
        <v>41</v>
      </c>
      <c r="D265" t="s">
        <v>31</v>
      </c>
      <c r="E265" s="6" t="s">
        <v>134</v>
      </c>
      <c r="F265" t="s">
        <v>26</v>
      </c>
      <c r="G265" s="9">
        <v>857.52</v>
      </c>
      <c r="H265" s="13">
        <v>8585</v>
      </c>
      <c r="I265" s="10" t="s">
        <v>27</v>
      </c>
      <c r="J265" t="s">
        <v>18</v>
      </c>
      <c r="K265" s="6">
        <v>2024</v>
      </c>
      <c r="L265" t="s">
        <v>20</v>
      </c>
      <c r="M265" s="12">
        <v>10.01</v>
      </c>
      <c r="N265" t="s">
        <v>28</v>
      </c>
    </row>
    <row r="266" spans="1:14" x14ac:dyDescent="0.25">
      <c r="A266" t="s">
        <v>183</v>
      </c>
      <c r="B266" t="s">
        <v>40</v>
      </c>
      <c r="C266" t="s">
        <v>53</v>
      </c>
      <c r="D266" t="s">
        <v>31</v>
      </c>
      <c r="E266" s="6" t="s">
        <v>184</v>
      </c>
      <c r="F266" t="s">
        <v>26</v>
      </c>
      <c r="G266" s="9">
        <v>656.34</v>
      </c>
      <c r="H266" s="13">
        <v>5590</v>
      </c>
      <c r="I266" s="10" t="s">
        <v>27</v>
      </c>
      <c r="J266" t="s">
        <v>18</v>
      </c>
      <c r="K266" s="6">
        <v>2025</v>
      </c>
      <c r="L266" t="s">
        <v>20</v>
      </c>
      <c r="M266" s="12">
        <v>8.52</v>
      </c>
      <c r="N266" t="s">
        <v>28</v>
      </c>
    </row>
    <row r="267" spans="1:14" x14ac:dyDescent="0.25">
      <c r="A267" t="s">
        <v>183</v>
      </c>
      <c r="B267" t="s">
        <v>40</v>
      </c>
      <c r="C267" t="s">
        <v>14</v>
      </c>
      <c r="D267" t="s">
        <v>31</v>
      </c>
      <c r="E267" s="6" t="s">
        <v>184</v>
      </c>
      <c r="F267" t="s">
        <v>26</v>
      </c>
      <c r="G267" s="9">
        <v>656.34</v>
      </c>
      <c r="H267" s="13">
        <v>5590</v>
      </c>
      <c r="I267" s="10" t="s">
        <v>27</v>
      </c>
      <c r="J267" t="s">
        <v>18</v>
      </c>
      <c r="K267" s="6">
        <v>2025</v>
      </c>
      <c r="L267" t="s">
        <v>20</v>
      </c>
      <c r="M267" s="12">
        <v>8.52</v>
      </c>
      <c r="N267" t="s">
        <v>28</v>
      </c>
    </row>
    <row r="268" spans="1:14" x14ac:dyDescent="0.25">
      <c r="A268" t="s">
        <v>509</v>
      </c>
      <c r="B268" t="s">
        <v>40</v>
      </c>
      <c r="C268" t="s">
        <v>53</v>
      </c>
      <c r="D268" t="s">
        <v>15</v>
      </c>
      <c r="E268" s="6" t="s">
        <v>510</v>
      </c>
      <c r="F268" t="s">
        <v>26</v>
      </c>
      <c r="G268" s="9">
        <v>110.69</v>
      </c>
      <c r="H268" s="13">
        <v>1542</v>
      </c>
      <c r="I268" s="10" t="s">
        <v>27</v>
      </c>
      <c r="J268" t="s">
        <v>18</v>
      </c>
      <c r="K268" s="6">
        <v>2024</v>
      </c>
      <c r="L268" t="s">
        <v>20</v>
      </c>
      <c r="M268" s="12">
        <v>13.93</v>
      </c>
      <c r="N268" t="s">
        <v>28</v>
      </c>
    </row>
    <row r="269" spans="1:14" x14ac:dyDescent="0.25">
      <c r="A269" t="s">
        <v>404</v>
      </c>
      <c r="B269" t="s">
        <v>40</v>
      </c>
      <c r="C269" t="s">
        <v>36</v>
      </c>
      <c r="D269" t="s">
        <v>24</v>
      </c>
      <c r="E269" s="6" t="s">
        <v>405</v>
      </c>
      <c r="F269" t="s">
        <v>17</v>
      </c>
      <c r="G269" s="9">
        <v>2383.31</v>
      </c>
      <c r="H269" s="13">
        <v>26089</v>
      </c>
      <c r="I269" s="10" t="s">
        <v>19</v>
      </c>
      <c r="J269" t="s">
        <v>57</v>
      </c>
      <c r="K269" s="6">
        <v>2025</v>
      </c>
      <c r="L269" t="s">
        <v>33</v>
      </c>
      <c r="M269" s="12">
        <v>10.95</v>
      </c>
      <c r="N269" t="s">
        <v>21</v>
      </c>
    </row>
    <row r="270" spans="1:14" x14ac:dyDescent="0.25">
      <c r="A270" t="s">
        <v>469</v>
      </c>
      <c r="B270" t="s">
        <v>66</v>
      </c>
      <c r="C270" t="s">
        <v>63</v>
      </c>
      <c r="D270" t="s">
        <v>24</v>
      </c>
      <c r="E270" s="6" t="s">
        <v>470</v>
      </c>
      <c r="F270" t="s">
        <v>17</v>
      </c>
      <c r="G270" s="9">
        <v>4368.5600000000004</v>
      </c>
      <c r="H270" s="13">
        <v>64109</v>
      </c>
      <c r="I270" s="10" t="s">
        <v>19</v>
      </c>
      <c r="J270" t="s">
        <v>18</v>
      </c>
      <c r="K270" s="6">
        <v>2025</v>
      </c>
      <c r="L270" t="s">
        <v>33</v>
      </c>
      <c r="M270" s="12">
        <v>14.68</v>
      </c>
      <c r="N270" t="s">
        <v>21</v>
      </c>
    </row>
    <row r="271" spans="1:14" x14ac:dyDescent="0.25">
      <c r="A271" t="s">
        <v>96</v>
      </c>
      <c r="B271" t="s">
        <v>40</v>
      </c>
      <c r="C271" t="s">
        <v>14</v>
      </c>
      <c r="D271" t="s">
        <v>24</v>
      </c>
      <c r="E271" s="6" t="s">
        <v>97</v>
      </c>
      <c r="F271" t="s">
        <v>48</v>
      </c>
      <c r="G271" s="9">
        <v>5234.7</v>
      </c>
      <c r="H271" s="13">
        <v>77251</v>
      </c>
      <c r="I271" s="10" t="s">
        <v>27</v>
      </c>
      <c r="J271" t="s">
        <v>18</v>
      </c>
      <c r="K271" s="6">
        <v>2024</v>
      </c>
      <c r="L271" t="s">
        <v>33</v>
      </c>
      <c r="M271" s="12">
        <v>14.76</v>
      </c>
      <c r="N271" t="s">
        <v>49</v>
      </c>
    </row>
    <row r="272" spans="1:14" x14ac:dyDescent="0.25">
      <c r="A272" t="s">
        <v>443</v>
      </c>
      <c r="B272" t="s">
        <v>66</v>
      </c>
      <c r="C272" t="s">
        <v>63</v>
      </c>
      <c r="D272" t="s">
        <v>15</v>
      </c>
      <c r="E272" s="6" t="s">
        <v>97</v>
      </c>
      <c r="F272" t="s">
        <v>26</v>
      </c>
      <c r="G272" s="9">
        <v>72.44</v>
      </c>
      <c r="H272" s="13">
        <v>941</v>
      </c>
      <c r="I272" s="10" t="s">
        <v>27</v>
      </c>
      <c r="J272" t="s">
        <v>18</v>
      </c>
      <c r="K272" s="6">
        <v>2024</v>
      </c>
      <c r="L272" t="s">
        <v>20</v>
      </c>
      <c r="M272" s="12">
        <v>12.99</v>
      </c>
      <c r="N272" t="s">
        <v>28</v>
      </c>
    </row>
    <row r="273" spans="1:14" x14ac:dyDescent="0.25">
      <c r="A273" t="s">
        <v>480</v>
      </c>
      <c r="B273" t="s">
        <v>40</v>
      </c>
      <c r="C273" t="s">
        <v>53</v>
      </c>
      <c r="D273" t="s">
        <v>31</v>
      </c>
      <c r="E273" s="6" t="s">
        <v>481</v>
      </c>
      <c r="F273" t="s">
        <v>56</v>
      </c>
      <c r="G273" s="9">
        <v>1828.85</v>
      </c>
      <c r="H273" s="13">
        <v>19401</v>
      </c>
      <c r="I273" s="10" t="s">
        <v>58</v>
      </c>
      <c r="J273" t="s">
        <v>18</v>
      </c>
      <c r="K273" s="6">
        <v>2024</v>
      </c>
      <c r="L273" t="s">
        <v>20</v>
      </c>
      <c r="M273" s="12">
        <v>10.61</v>
      </c>
      <c r="N273" t="s">
        <v>59</v>
      </c>
    </row>
    <row r="274" spans="1:14" x14ac:dyDescent="0.25">
      <c r="A274" t="s">
        <v>517</v>
      </c>
      <c r="B274" t="s">
        <v>30</v>
      </c>
      <c r="C274" t="s">
        <v>36</v>
      </c>
      <c r="D274" t="s">
        <v>31</v>
      </c>
      <c r="E274" s="6" t="s">
        <v>481</v>
      </c>
      <c r="F274" t="s">
        <v>48</v>
      </c>
      <c r="G274" s="9">
        <v>1415.86</v>
      </c>
      <c r="H274" s="13">
        <v>13568</v>
      </c>
      <c r="I274" s="10" t="s">
        <v>27</v>
      </c>
      <c r="J274" t="s">
        <v>18</v>
      </c>
      <c r="K274" s="6">
        <v>2024</v>
      </c>
      <c r="L274" t="s">
        <v>20</v>
      </c>
      <c r="M274" s="12">
        <v>9.58</v>
      </c>
      <c r="N274" t="s">
        <v>49</v>
      </c>
    </row>
    <row r="275" spans="1:14" x14ac:dyDescent="0.25">
      <c r="A275" t="s">
        <v>583</v>
      </c>
      <c r="B275" t="s">
        <v>40</v>
      </c>
      <c r="C275" t="s">
        <v>36</v>
      </c>
      <c r="D275" t="s">
        <v>15</v>
      </c>
      <c r="E275" s="6" t="s">
        <v>481</v>
      </c>
      <c r="F275" t="s">
        <v>17</v>
      </c>
      <c r="G275" s="9">
        <v>123.68</v>
      </c>
      <c r="H275" s="13">
        <v>1842</v>
      </c>
      <c r="I275" s="10" t="s">
        <v>19</v>
      </c>
      <c r="J275" t="s">
        <v>18</v>
      </c>
      <c r="K275" s="6">
        <v>2024</v>
      </c>
      <c r="L275" t="s">
        <v>20</v>
      </c>
      <c r="M275" s="12">
        <v>14.89</v>
      </c>
      <c r="N275" t="s">
        <v>21</v>
      </c>
    </row>
    <row r="276" spans="1:14" x14ac:dyDescent="0.25">
      <c r="A276" t="s">
        <v>425</v>
      </c>
      <c r="B276" t="s">
        <v>40</v>
      </c>
      <c r="C276" t="s">
        <v>41</v>
      </c>
      <c r="D276" t="s">
        <v>24</v>
      </c>
      <c r="E276" s="6" t="s">
        <v>426</v>
      </c>
      <c r="F276" t="s">
        <v>17</v>
      </c>
      <c r="G276" s="9">
        <v>9763.57</v>
      </c>
      <c r="H276" s="13">
        <v>146357</v>
      </c>
      <c r="I276" s="10" t="s">
        <v>19</v>
      </c>
      <c r="J276" t="s">
        <v>18</v>
      </c>
      <c r="K276" s="6">
        <v>2025</v>
      </c>
      <c r="L276" t="s">
        <v>38</v>
      </c>
      <c r="M276" s="12">
        <v>14.99</v>
      </c>
      <c r="N276" t="s">
        <v>21</v>
      </c>
    </row>
    <row r="277" spans="1:14" x14ac:dyDescent="0.25">
      <c r="A277" t="s">
        <v>225</v>
      </c>
      <c r="B277" t="s">
        <v>46</v>
      </c>
      <c r="C277" t="s">
        <v>53</v>
      </c>
      <c r="D277" t="s">
        <v>31</v>
      </c>
      <c r="E277" s="6" t="s">
        <v>226</v>
      </c>
      <c r="F277" t="s">
        <v>48</v>
      </c>
      <c r="G277" s="9">
        <v>781.12</v>
      </c>
      <c r="H277" s="13">
        <v>11186</v>
      </c>
      <c r="I277" s="10" t="s">
        <v>27</v>
      </c>
      <c r="J277" t="s">
        <v>18</v>
      </c>
      <c r="K277" s="6">
        <v>2026</v>
      </c>
      <c r="L277" t="s">
        <v>20</v>
      </c>
      <c r="M277" s="12">
        <v>14.32</v>
      </c>
      <c r="N277" t="s">
        <v>49</v>
      </c>
    </row>
    <row r="278" spans="1:14" x14ac:dyDescent="0.25">
      <c r="A278" t="s">
        <v>580</v>
      </c>
      <c r="B278" t="s">
        <v>70</v>
      </c>
      <c r="C278" t="s">
        <v>41</v>
      </c>
      <c r="D278" t="s">
        <v>24</v>
      </c>
      <c r="E278" s="6" t="s">
        <v>581</v>
      </c>
      <c r="F278" t="s">
        <v>26</v>
      </c>
      <c r="G278" s="9">
        <v>5286</v>
      </c>
      <c r="H278" s="13">
        <v>53700</v>
      </c>
      <c r="I278" s="10" t="s">
        <v>27</v>
      </c>
      <c r="J278" t="s">
        <v>18</v>
      </c>
      <c r="K278" s="6">
        <v>2025</v>
      </c>
      <c r="L278" t="s">
        <v>33</v>
      </c>
      <c r="M278" s="12">
        <v>10.16</v>
      </c>
      <c r="N278" t="s">
        <v>28</v>
      </c>
    </row>
    <row r="279" spans="1:14" x14ac:dyDescent="0.25">
      <c r="A279" t="s">
        <v>747</v>
      </c>
      <c r="B279" t="s">
        <v>35</v>
      </c>
      <c r="C279" t="s">
        <v>53</v>
      </c>
      <c r="D279" t="s">
        <v>24</v>
      </c>
      <c r="E279" s="6" t="s">
        <v>748</v>
      </c>
      <c r="F279" t="s">
        <v>26</v>
      </c>
      <c r="G279" s="9">
        <v>5753.04</v>
      </c>
      <c r="H279" s="13">
        <v>52080</v>
      </c>
      <c r="I279" s="10" t="s">
        <v>27</v>
      </c>
      <c r="J279" t="s">
        <v>18</v>
      </c>
      <c r="K279" s="6">
        <v>2024</v>
      </c>
      <c r="L279" t="s">
        <v>33</v>
      </c>
      <c r="M279" s="12">
        <v>9.0500000000000007</v>
      </c>
      <c r="N279" t="s">
        <v>28</v>
      </c>
    </row>
    <row r="280" spans="1:14" x14ac:dyDescent="0.25">
      <c r="A280" t="s">
        <v>656</v>
      </c>
      <c r="B280" t="s">
        <v>13</v>
      </c>
      <c r="C280" t="s">
        <v>41</v>
      </c>
      <c r="D280" t="s">
        <v>24</v>
      </c>
      <c r="E280" s="6" t="s">
        <v>657</v>
      </c>
      <c r="F280" t="s">
        <v>48</v>
      </c>
      <c r="G280" s="9">
        <v>797.45</v>
      </c>
      <c r="H280" s="13">
        <v>7348</v>
      </c>
      <c r="I280" s="10" t="s">
        <v>27</v>
      </c>
      <c r="J280" t="s">
        <v>57</v>
      </c>
      <c r="K280" s="6">
        <v>2025</v>
      </c>
      <c r="L280" t="s">
        <v>20</v>
      </c>
      <c r="M280" s="12">
        <v>9.2100000000000009</v>
      </c>
      <c r="N280" t="s">
        <v>49</v>
      </c>
    </row>
    <row r="281" spans="1:14" x14ac:dyDescent="0.25">
      <c r="A281" t="s">
        <v>173</v>
      </c>
      <c r="B281" t="s">
        <v>70</v>
      </c>
      <c r="C281" t="s">
        <v>63</v>
      </c>
      <c r="D281" t="s">
        <v>24</v>
      </c>
      <c r="E281" s="6" t="s">
        <v>174</v>
      </c>
      <c r="F281" t="s">
        <v>17</v>
      </c>
      <c r="G281" s="9">
        <v>8128.96</v>
      </c>
      <c r="H281" s="13">
        <v>78244</v>
      </c>
      <c r="I281" s="10" t="s">
        <v>19</v>
      </c>
      <c r="J281" t="s">
        <v>57</v>
      </c>
      <c r="K281" s="6">
        <v>2024</v>
      </c>
      <c r="L281" t="s">
        <v>38</v>
      </c>
      <c r="M281" s="12">
        <v>9.6300000000000008</v>
      </c>
      <c r="N281" t="s">
        <v>21</v>
      </c>
    </row>
    <row r="282" spans="1:14" x14ac:dyDescent="0.25">
      <c r="A282" t="s">
        <v>564</v>
      </c>
      <c r="B282" t="s">
        <v>35</v>
      </c>
      <c r="C282" t="s">
        <v>53</v>
      </c>
      <c r="D282" t="s">
        <v>24</v>
      </c>
      <c r="E282" s="6" t="s">
        <v>565</v>
      </c>
      <c r="F282" t="s">
        <v>56</v>
      </c>
      <c r="G282" s="9">
        <v>1812</v>
      </c>
      <c r="H282" s="13">
        <v>20116</v>
      </c>
      <c r="I282" s="10" t="s">
        <v>58</v>
      </c>
      <c r="J282" t="s">
        <v>18</v>
      </c>
      <c r="K282" s="6">
        <v>2026</v>
      </c>
      <c r="L282" t="s">
        <v>20</v>
      </c>
      <c r="M282" s="12">
        <v>11.1</v>
      </c>
      <c r="N282" t="s">
        <v>59</v>
      </c>
    </row>
    <row r="283" spans="1:14" x14ac:dyDescent="0.25">
      <c r="A283" t="s">
        <v>575</v>
      </c>
      <c r="B283" t="s">
        <v>23</v>
      </c>
      <c r="C283" t="s">
        <v>41</v>
      </c>
      <c r="D283" t="s">
        <v>24</v>
      </c>
      <c r="E283" s="6" t="s">
        <v>565</v>
      </c>
      <c r="F283" t="s">
        <v>48</v>
      </c>
      <c r="G283" s="9">
        <v>11414.94</v>
      </c>
      <c r="H283" s="13">
        <v>100180</v>
      </c>
      <c r="I283" s="10" t="s">
        <v>27</v>
      </c>
      <c r="J283" t="s">
        <v>57</v>
      </c>
      <c r="K283" s="6">
        <v>2026</v>
      </c>
      <c r="L283" t="s">
        <v>38</v>
      </c>
      <c r="M283" s="12">
        <v>8.7799999999999994</v>
      </c>
      <c r="N283" t="s">
        <v>49</v>
      </c>
    </row>
    <row r="284" spans="1:14" x14ac:dyDescent="0.25">
      <c r="A284" t="s">
        <v>761</v>
      </c>
      <c r="B284" t="s">
        <v>23</v>
      </c>
      <c r="C284" t="s">
        <v>41</v>
      </c>
      <c r="D284" t="s">
        <v>24</v>
      </c>
      <c r="E284" s="6" t="s">
        <v>762</v>
      </c>
      <c r="F284" t="s">
        <v>17</v>
      </c>
      <c r="G284" s="9">
        <v>10325.74</v>
      </c>
      <c r="H284" s="13">
        <v>133841</v>
      </c>
      <c r="I284" s="10" t="s">
        <v>19</v>
      </c>
      <c r="J284" t="s">
        <v>18</v>
      </c>
      <c r="K284" s="6">
        <v>2025</v>
      </c>
      <c r="L284" t="s">
        <v>38</v>
      </c>
      <c r="M284" s="12">
        <v>12.96</v>
      </c>
      <c r="N284" t="s">
        <v>21</v>
      </c>
    </row>
    <row r="285" spans="1:14" x14ac:dyDescent="0.25">
      <c r="A285" t="s">
        <v>445</v>
      </c>
      <c r="B285" t="s">
        <v>46</v>
      </c>
      <c r="C285" t="s">
        <v>53</v>
      </c>
      <c r="D285" t="s">
        <v>24</v>
      </c>
      <c r="E285" s="6" t="s">
        <v>446</v>
      </c>
      <c r="F285" t="s">
        <v>48</v>
      </c>
      <c r="G285" s="9">
        <v>5787</v>
      </c>
      <c r="H285" s="13">
        <v>70496</v>
      </c>
      <c r="I285" s="10" t="s">
        <v>27</v>
      </c>
      <c r="J285" t="s">
        <v>18</v>
      </c>
      <c r="K285" s="6">
        <v>2024</v>
      </c>
      <c r="L285" t="s">
        <v>33</v>
      </c>
      <c r="M285" s="12">
        <v>12.18</v>
      </c>
      <c r="N285" t="s">
        <v>49</v>
      </c>
    </row>
    <row r="286" spans="1:14" x14ac:dyDescent="0.25">
      <c r="A286" t="s">
        <v>455</v>
      </c>
      <c r="B286" t="s">
        <v>40</v>
      </c>
      <c r="C286" t="s">
        <v>36</v>
      </c>
      <c r="D286" t="s">
        <v>54</v>
      </c>
      <c r="E286" s="6" t="s">
        <v>446</v>
      </c>
      <c r="F286" t="s">
        <v>26</v>
      </c>
      <c r="G286" s="9">
        <v>4167.34</v>
      </c>
      <c r="H286" s="13">
        <v>2757</v>
      </c>
      <c r="I286" s="10" t="s">
        <v>27</v>
      </c>
      <c r="J286" t="s">
        <v>57</v>
      </c>
      <c r="K286" s="6">
        <v>2024</v>
      </c>
      <c r="L286" t="s">
        <v>33</v>
      </c>
      <c r="M286" s="12">
        <v>0.66</v>
      </c>
      <c r="N286" t="s">
        <v>28</v>
      </c>
    </row>
    <row r="287" spans="1:14" x14ac:dyDescent="0.25">
      <c r="A287" t="s">
        <v>680</v>
      </c>
      <c r="B287" t="s">
        <v>23</v>
      </c>
      <c r="C287" t="s">
        <v>14</v>
      </c>
      <c r="D287" t="s">
        <v>24</v>
      </c>
      <c r="E287" s="6" t="s">
        <v>681</v>
      </c>
      <c r="F287" t="s">
        <v>17</v>
      </c>
      <c r="G287" s="9">
        <v>3263.73</v>
      </c>
      <c r="H287" s="13">
        <v>35034</v>
      </c>
      <c r="I287" s="10" t="s">
        <v>19</v>
      </c>
      <c r="J287" t="s">
        <v>18</v>
      </c>
      <c r="K287" s="6">
        <v>2025</v>
      </c>
      <c r="L287" t="s">
        <v>33</v>
      </c>
      <c r="M287" s="12">
        <v>10.73</v>
      </c>
      <c r="N287" t="s">
        <v>21</v>
      </c>
    </row>
    <row r="288" spans="1:14" x14ac:dyDescent="0.25">
      <c r="A288" t="s">
        <v>333</v>
      </c>
      <c r="B288" t="s">
        <v>46</v>
      </c>
      <c r="C288" t="s">
        <v>36</v>
      </c>
      <c r="D288" t="s">
        <v>24</v>
      </c>
      <c r="E288" s="7">
        <v>46266</v>
      </c>
      <c r="F288" t="s">
        <v>48</v>
      </c>
      <c r="G288" s="9">
        <v>8948.2900000000009</v>
      </c>
      <c r="H288" s="13">
        <v>108376</v>
      </c>
      <c r="I288" s="10" t="s">
        <v>27</v>
      </c>
      <c r="J288" t="s">
        <v>57</v>
      </c>
      <c r="K288" s="6">
        <v>2026</v>
      </c>
      <c r="L288" t="s">
        <v>38</v>
      </c>
      <c r="M288" s="12">
        <v>12.11</v>
      </c>
      <c r="N288" t="s">
        <v>49</v>
      </c>
    </row>
    <row r="289" spans="1:14" x14ac:dyDescent="0.25">
      <c r="A289" t="s">
        <v>346</v>
      </c>
      <c r="B289" t="s">
        <v>40</v>
      </c>
      <c r="C289" t="s">
        <v>41</v>
      </c>
      <c r="D289" t="s">
        <v>15</v>
      </c>
      <c r="E289" s="7">
        <v>46331</v>
      </c>
      <c r="F289" t="s">
        <v>56</v>
      </c>
      <c r="G289" s="9">
        <v>168.1</v>
      </c>
      <c r="H289" s="13">
        <v>1868</v>
      </c>
      <c r="I289" s="10" t="s">
        <v>58</v>
      </c>
      <c r="J289" t="s">
        <v>57</v>
      </c>
      <c r="K289" s="6">
        <v>2026</v>
      </c>
      <c r="L289" t="s">
        <v>20</v>
      </c>
      <c r="M289" s="12">
        <v>11.11</v>
      </c>
      <c r="N289" t="s">
        <v>59</v>
      </c>
    </row>
    <row r="290" spans="1:14" x14ac:dyDescent="0.25">
      <c r="A290" t="s">
        <v>347</v>
      </c>
      <c r="B290" t="s">
        <v>40</v>
      </c>
      <c r="C290" t="s">
        <v>63</v>
      </c>
      <c r="D290" t="s">
        <v>24</v>
      </c>
      <c r="E290" s="7">
        <v>46331</v>
      </c>
      <c r="F290" t="s">
        <v>26</v>
      </c>
      <c r="G290" s="9">
        <v>11074.73</v>
      </c>
      <c r="H290" s="13">
        <v>106902</v>
      </c>
      <c r="I290" s="10" t="s">
        <v>27</v>
      </c>
      <c r="J290" t="s">
        <v>57</v>
      </c>
      <c r="K290" s="6">
        <v>2026</v>
      </c>
      <c r="L290" t="s">
        <v>38</v>
      </c>
      <c r="M290" s="12">
        <v>9.65</v>
      </c>
      <c r="N290" t="s">
        <v>28</v>
      </c>
    </row>
    <row r="291" spans="1:14" x14ac:dyDescent="0.25">
      <c r="A291" t="s">
        <v>540</v>
      </c>
      <c r="B291" t="s">
        <v>40</v>
      </c>
      <c r="C291" t="s">
        <v>36</v>
      </c>
      <c r="D291" t="s">
        <v>54</v>
      </c>
      <c r="E291" s="7">
        <v>46178</v>
      </c>
      <c r="F291" t="s">
        <v>48</v>
      </c>
      <c r="G291" s="9">
        <v>180.44</v>
      </c>
      <c r="H291" s="13">
        <v>2274</v>
      </c>
      <c r="I291" s="10" t="s">
        <v>27</v>
      </c>
      <c r="J291" t="s">
        <v>18</v>
      </c>
      <c r="K291" s="6">
        <v>2026</v>
      </c>
      <c r="L291" t="s">
        <v>20</v>
      </c>
      <c r="M291" s="12">
        <v>12.6</v>
      </c>
      <c r="N291" t="s">
        <v>49</v>
      </c>
    </row>
    <row r="292" spans="1:14" x14ac:dyDescent="0.25">
      <c r="A292" t="s">
        <v>179</v>
      </c>
      <c r="B292" t="s">
        <v>30</v>
      </c>
      <c r="C292" t="s">
        <v>53</v>
      </c>
      <c r="D292" t="s">
        <v>24</v>
      </c>
      <c r="E292" s="7">
        <v>46146</v>
      </c>
      <c r="F292" t="s">
        <v>56</v>
      </c>
      <c r="G292" s="9">
        <v>4251.1000000000004</v>
      </c>
      <c r="H292" s="13">
        <v>47854</v>
      </c>
      <c r="I292" s="10" t="s">
        <v>58</v>
      </c>
      <c r="J292" t="s">
        <v>57</v>
      </c>
      <c r="K292" s="6">
        <v>2026</v>
      </c>
      <c r="L292" t="s">
        <v>33</v>
      </c>
      <c r="M292" s="12">
        <v>11.26</v>
      </c>
      <c r="N292" t="s">
        <v>59</v>
      </c>
    </row>
    <row r="293" spans="1:14" x14ac:dyDescent="0.25">
      <c r="A293" t="s">
        <v>686</v>
      </c>
      <c r="B293" t="s">
        <v>23</v>
      </c>
      <c r="C293" t="s">
        <v>63</v>
      </c>
      <c r="D293" t="s">
        <v>24</v>
      </c>
      <c r="E293" s="7">
        <v>46145</v>
      </c>
      <c r="F293" t="s">
        <v>56</v>
      </c>
      <c r="G293" s="9">
        <v>2349.4899999999998</v>
      </c>
      <c r="H293" s="13">
        <v>20016</v>
      </c>
      <c r="I293" s="10" t="s">
        <v>58</v>
      </c>
      <c r="J293" t="s">
        <v>18</v>
      </c>
      <c r="K293" s="6">
        <v>2026</v>
      </c>
      <c r="L293" t="s">
        <v>33</v>
      </c>
      <c r="M293" s="12">
        <v>8.52</v>
      </c>
      <c r="N293" t="s">
        <v>59</v>
      </c>
    </row>
    <row r="294" spans="1:14" x14ac:dyDescent="0.25">
      <c r="A294" t="s">
        <v>371</v>
      </c>
      <c r="B294" t="s">
        <v>30</v>
      </c>
      <c r="C294" t="s">
        <v>41</v>
      </c>
      <c r="D294" t="s">
        <v>24</v>
      </c>
      <c r="E294" s="7">
        <v>46143</v>
      </c>
      <c r="F294" t="s">
        <v>26</v>
      </c>
      <c r="G294" s="9">
        <v>10101.48</v>
      </c>
      <c r="H294" s="13">
        <v>136459</v>
      </c>
      <c r="I294" s="10" t="s">
        <v>27</v>
      </c>
      <c r="J294" t="s">
        <v>18</v>
      </c>
      <c r="K294" s="6">
        <v>2026</v>
      </c>
      <c r="L294" t="s">
        <v>38</v>
      </c>
      <c r="M294" s="12">
        <v>13.51</v>
      </c>
      <c r="N294" t="s">
        <v>28</v>
      </c>
    </row>
    <row r="295" spans="1:14" x14ac:dyDescent="0.25">
      <c r="A295" t="s">
        <v>102</v>
      </c>
      <c r="B295" t="s">
        <v>66</v>
      </c>
      <c r="C295" t="s">
        <v>14</v>
      </c>
      <c r="D295" t="s">
        <v>24</v>
      </c>
      <c r="E295" s="7">
        <v>46238</v>
      </c>
      <c r="F295" t="s">
        <v>17</v>
      </c>
      <c r="G295" s="9">
        <v>2330.7800000000002</v>
      </c>
      <c r="H295" s="13">
        <v>20273</v>
      </c>
      <c r="I295" s="10" t="s">
        <v>19</v>
      </c>
      <c r="J295" t="s">
        <v>18</v>
      </c>
      <c r="K295" s="6">
        <v>2026</v>
      </c>
      <c r="L295" t="s">
        <v>33</v>
      </c>
      <c r="M295" s="12">
        <v>8.6999999999999993</v>
      </c>
      <c r="N295" t="s">
        <v>21</v>
      </c>
    </row>
    <row r="296" spans="1:14" x14ac:dyDescent="0.25">
      <c r="A296" t="s">
        <v>531</v>
      </c>
      <c r="B296" t="s">
        <v>40</v>
      </c>
      <c r="C296" t="s">
        <v>36</v>
      </c>
      <c r="D296" t="s">
        <v>24</v>
      </c>
      <c r="E296" s="7">
        <v>46207</v>
      </c>
      <c r="F296" t="s">
        <v>26</v>
      </c>
      <c r="G296" s="9">
        <v>7280.25</v>
      </c>
      <c r="H296" s="13">
        <v>72168</v>
      </c>
      <c r="I296" s="10" t="s">
        <v>27</v>
      </c>
      <c r="J296" t="s">
        <v>18</v>
      </c>
      <c r="K296" s="6">
        <v>2026</v>
      </c>
      <c r="L296" t="s">
        <v>38</v>
      </c>
      <c r="M296" s="12">
        <v>9.91</v>
      </c>
      <c r="N296" t="s">
        <v>28</v>
      </c>
    </row>
    <row r="297" spans="1:14" x14ac:dyDescent="0.25">
      <c r="A297" t="s">
        <v>132</v>
      </c>
      <c r="B297" t="s">
        <v>70</v>
      </c>
      <c r="C297" t="s">
        <v>36</v>
      </c>
      <c r="D297" t="s">
        <v>24</v>
      </c>
      <c r="E297" s="7">
        <v>46207</v>
      </c>
      <c r="F297" t="s">
        <v>17</v>
      </c>
      <c r="G297" s="9">
        <v>10585.94</v>
      </c>
      <c r="H297" s="13">
        <v>135403</v>
      </c>
      <c r="I297" s="10" t="s">
        <v>19</v>
      </c>
      <c r="J297" t="s">
        <v>18</v>
      </c>
      <c r="K297" s="6">
        <v>2026</v>
      </c>
      <c r="L297" t="s">
        <v>38</v>
      </c>
      <c r="M297" s="12">
        <v>12.79</v>
      </c>
      <c r="N297" t="s">
        <v>21</v>
      </c>
    </row>
    <row r="298" spans="1:14" x14ac:dyDescent="0.25">
      <c r="A298" t="s">
        <v>372</v>
      </c>
      <c r="B298" t="s">
        <v>35</v>
      </c>
      <c r="C298" t="s">
        <v>41</v>
      </c>
      <c r="D298" t="s">
        <v>54</v>
      </c>
      <c r="E298" s="7">
        <v>46177</v>
      </c>
      <c r="F298" t="s">
        <v>26</v>
      </c>
      <c r="G298" s="9">
        <v>235.15</v>
      </c>
      <c r="H298" s="13">
        <v>44303</v>
      </c>
      <c r="I298" s="10" t="s">
        <v>27</v>
      </c>
      <c r="J298" t="s">
        <v>57</v>
      </c>
      <c r="K298" s="6">
        <v>2026</v>
      </c>
      <c r="L298" t="s">
        <v>20</v>
      </c>
      <c r="M298" s="12">
        <v>188.4</v>
      </c>
      <c r="N298" t="s">
        <v>28</v>
      </c>
    </row>
    <row r="299" spans="1:14" x14ac:dyDescent="0.25">
      <c r="A299" t="s">
        <v>477</v>
      </c>
      <c r="B299" t="s">
        <v>70</v>
      </c>
      <c r="C299" t="s">
        <v>14</v>
      </c>
      <c r="D299" t="s">
        <v>24</v>
      </c>
      <c r="E299" s="7">
        <v>46177</v>
      </c>
      <c r="F299" t="s">
        <v>26</v>
      </c>
      <c r="G299" s="9">
        <v>3471.05</v>
      </c>
      <c r="H299" s="13">
        <v>38262</v>
      </c>
      <c r="I299" s="10" t="s">
        <v>27</v>
      </c>
      <c r="J299" t="s">
        <v>57</v>
      </c>
      <c r="K299" s="6">
        <v>2026</v>
      </c>
      <c r="L299" t="s">
        <v>33</v>
      </c>
      <c r="M299" s="12">
        <v>11.02</v>
      </c>
      <c r="N299" t="s">
        <v>28</v>
      </c>
    </row>
    <row r="300" spans="1:14" x14ac:dyDescent="0.25">
      <c r="A300" t="s">
        <v>693</v>
      </c>
      <c r="B300" t="s">
        <v>66</v>
      </c>
      <c r="C300" t="s">
        <v>41</v>
      </c>
      <c r="D300" t="s">
        <v>24</v>
      </c>
      <c r="E300" s="7">
        <v>46177</v>
      </c>
      <c r="F300" t="s">
        <v>56</v>
      </c>
      <c r="G300" s="9">
        <v>9245.75</v>
      </c>
      <c r="H300" s="13">
        <v>115689</v>
      </c>
      <c r="I300" s="10" t="s">
        <v>58</v>
      </c>
      <c r="J300" t="s">
        <v>18</v>
      </c>
      <c r="K300" s="6">
        <v>2026</v>
      </c>
      <c r="L300" t="s">
        <v>38</v>
      </c>
      <c r="M300" s="12">
        <v>12.51</v>
      </c>
      <c r="N300" t="s">
        <v>59</v>
      </c>
    </row>
    <row r="301" spans="1:14" x14ac:dyDescent="0.25">
      <c r="A301" t="s">
        <v>106</v>
      </c>
      <c r="B301" t="s">
        <v>30</v>
      </c>
      <c r="C301" t="s">
        <v>36</v>
      </c>
      <c r="D301" t="s">
        <v>15</v>
      </c>
      <c r="E301" s="7">
        <v>46117</v>
      </c>
      <c r="F301" t="s">
        <v>56</v>
      </c>
      <c r="G301" s="9">
        <v>7.74</v>
      </c>
      <c r="H301" s="13">
        <v>70</v>
      </c>
      <c r="I301" s="10" t="s">
        <v>58</v>
      </c>
      <c r="J301" t="s">
        <v>18</v>
      </c>
      <c r="K301" s="6">
        <v>2026</v>
      </c>
      <c r="L301" t="s">
        <v>20</v>
      </c>
      <c r="M301" s="12">
        <v>9.01</v>
      </c>
      <c r="N301" t="s">
        <v>59</v>
      </c>
    </row>
    <row r="302" spans="1:14" x14ac:dyDescent="0.25">
      <c r="A302" t="s">
        <v>237</v>
      </c>
      <c r="B302" t="s">
        <v>70</v>
      </c>
      <c r="C302" t="s">
        <v>36</v>
      </c>
      <c r="D302" t="s">
        <v>24</v>
      </c>
      <c r="E302" s="7">
        <v>46116</v>
      </c>
      <c r="F302" t="s">
        <v>26</v>
      </c>
      <c r="G302" s="9">
        <v>9337.6299999999992</v>
      </c>
      <c r="H302" s="13">
        <v>124088</v>
      </c>
      <c r="I302" s="10" t="s">
        <v>27</v>
      </c>
      <c r="J302" t="s">
        <v>18</v>
      </c>
      <c r="K302" s="6">
        <v>2026</v>
      </c>
      <c r="L302" t="s">
        <v>38</v>
      </c>
      <c r="M302" s="12">
        <v>13.29</v>
      </c>
      <c r="N302" t="s">
        <v>28</v>
      </c>
    </row>
    <row r="303" spans="1:14" x14ac:dyDescent="0.25">
      <c r="A303" t="s">
        <v>358</v>
      </c>
      <c r="B303" t="s">
        <v>30</v>
      </c>
      <c r="C303" t="s">
        <v>36</v>
      </c>
      <c r="D303" t="s">
        <v>24</v>
      </c>
      <c r="E303" s="7">
        <v>46237</v>
      </c>
      <c r="F303" t="s">
        <v>17</v>
      </c>
      <c r="G303" s="9">
        <v>2589.88</v>
      </c>
      <c r="H303" s="13">
        <v>37924</v>
      </c>
      <c r="I303" s="10" t="s">
        <v>19</v>
      </c>
      <c r="J303" t="s">
        <v>18</v>
      </c>
      <c r="K303" s="6">
        <v>2026</v>
      </c>
      <c r="L303" t="s">
        <v>33</v>
      </c>
      <c r="M303" s="12">
        <v>14.64</v>
      </c>
      <c r="N303" t="s">
        <v>21</v>
      </c>
    </row>
    <row r="304" spans="1:14" x14ac:dyDescent="0.25">
      <c r="A304" t="s">
        <v>229</v>
      </c>
      <c r="B304" t="s">
        <v>70</v>
      </c>
      <c r="C304" t="s">
        <v>41</v>
      </c>
      <c r="D304" t="s">
        <v>54</v>
      </c>
      <c r="E304" s="7">
        <v>46086</v>
      </c>
      <c r="F304" t="s">
        <v>56</v>
      </c>
      <c r="G304" s="9">
        <v>403.28</v>
      </c>
      <c r="H304" s="13">
        <v>3876</v>
      </c>
      <c r="I304" s="10" t="s">
        <v>58</v>
      </c>
      <c r="J304" t="s">
        <v>18</v>
      </c>
      <c r="K304" s="6">
        <v>2026</v>
      </c>
      <c r="L304" t="s">
        <v>20</v>
      </c>
      <c r="M304" s="12">
        <v>9.61</v>
      </c>
      <c r="N304" t="s">
        <v>59</v>
      </c>
    </row>
    <row r="305" spans="1:14" x14ac:dyDescent="0.25">
      <c r="A305" t="s">
        <v>167</v>
      </c>
      <c r="B305" t="s">
        <v>70</v>
      </c>
      <c r="C305" t="s">
        <v>63</v>
      </c>
      <c r="D305" t="s">
        <v>24</v>
      </c>
      <c r="E305" s="7">
        <v>46083</v>
      </c>
      <c r="F305" t="s">
        <v>17</v>
      </c>
      <c r="G305" s="9">
        <v>5459.92</v>
      </c>
      <c r="H305" s="13">
        <v>58300</v>
      </c>
      <c r="I305" s="10" t="s">
        <v>19</v>
      </c>
      <c r="J305" t="s">
        <v>57</v>
      </c>
      <c r="K305" s="6">
        <v>2026</v>
      </c>
      <c r="L305" t="s">
        <v>33</v>
      </c>
      <c r="M305" s="12">
        <v>10.68</v>
      </c>
      <c r="N305" t="s">
        <v>21</v>
      </c>
    </row>
    <row r="306" spans="1:14" x14ac:dyDescent="0.25">
      <c r="A306" t="s">
        <v>283</v>
      </c>
      <c r="B306" t="s">
        <v>30</v>
      </c>
      <c r="C306" t="s">
        <v>53</v>
      </c>
      <c r="D306" t="s">
        <v>54</v>
      </c>
      <c r="E306" s="7">
        <v>46358</v>
      </c>
      <c r="F306" t="s">
        <v>56</v>
      </c>
      <c r="G306" s="9">
        <v>4148.93</v>
      </c>
      <c r="H306" s="13">
        <v>47370</v>
      </c>
      <c r="I306" s="10" t="s">
        <v>58</v>
      </c>
      <c r="J306" t="s">
        <v>18</v>
      </c>
      <c r="K306" s="6">
        <v>2026</v>
      </c>
      <c r="L306" t="s">
        <v>33</v>
      </c>
      <c r="M306" s="12">
        <v>11.42</v>
      </c>
      <c r="N306" t="s">
        <v>59</v>
      </c>
    </row>
    <row r="307" spans="1:14" x14ac:dyDescent="0.25">
      <c r="A307" t="s">
        <v>409</v>
      </c>
      <c r="B307" t="s">
        <v>23</v>
      </c>
      <c r="C307" t="s">
        <v>14</v>
      </c>
      <c r="D307" t="s">
        <v>54</v>
      </c>
      <c r="E307" s="7">
        <v>46358</v>
      </c>
      <c r="F307" t="s">
        <v>48</v>
      </c>
      <c r="G307" s="9">
        <v>287.89999999999998</v>
      </c>
      <c r="H307" s="13">
        <v>3033</v>
      </c>
      <c r="I307" s="10" t="s">
        <v>27</v>
      </c>
      <c r="J307" t="s">
        <v>57</v>
      </c>
      <c r="K307" s="6">
        <v>2026</v>
      </c>
      <c r="L307" t="s">
        <v>20</v>
      </c>
      <c r="M307" s="12">
        <v>10.53</v>
      </c>
      <c r="N307" t="s">
        <v>49</v>
      </c>
    </row>
    <row r="308" spans="1:14" x14ac:dyDescent="0.25">
      <c r="A308" t="s">
        <v>544</v>
      </c>
      <c r="B308" t="s">
        <v>40</v>
      </c>
      <c r="C308" t="s">
        <v>36</v>
      </c>
      <c r="D308" t="s">
        <v>15</v>
      </c>
      <c r="E308" s="7">
        <v>46297</v>
      </c>
      <c r="F308" t="s">
        <v>17</v>
      </c>
      <c r="G308" s="9">
        <v>25.32</v>
      </c>
      <c r="H308" s="13">
        <v>375</v>
      </c>
      <c r="I308" s="10" t="s">
        <v>19</v>
      </c>
      <c r="J308" t="s">
        <v>57</v>
      </c>
      <c r="K308" s="6">
        <v>2026</v>
      </c>
      <c r="L308" t="s">
        <v>20</v>
      </c>
      <c r="M308" s="12">
        <v>14.8</v>
      </c>
      <c r="N308" t="s">
        <v>21</v>
      </c>
    </row>
    <row r="309" spans="1:14" x14ac:dyDescent="0.25">
      <c r="A309" t="s">
        <v>659</v>
      </c>
      <c r="B309" t="s">
        <v>35</v>
      </c>
      <c r="C309" t="s">
        <v>36</v>
      </c>
      <c r="D309" t="s">
        <v>24</v>
      </c>
      <c r="E309" s="7">
        <v>46236</v>
      </c>
      <c r="F309" t="s">
        <v>56</v>
      </c>
      <c r="G309" s="9">
        <v>8254.43</v>
      </c>
      <c r="H309" s="13">
        <v>109900</v>
      </c>
      <c r="I309" s="10" t="s">
        <v>58</v>
      </c>
      <c r="J309" t="s">
        <v>18</v>
      </c>
      <c r="K309" s="6">
        <v>2026</v>
      </c>
      <c r="L309" t="s">
        <v>38</v>
      </c>
      <c r="M309" s="12">
        <v>13.31</v>
      </c>
      <c r="N309" t="s">
        <v>59</v>
      </c>
    </row>
    <row r="310" spans="1:14" x14ac:dyDescent="0.25">
      <c r="A310" t="s">
        <v>319</v>
      </c>
      <c r="B310" t="s">
        <v>70</v>
      </c>
      <c r="C310" t="s">
        <v>63</v>
      </c>
      <c r="D310" t="s">
        <v>24</v>
      </c>
      <c r="E310" s="7">
        <v>46205</v>
      </c>
      <c r="F310" t="s">
        <v>56</v>
      </c>
      <c r="G310" s="9">
        <v>11379.71</v>
      </c>
      <c r="H310" s="13">
        <v>94650</v>
      </c>
      <c r="I310" s="10" t="s">
        <v>58</v>
      </c>
      <c r="J310" t="s">
        <v>18</v>
      </c>
      <c r="K310" s="6">
        <v>2026</v>
      </c>
      <c r="L310" t="s">
        <v>38</v>
      </c>
      <c r="M310" s="12">
        <v>8.32</v>
      </c>
      <c r="N310" t="s">
        <v>59</v>
      </c>
    </row>
    <row r="311" spans="1:14" x14ac:dyDescent="0.25">
      <c r="A311" t="s">
        <v>594</v>
      </c>
      <c r="B311" t="s">
        <v>66</v>
      </c>
      <c r="C311" t="s">
        <v>36</v>
      </c>
      <c r="D311" t="s">
        <v>24</v>
      </c>
      <c r="E311" s="7">
        <v>46057</v>
      </c>
      <c r="F311" t="s">
        <v>56</v>
      </c>
      <c r="G311" s="9">
        <v>1192.6500000000001</v>
      </c>
      <c r="H311" s="13">
        <v>13694</v>
      </c>
      <c r="I311" s="10" t="s">
        <v>58</v>
      </c>
      <c r="J311" t="s">
        <v>18</v>
      </c>
      <c r="K311" s="6">
        <v>2026</v>
      </c>
      <c r="L311" t="s">
        <v>20</v>
      </c>
      <c r="M311" s="12">
        <v>11.48</v>
      </c>
      <c r="N311" t="s">
        <v>59</v>
      </c>
    </row>
    <row r="312" spans="1:14" x14ac:dyDescent="0.25">
      <c r="A312" t="s">
        <v>268</v>
      </c>
      <c r="B312" t="s">
        <v>40</v>
      </c>
      <c r="C312" t="s">
        <v>14</v>
      </c>
      <c r="D312" t="s">
        <v>24</v>
      </c>
      <c r="E312" s="7">
        <v>46056</v>
      </c>
      <c r="F312" t="s">
        <v>26</v>
      </c>
      <c r="G312" s="9">
        <v>6927.64</v>
      </c>
      <c r="H312" s="13">
        <v>102333</v>
      </c>
      <c r="I312" s="10" t="s">
        <v>27</v>
      </c>
      <c r="J312" t="s">
        <v>57</v>
      </c>
      <c r="K312" s="6">
        <v>2026</v>
      </c>
      <c r="L312" t="s">
        <v>33</v>
      </c>
      <c r="M312" s="12">
        <v>14.77</v>
      </c>
      <c r="N312" t="s">
        <v>28</v>
      </c>
    </row>
    <row r="313" spans="1:14" x14ac:dyDescent="0.25">
      <c r="A313" t="s">
        <v>263</v>
      </c>
      <c r="B313" t="s">
        <v>70</v>
      </c>
      <c r="C313" t="s">
        <v>14</v>
      </c>
      <c r="D313" t="s">
        <v>24</v>
      </c>
      <c r="E313" s="7">
        <v>46054</v>
      </c>
      <c r="F313" t="s">
        <v>26</v>
      </c>
      <c r="G313" s="9">
        <v>1895.62</v>
      </c>
      <c r="H313" s="13">
        <v>18781</v>
      </c>
      <c r="I313" s="10" t="s">
        <v>27</v>
      </c>
      <c r="J313" t="s">
        <v>57</v>
      </c>
      <c r="K313" s="6">
        <v>2026</v>
      </c>
      <c r="L313" t="s">
        <v>20</v>
      </c>
      <c r="M313" s="12">
        <v>9.91</v>
      </c>
      <c r="N313" t="s">
        <v>28</v>
      </c>
    </row>
    <row r="314" spans="1:14" x14ac:dyDescent="0.25">
      <c r="A314" t="s">
        <v>467</v>
      </c>
      <c r="B314" t="s">
        <v>40</v>
      </c>
      <c r="C314" t="s">
        <v>53</v>
      </c>
      <c r="D314" t="s">
        <v>15</v>
      </c>
      <c r="E314" s="7">
        <v>46296</v>
      </c>
      <c r="F314" t="s">
        <v>48</v>
      </c>
      <c r="G314" s="9">
        <v>113.97</v>
      </c>
      <c r="H314" s="13">
        <v>1161</v>
      </c>
      <c r="I314" s="10" t="s">
        <v>27</v>
      </c>
      <c r="J314" t="s">
        <v>18</v>
      </c>
      <c r="K314" s="6">
        <v>2026</v>
      </c>
      <c r="L314" t="s">
        <v>20</v>
      </c>
      <c r="M314" s="12">
        <v>10.19</v>
      </c>
      <c r="N314" t="s">
        <v>49</v>
      </c>
    </row>
    <row r="315" spans="1:14" x14ac:dyDescent="0.25">
      <c r="A315" t="s">
        <v>468</v>
      </c>
      <c r="B315" t="s">
        <v>40</v>
      </c>
      <c r="C315" t="s">
        <v>95</v>
      </c>
      <c r="D315" t="s">
        <v>24</v>
      </c>
      <c r="E315" s="7">
        <v>46296</v>
      </c>
      <c r="F315" t="s">
        <v>17</v>
      </c>
      <c r="G315" s="9">
        <v>8184.17</v>
      </c>
      <c r="H315" s="13">
        <v>80076</v>
      </c>
      <c r="I315" s="10" t="s">
        <v>19</v>
      </c>
      <c r="J315" t="s">
        <v>57</v>
      </c>
      <c r="K315" s="6">
        <v>2026</v>
      </c>
      <c r="L315" t="s">
        <v>38</v>
      </c>
      <c r="M315" s="12">
        <v>9.7799999999999994</v>
      </c>
      <c r="N315" t="s">
        <v>21</v>
      </c>
    </row>
    <row r="316" spans="1:14" x14ac:dyDescent="0.25">
      <c r="A316" t="s">
        <v>313</v>
      </c>
      <c r="B316" t="s">
        <v>30</v>
      </c>
      <c r="C316" t="s">
        <v>41</v>
      </c>
      <c r="D316" t="s">
        <v>24</v>
      </c>
      <c r="E316" s="7">
        <v>46235</v>
      </c>
      <c r="F316" t="s">
        <v>17</v>
      </c>
      <c r="G316" s="9">
        <v>1216.06</v>
      </c>
      <c r="H316" s="13">
        <v>13681</v>
      </c>
      <c r="I316" s="10" t="s">
        <v>19</v>
      </c>
      <c r="J316" t="s">
        <v>18</v>
      </c>
      <c r="K316" s="6">
        <v>2026</v>
      </c>
      <c r="L316" t="s">
        <v>20</v>
      </c>
      <c r="M316" s="12">
        <v>11.25</v>
      </c>
      <c r="N316" t="s">
        <v>21</v>
      </c>
    </row>
    <row r="317" spans="1:14" x14ac:dyDescent="0.25">
      <c r="A317" t="s">
        <v>334</v>
      </c>
      <c r="B317" t="s">
        <v>46</v>
      </c>
      <c r="C317" t="s">
        <v>63</v>
      </c>
      <c r="D317" t="s">
        <v>24</v>
      </c>
      <c r="E317" s="7">
        <v>46174</v>
      </c>
      <c r="F317" t="s">
        <v>17</v>
      </c>
      <c r="G317" s="9">
        <v>9698.48</v>
      </c>
      <c r="H317" s="13">
        <v>126916</v>
      </c>
      <c r="I317" s="10" t="s">
        <v>19</v>
      </c>
      <c r="J317" t="s">
        <v>18</v>
      </c>
      <c r="K317" s="6">
        <v>2026</v>
      </c>
      <c r="L317" t="s">
        <v>38</v>
      </c>
      <c r="M317" s="12">
        <v>13.09</v>
      </c>
      <c r="N317" t="s">
        <v>21</v>
      </c>
    </row>
    <row r="318" spans="1:14" x14ac:dyDescent="0.25">
      <c r="A318" t="s">
        <v>245</v>
      </c>
      <c r="B318" t="s">
        <v>35</v>
      </c>
      <c r="C318" t="s">
        <v>36</v>
      </c>
      <c r="D318" t="s">
        <v>31</v>
      </c>
      <c r="E318" s="7">
        <v>46027</v>
      </c>
      <c r="F318" t="s">
        <v>56</v>
      </c>
      <c r="G318" s="9">
        <v>527.96</v>
      </c>
      <c r="H318" s="13">
        <v>7138</v>
      </c>
      <c r="I318" s="10" t="s">
        <v>58</v>
      </c>
      <c r="J318" t="s">
        <v>57</v>
      </c>
      <c r="K318" s="6">
        <v>2026</v>
      </c>
      <c r="L318" t="s">
        <v>20</v>
      </c>
      <c r="M318" s="12">
        <v>13.52</v>
      </c>
      <c r="N318" t="s">
        <v>59</v>
      </c>
    </row>
    <row r="319" spans="1:14" x14ac:dyDescent="0.25">
      <c r="A319" t="s">
        <v>579</v>
      </c>
      <c r="B319" t="s">
        <v>46</v>
      </c>
      <c r="C319" t="s">
        <v>41</v>
      </c>
      <c r="D319" t="s">
        <v>24</v>
      </c>
      <c r="E319" s="7">
        <v>46027</v>
      </c>
      <c r="F319" t="s">
        <v>17</v>
      </c>
      <c r="G319" s="9">
        <v>6917.84</v>
      </c>
      <c r="H319" s="13">
        <v>80859</v>
      </c>
      <c r="I319" s="10" t="s">
        <v>19</v>
      </c>
      <c r="J319" t="s">
        <v>18</v>
      </c>
      <c r="K319" s="6">
        <v>2026</v>
      </c>
      <c r="L319" t="s">
        <v>33</v>
      </c>
      <c r="M319" s="12">
        <v>11.69</v>
      </c>
      <c r="N319" t="s">
        <v>21</v>
      </c>
    </row>
    <row r="320" spans="1:14" x14ac:dyDescent="0.25">
      <c r="A320" t="s">
        <v>721</v>
      </c>
      <c r="B320" t="s">
        <v>23</v>
      </c>
      <c r="C320" t="s">
        <v>36</v>
      </c>
      <c r="D320" t="s">
        <v>24</v>
      </c>
      <c r="E320" s="7">
        <v>46026</v>
      </c>
      <c r="F320" t="s">
        <v>17</v>
      </c>
      <c r="G320" s="9">
        <v>6074.19</v>
      </c>
      <c r="H320" s="13">
        <v>50258</v>
      </c>
      <c r="I320" s="10" t="s">
        <v>19</v>
      </c>
      <c r="J320" t="s">
        <v>18</v>
      </c>
      <c r="K320" s="6">
        <v>2026</v>
      </c>
      <c r="L320" t="s">
        <v>33</v>
      </c>
      <c r="M320" s="12">
        <v>8.27</v>
      </c>
      <c r="N320" t="s">
        <v>21</v>
      </c>
    </row>
    <row r="321" spans="1:14" x14ac:dyDescent="0.25">
      <c r="A321" t="s">
        <v>88</v>
      </c>
      <c r="B321" t="s">
        <v>70</v>
      </c>
      <c r="C321" t="s">
        <v>36</v>
      </c>
      <c r="D321" t="s">
        <v>54</v>
      </c>
      <c r="E321" s="7">
        <v>46025</v>
      </c>
      <c r="F321" t="s">
        <v>26</v>
      </c>
      <c r="G321" s="9">
        <v>88.53</v>
      </c>
      <c r="H321" s="13">
        <v>1199</v>
      </c>
      <c r="I321" s="10" t="s">
        <v>27</v>
      </c>
      <c r="J321" t="s">
        <v>18</v>
      </c>
      <c r="K321" s="6">
        <v>2026</v>
      </c>
      <c r="L321" t="s">
        <v>20</v>
      </c>
      <c r="M321" s="12">
        <v>13.55</v>
      </c>
      <c r="N321" t="s">
        <v>28</v>
      </c>
    </row>
    <row r="322" spans="1:14" x14ac:dyDescent="0.25">
      <c r="A322" t="s">
        <v>645</v>
      </c>
      <c r="B322" t="s">
        <v>30</v>
      </c>
      <c r="C322" t="s">
        <v>53</v>
      </c>
      <c r="D322" t="s">
        <v>24</v>
      </c>
      <c r="E322" s="7">
        <v>46025</v>
      </c>
      <c r="F322" t="s">
        <v>48</v>
      </c>
      <c r="G322" s="9">
        <v>3997.05</v>
      </c>
      <c r="H322" s="13">
        <v>46822</v>
      </c>
      <c r="I322" s="10" t="s">
        <v>27</v>
      </c>
      <c r="J322" t="s">
        <v>18</v>
      </c>
      <c r="K322" s="6">
        <v>2026</v>
      </c>
      <c r="L322" t="s">
        <v>33</v>
      </c>
      <c r="M322" s="12">
        <v>11.71</v>
      </c>
      <c r="N322" t="s">
        <v>49</v>
      </c>
    </row>
    <row r="323" spans="1:14" x14ac:dyDescent="0.25">
      <c r="A323" t="s">
        <v>411</v>
      </c>
      <c r="B323" t="s">
        <v>70</v>
      </c>
      <c r="C323" t="s">
        <v>14</v>
      </c>
      <c r="D323" t="s">
        <v>24</v>
      </c>
      <c r="E323" s="7">
        <v>45998</v>
      </c>
      <c r="F323" t="s">
        <v>48</v>
      </c>
      <c r="G323" s="9">
        <v>4816.03</v>
      </c>
      <c r="H323" s="13">
        <v>53766</v>
      </c>
      <c r="I323" s="10" t="s">
        <v>27</v>
      </c>
      <c r="J323" t="s">
        <v>57</v>
      </c>
      <c r="K323" s="6">
        <v>2025</v>
      </c>
      <c r="L323" t="s">
        <v>33</v>
      </c>
      <c r="M323" s="12">
        <v>11.16</v>
      </c>
      <c r="N323" t="s">
        <v>49</v>
      </c>
    </row>
    <row r="324" spans="1:14" x14ac:dyDescent="0.25">
      <c r="A324" t="s">
        <v>218</v>
      </c>
      <c r="B324" t="s">
        <v>70</v>
      </c>
      <c r="C324" t="s">
        <v>53</v>
      </c>
      <c r="D324" t="s">
        <v>15</v>
      </c>
      <c r="E324" s="7">
        <v>45996</v>
      </c>
      <c r="F324" t="s">
        <v>56</v>
      </c>
      <c r="G324" s="9">
        <v>56.76</v>
      </c>
      <c r="H324" s="13">
        <v>763</v>
      </c>
      <c r="I324" s="10" t="s">
        <v>58</v>
      </c>
      <c r="J324" t="s">
        <v>57</v>
      </c>
      <c r="K324" s="6">
        <v>2025</v>
      </c>
      <c r="L324" t="s">
        <v>20</v>
      </c>
      <c r="M324" s="12">
        <v>13.45</v>
      </c>
      <c r="N324" t="s">
        <v>59</v>
      </c>
    </row>
    <row r="325" spans="1:14" x14ac:dyDescent="0.25">
      <c r="A325" t="s">
        <v>726</v>
      </c>
      <c r="B325" t="s">
        <v>35</v>
      </c>
      <c r="C325" t="s">
        <v>53</v>
      </c>
      <c r="D325" t="s">
        <v>24</v>
      </c>
      <c r="E325" s="7">
        <v>45995</v>
      </c>
      <c r="F325" t="s">
        <v>56</v>
      </c>
      <c r="G325" s="9">
        <v>9692.11</v>
      </c>
      <c r="H325" s="13">
        <v>113092</v>
      </c>
      <c r="I325" s="10" t="s">
        <v>58</v>
      </c>
      <c r="J325" t="s">
        <v>57</v>
      </c>
      <c r="K325" s="6">
        <v>2025</v>
      </c>
      <c r="L325" t="s">
        <v>38</v>
      </c>
      <c r="M325" s="12">
        <v>11.67</v>
      </c>
      <c r="N325" t="s">
        <v>59</v>
      </c>
    </row>
    <row r="326" spans="1:14" x14ac:dyDescent="0.25">
      <c r="A326" t="s">
        <v>222</v>
      </c>
      <c r="B326" t="s">
        <v>66</v>
      </c>
      <c r="C326" t="s">
        <v>53</v>
      </c>
      <c r="D326" t="s">
        <v>54</v>
      </c>
      <c r="E326" s="7">
        <v>45993</v>
      </c>
      <c r="F326" t="s">
        <v>48</v>
      </c>
      <c r="G326" s="9">
        <v>46.69</v>
      </c>
      <c r="H326" s="13">
        <v>617</v>
      </c>
      <c r="I326" s="10" t="s">
        <v>27</v>
      </c>
      <c r="J326" t="s">
        <v>18</v>
      </c>
      <c r="K326" s="6">
        <v>2025</v>
      </c>
      <c r="L326" t="s">
        <v>20</v>
      </c>
      <c r="M326" s="12">
        <v>13.22</v>
      </c>
      <c r="N326" t="s">
        <v>49</v>
      </c>
    </row>
    <row r="327" spans="1:14" x14ac:dyDescent="0.25">
      <c r="A327" t="s">
        <v>703</v>
      </c>
      <c r="B327" t="s">
        <v>40</v>
      </c>
      <c r="C327" t="s">
        <v>63</v>
      </c>
      <c r="D327" t="s">
        <v>24</v>
      </c>
      <c r="E327" s="7">
        <v>45971</v>
      </c>
      <c r="F327" t="s">
        <v>26</v>
      </c>
      <c r="G327" s="9">
        <v>513.24</v>
      </c>
      <c r="H327" s="13">
        <v>4253</v>
      </c>
      <c r="I327" s="10" t="s">
        <v>27</v>
      </c>
      <c r="J327" t="s">
        <v>57</v>
      </c>
      <c r="K327" s="6">
        <v>2025</v>
      </c>
      <c r="L327" t="s">
        <v>20</v>
      </c>
      <c r="M327" s="12">
        <v>8.2899999999999991</v>
      </c>
      <c r="N327" t="s">
        <v>28</v>
      </c>
    </row>
    <row r="328" spans="1:14" x14ac:dyDescent="0.25">
      <c r="A328" t="s">
        <v>164</v>
      </c>
      <c r="B328" t="s">
        <v>66</v>
      </c>
      <c r="C328" t="s">
        <v>36</v>
      </c>
      <c r="D328" t="s">
        <v>31</v>
      </c>
      <c r="E328" s="7">
        <v>45969</v>
      </c>
      <c r="F328" t="s">
        <v>26</v>
      </c>
      <c r="G328" s="9">
        <v>2237.41</v>
      </c>
      <c r="H328" s="13">
        <v>20641</v>
      </c>
      <c r="I328" s="10" t="s">
        <v>27</v>
      </c>
      <c r="J328" t="s">
        <v>18</v>
      </c>
      <c r="K328" s="6">
        <v>2025</v>
      </c>
      <c r="L328" t="s">
        <v>33</v>
      </c>
      <c r="M328" s="12">
        <v>9.23</v>
      </c>
      <c r="N328" t="s">
        <v>28</v>
      </c>
    </row>
    <row r="329" spans="1:14" x14ac:dyDescent="0.25">
      <c r="A329" t="s">
        <v>578</v>
      </c>
      <c r="B329" t="s">
        <v>23</v>
      </c>
      <c r="C329" t="s">
        <v>41</v>
      </c>
      <c r="D329" t="s">
        <v>24</v>
      </c>
      <c r="E329" s="7">
        <v>45969</v>
      </c>
      <c r="F329" t="s">
        <v>56</v>
      </c>
      <c r="G329" s="9">
        <v>3354.2</v>
      </c>
      <c r="H329" s="13">
        <v>40760</v>
      </c>
      <c r="I329" s="10" t="s">
        <v>58</v>
      </c>
      <c r="J329" t="s">
        <v>18</v>
      </c>
      <c r="K329" s="6">
        <v>2025</v>
      </c>
      <c r="L329" t="s">
        <v>33</v>
      </c>
      <c r="M329" s="12">
        <v>12.15</v>
      </c>
      <c r="N329" t="s">
        <v>59</v>
      </c>
    </row>
    <row r="330" spans="1:14" x14ac:dyDescent="0.25">
      <c r="A330" t="s">
        <v>395</v>
      </c>
      <c r="B330" t="s">
        <v>30</v>
      </c>
      <c r="C330" t="s">
        <v>14</v>
      </c>
      <c r="D330" t="s">
        <v>24</v>
      </c>
      <c r="E330" s="7">
        <v>45967</v>
      </c>
      <c r="F330" t="s">
        <v>48</v>
      </c>
      <c r="G330" s="9">
        <v>3446.8</v>
      </c>
      <c r="H330" s="13">
        <v>36218</v>
      </c>
      <c r="I330" s="10" t="s">
        <v>27</v>
      </c>
      <c r="J330" t="s">
        <v>18</v>
      </c>
      <c r="K330" s="6">
        <v>2025</v>
      </c>
      <c r="L330" t="s">
        <v>33</v>
      </c>
      <c r="M330" s="12">
        <v>10.51</v>
      </c>
      <c r="N330" t="s">
        <v>49</v>
      </c>
    </row>
    <row r="331" spans="1:14" x14ac:dyDescent="0.25">
      <c r="A331" t="s">
        <v>484</v>
      </c>
      <c r="B331" t="s">
        <v>35</v>
      </c>
      <c r="C331" t="s">
        <v>14</v>
      </c>
      <c r="D331" t="s">
        <v>31</v>
      </c>
      <c r="E331" s="7">
        <v>45966</v>
      </c>
      <c r="F331" t="s">
        <v>48</v>
      </c>
      <c r="G331" s="9">
        <v>1598.22</v>
      </c>
      <c r="H331" s="13">
        <v>23488</v>
      </c>
      <c r="I331" s="10" t="s">
        <v>27</v>
      </c>
      <c r="J331" t="s">
        <v>18</v>
      </c>
      <c r="K331" s="6">
        <v>2025</v>
      </c>
      <c r="L331" t="s">
        <v>20</v>
      </c>
      <c r="M331" s="12">
        <v>14.7</v>
      </c>
      <c r="N331" t="s">
        <v>49</v>
      </c>
    </row>
    <row r="332" spans="1:14" x14ac:dyDescent="0.25">
      <c r="A332" t="s">
        <v>634</v>
      </c>
      <c r="B332" t="s">
        <v>13</v>
      </c>
      <c r="C332" t="s">
        <v>53</v>
      </c>
      <c r="D332" t="s">
        <v>54</v>
      </c>
      <c r="E332" s="7">
        <v>45965</v>
      </c>
      <c r="F332" t="s">
        <v>17</v>
      </c>
      <c r="G332" s="9">
        <v>71.12</v>
      </c>
      <c r="H332" s="13">
        <v>768</v>
      </c>
      <c r="I332" s="10" t="s">
        <v>19</v>
      </c>
      <c r="J332" t="s">
        <v>57</v>
      </c>
      <c r="K332" s="6">
        <v>2025</v>
      </c>
      <c r="L332" t="s">
        <v>20</v>
      </c>
      <c r="M332" s="12">
        <v>10.8</v>
      </c>
      <c r="N332" t="s">
        <v>21</v>
      </c>
    </row>
    <row r="333" spans="1:14" x14ac:dyDescent="0.25">
      <c r="A333" t="s">
        <v>249</v>
      </c>
      <c r="B333" t="s">
        <v>40</v>
      </c>
      <c r="C333" t="s">
        <v>63</v>
      </c>
      <c r="D333" t="s">
        <v>24</v>
      </c>
      <c r="E333" s="7">
        <v>45963</v>
      </c>
      <c r="F333" t="s">
        <v>26</v>
      </c>
      <c r="G333" s="9">
        <v>10395.07</v>
      </c>
      <c r="H333" s="13">
        <v>92723</v>
      </c>
      <c r="I333" s="10" t="s">
        <v>27</v>
      </c>
      <c r="J333" t="s">
        <v>18</v>
      </c>
      <c r="K333" s="6">
        <v>2025</v>
      </c>
      <c r="L333" t="s">
        <v>38</v>
      </c>
      <c r="M333" s="12">
        <v>8.92</v>
      </c>
      <c r="N333" t="s">
        <v>28</v>
      </c>
    </row>
    <row r="334" spans="1:14" x14ac:dyDescent="0.25">
      <c r="A334" t="s">
        <v>178</v>
      </c>
      <c r="B334" t="s">
        <v>30</v>
      </c>
      <c r="C334" t="s">
        <v>53</v>
      </c>
      <c r="D334" t="s">
        <v>24</v>
      </c>
      <c r="E334" s="7">
        <v>45942</v>
      </c>
      <c r="F334" t="s">
        <v>56</v>
      </c>
      <c r="G334" s="9">
        <v>8169.27</v>
      </c>
      <c r="H334" s="13">
        <v>116758</v>
      </c>
      <c r="I334" s="10" t="s">
        <v>58</v>
      </c>
      <c r="J334" t="s">
        <v>57</v>
      </c>
      <c r="K334" s="6">
        <v>2025</v>
      </c>
      <c r="L334" t="s">
        <v>38</v>
      </c>
      <c r="M334" s="12">
        <v>14.29</v>
      </c>
      <c r="N334" t="s">
        <v>59</v>
      </c>
    </row>
    <row r="335" spans="1:14" x14ac:dyDescent="0.25">
      <c r="A335" t="s">
        <v>201</v>
      </c>
      <c r="B335" t="s">
        <v>40</v>
      </c>
      <c r="C335" t="s">
        <v>14</v>
      </c>
      <c r="D335" t="s">
        <v>24</v>
      </c>
      <c r="E335" s="7">
        <v>45942</v>
      </c>
      <c r="F335" t="s">
        <v>26</v>
      </c>
      <c r="G335" s="9">
        <v>9536.23</v>
      </c>
      <c r="H335" s="13">
        <v>83409</v>
      </c>
      <c r="I335" s="10" t="s">
        <v>27</v>
      </c>
      <c r="J335" t="s">
        <v>57</v>
      </c>
      <c r="K335" s="6">
        <v>2025</v>
      </c>
      <c r="L335" t="s">
        <v>38</v>
      </c>
      <c r="M335" s="12">
        <v>8.75</v>
      </c>
      <c r="N335" t="s">
        <v>28</v>
      </c>
    </row>
    <row r="336" spans="1:14" x14ac:dyDescent="0.25">
      <c r="A336" t="s">
        <v>727</v>
      </c>
      <c r="B336" t="s">
        <v>23</v>
      </c>
      <c r="C336" t="s">
        <v>53</v>
      </c>
      <c r="D336" t="s">
        <v>15</v>
      </c>
      <c r="E336" s="7">
        <v>45941</v>
      </c>
      <c r="F336" t="s">
        <v>26</v>
      </c>
      <c r="G336" s="9">
        <v>141.96</v>
      </c>
      <c r="H336" s="13">
        <v>1742</v>
      </c>
      <c r="I336" s="10" t="s">
        <v>27</v>
      </c>
      <c r="J336" t="s">
        <v>18</v>
      </c>
      <c r="K336" s="6">
        <v>2025</v>
      </c>
      <c r="L336" t="s">
        <v>20</v>
      </c>
      <c r="M336" s="12">
        <v>12.27</v>
      </c>
      <c r="N336" t="s">
        <v>28</v>
      </c>
    </row>
    <row r="337" spans="1:14" x14ac:dyDescent="0.25">
      <c r="A337" t="s">
        <v>737</v>
      </c>
      <c r="B337" t="s">
        <v>35</v>
      </c>
      <c r="C337" t="s">
        <v>36</v>
      </c>
      <c r="D337" t="s">
        <v>24</v>
      </c>
      <c r="E337" s="7">
        <v>45941</v>
      </c>
      <c r="F337" t="s">
        <v>17</v>
      </c>
      <c r="G337" s="9">
        <v>7948.66</v>
      </c>
      <c r="H337" s="13">
        <v>82209</v>
      </c>
      <c r="I337" s="10" t="s">
        <v>19</v>
      </c>
      <c r="J337" t="s">
        <v>18</v>
      </c>
      <c r="K337" s="6">
        <v>2025</v>
      </c>
      <c r="L337" t="s">
        <v>38</v>
      </c>
      <c r="M337" s="12">
        <v>10.34</v>
      </c>
      <c r="N337" t="s">
        <v>21</v>
      </c>
    </row>
    <row r="338" spans="1:14" x14ac:dyDescent="0.25">
      <c r="A338" t="s">
        <v>449</v>
      </c>
      <c r="B338" t="s">
        <v>13</v>
      </c>
      <c r="C338" t="s">
        <v>63</v>
      </c>
      <c r="D338" t="s">
        <v>24</v>
      </c>
      <c r="E338" s="7">
        <v>45938</v>
      </c>
      <c r="F338" t="s">
        <v>26</v>
      </c>
      <c r="G338" s="9">
        <v>2525.58</v>
      </c>
      <c r="H338" s="13">
        <v>29142</v>
      </c>
      <c r="I338" s="10" t="s">
        <v>27</v>
      </c>
      <c r="J338" t="s">
        <v>18</v>
      </c>
      <c r="K338" s="6">
        <v>2025</v>
      </c>
      <c r="L338" t="s">
        <v>33</v>
      </c>
      <c r="M338" s="12">
        <v>11.54</v>
      </c>
      <c r="N338" t="s">
        <v>28</v>
      </c>
    </row>
    <row r="339" spans="1:14" x14ac:dyDescent="0.25">
      <c r="A339" t="s">
        <v>151</v>
      </c>
      <c r="B339" t="s">
        <v>40</v>
      </c>
      <c r="C339" t="s">
        <v>63</v>
      </c>
      <c r="D339" t="s">
        <v>15</v>
      </c>
      <c r="E339" s="7">
        <v>45935</v>
      </c>
      <c r="F339" t="s">
        <v>56</v>
      </c>
      <c r="G339" s="9">
        <v>179.9</v>
      </c>
      <c r="H339" s="13">
        <v>1848</v>
      </c>
      <c r="I339" s="10" t="s">
        <v>58</v>
      </c>
      <c r="J339" t="s">
        <v>57</v>
      </c>
      <c r="K339" s="6">
        <v>2025</v>
      </c>
      <c r="L339" t="s">
        <v>20</v>
      </c>
      <c r="M339" s="12">
        <v>10.27</v>
      </c>
      <c r="N339" t="s">
        <v>59</v>
      </c>
    </row>
    <row r="340" spans="1:14" x14ac:dyDescent="0.25">
      <c r="A340" t="s">
        <v>289</v>
      </c>
      <c r="B340" t="s">
        <v>13</v>
      </c>
      <c r="C340" t="s">
        <v>41</v>
      </c>
      <c r="D340" t="s">
        <v>24</v>
      </c>
      <c r="E340" s="7">
        <v>45934</v>
      </c>
      <c r="F340" t="s">
        <v>56</v>
      </c>
      <c r="G340" s="9">
        <v>9443.26</v>
      </c>
      <c r="H340" s="13">
        <v>93028</v>
      </c>
      <c r="I340" s="10" t="s">
        <v>58</v>
      </c>
      <c r="J340" t="s">
        <v>57</v>
      </c>
      <c r="K340" s="6">
        <v>2025</v>
      </c>
      <c r="L340" t="s">
        <v>38</v>
      </c>
      <c r="M340" s="12">
        <v>9.85</v>
      </c>
      <c r="N340" t="s">
        <v>59</v>
      </c>
    </row>
    <row r="341" spans="1:14" x14ac:dyDescent="0.25">
      <c r="A341" t="s">
        <v>344</v>
      </c>
      <c r="B341" t="s">
        <v>66</v>
      </c>
      <c r="C341" t="s">
        <v>14</v>
      </c>
      <c r="D341" t="s">
        <v>54</v>
      </c>
      <c r="E341" s="7">
        <v>45932</v>
      </c>
      <c r="F341" t="s">
        <v>26</v>
      </c>
      <c r="G341" s="9">
        <v>399.07</v>
      </c>
      <c r="H341" s="13">
        <v>5121</v>
      </c>
      <c r="I341" s="10" t="s">
        <v>27</v>
      </c>
      <c r="J341" t="s">
        <v>18</v>
      </c>
      <c r="K341" s="6">
        <v>2025</v>
      </c>
      <c r="L341" t="s">
        <v>20</v>
      </c>
      <c r="M341" s="12">
        <v>12.83</v>
      </c>
      <c r="N341" t="s">
        <v>28</v>
      </c>
    </row>
    <row r="342" spans="1:14" x14ac:dyDescent="0.25">
      <c r="A342" t="s">
        <v>719</v>
      </c>
      <c r="B342" t="s">
        <v>23</v>
      </c>
      <c r="C342" t="s">
        <v>53</v>
      </c>
      <c r="D342" t="s">
        <v>24</v>
      </c>
      <c r="E342" s="7">
        <v>45911</v>
      </c>
      <c r="F342" t="s">
        <v>26</v>
      </c>
      <c r="G342" s="9">
        <v>3812.34</v>
      </c>
      <c r="H342" s="13">
        <v>32749</v>
      </c>
      <c r="I342" s="10" t="s">
        <v>27</v>
      </c>
      <c r="J342" t="s">
        <v>57</v>
      </c>
      <c r="K342" s="6">
        <v>2025</v>
      </c>
      <c r="L342" t="s">
        <v>33</v>
      </c>
      <c r="M342" s="12">
        <v>8.59</v>
      </c>
      <c r="N342" t="s">
        <v>28</v>
      </c>
    </row>
    <row r="343" spans="1:14" x14ac:dyDescent="0.25">
      <c r="A343" t="s">
        <v>129</v>
      </c>
      <c r="B343" t="s">
        <v>46</v>
      </c>
      <c r="C343" t="s">
        <v>53</v>
      </c>
      <c r="D343" t="s">
        <v>24</v>
      </c>
      <c r="E343" s="7">
        <v>45910</v>
      </c>
      <c r="F343" t="s">
        <v>17</v>
      </c>
      <c r="G343" s="9">
        <v>4308.22</v>
      </c>
      <c r="H343" s="13">
        <v>53087</v>
      </c>
      <c r="I343" s="10" t="s">
        <v>19</v>
      </c>
      <c r="J343" t="s">
        <v>57</v>
      </c>
      <c r="K343" s="6">
        <v>2025</v>
      </c>
      <c r="L343" t="s">
        <v>33</v>
      </c>
      <c r="M343" s="12">
        <v>12.32</v>
      </c>
      <c r="N343" t="s">
        <v>21</v>
      </c>
    </row>
    <row r="344" spans="1:14" x14ac:dyDescent="0.25">
      <c r="A344" t="s">
        <v>81</v>
      </c>
      <c r="B344" t="s">
        <v>70</v>
      </c>
      <c r="C344" t="s">
        <v>14</v>
      </c>
      <c r="D344" t="s">
        <v>24</v>
      </c>
      <c r="E344" s="7">
        <v>45908</v>
      </c>
      <c r="F344" t="s">
        <v>48</v>
      </c>
      <c r="G344" s="9">
        <v>3571.15</v>
      </c>
      <c r="H344" s="13">
        <v>126074</v>
      </c>
      <c r="I344" s="10" t="s">
        <v>27</v>
      </c>
      <c r="J344" t="s">
        <v>18</v>
      </c>
      <c r="K344" s="6">
        <v>2025</v>
      </c>
      <c r="L344" t="s">
        <v>33</v>
      </c>
      <c r="M344" s="12">
        <v>35.299999999999997</v>
      </c>
      <c r="N344" t="s">
        <v>49</v>
      </c>
    </row>
    <row r="345" spans="1:14" x14ac:dyDescent="0.25">
      <c r="A345" t="s">
        <v>362</v>
      </c>
      <c r="B345" t="s">
        <v>30</v>
      </c>
      <c r="C345" t="s">
        <v>14</v>
      </c>
      <c r="D345" t="s">
        <v>24</v>
      </c>
      <c r="E345" s="7">
        <v>45905</v>
      </c>
      <c r="F345" t="s">
        <v>48</v>
      </c>
      <c r="G345" s="9">
        <v>5729.04</v>
      </c>
      <c r="H345" s="13">
        <v>54338</v>
      </c>
      <c r="I345" s="10" t="s">
        <v>27</v>
      </c>
      <c r="J345" t="s">
        <v>57</v>
      </c>
      <c r="K345" s="6">
        <v>2025</v>
      </c>
      <c r="L345" t="s">
        <v>33</v>
      </c>
      <c r="M345" s="12">
        <v>9.48</v>
      </c>
      <c r="N345" t="s">
        <v>49</v>
      </c>
    </row>
    <row r="346" spans="1:14" x14ac:dyDescent="0.25">
      <c r="A346" t="s">
        <v>296</v>
      </c>
      <c r="B346" t="s">
        <v>66</v>
      </c>
      <c r="C346" t="s">
        <v>53</v>
      </c>
      <c r="D346" t="s">
        <v>24</v>
      </c>
      <c r="E346" s="7">
        <v>45902</v>
      </c>
      <c r="F346" t="s">
        <v>56</v>
      </c>
      <c r="G346" s="9">
        <v>3196.68</v>
      </c>
      <c r="H346" s="13">
        <v>34100</v>
      </c>
      <c r="I346" s="10" t="s">
        <v>58</v>
      </c>
      <c r="J346" t="s">
        <v>57</v>
      </c>
      <c r="K346" s="6">
        <v>2025</v>
      </c>
      <c r="L346" t="s">
        <v>33</v>
      </c>
      <c r="M346" s="12">
        <v>10.67</v>
      </c>
      <c r="N346" t="s">
        <v>59</v>
      </c>
    </row>
    <row r="347" spans="1:14" x14ac:dyDescent="0.25">
      <c r="A347" t="s">
        <v>302</v>
      </c>
      <c r="B347" t="s">
        <v>35</v>
      </c>
      <c r="C347" t="s">
        <v>36</v>
      </c>
      <c r="D347" t="s">
        <v>31</v>
      </c>
      <c r="E347" s="7">
        <v>45902</v>
      </c>
      <c r="F347" t="s">
        <v>26</v>
      </c>
      <c r="G347" s="9">
        <v>537.41</v>
      </c>
      <c r="H347" s="13">
        <v>6073</v>
      </c>
      <c r="I347" s="10" t="s">
        <v>27</v>
      </c>
      <c r="J347" t="s">
        <v>18</v>
      </c>
      <c r="K347" s="6">
        <v>2025</v>
      </c>
      <c r="L347" t="s">
        <v>20</v>
      </c>
      <c r="M347" s="12">
        <v>11.3</v>
      </c>
      <c r="N347" t="s">
        <v>28</v>
      </c>
    </row>
    <row r="348" spans="1:14" x14ac:dyDescent="0.25">
      <c r="A348" t="s">
        <v>613</v>
      </c>
      <c r="B348" t="s">
        <v>13</v>
      </c>
      <c r="C348" t="s">
        <v>14</v>
      </c>
      <c r="D348" t="s">
        <v>24</v>
      </c>
      <c r="E348" s="7">
        <v>45901</v>
      </c>
      <c r="F348" t="s">
        <v>48</v>
      </c>
      <c r="G348" s="9">
        <v>3813.21</v>
      </c>
      <c r="H348" s="13">
        <v>41964</v>
      </c>
      <c r="I348" s="10" t="s">
        <v>27</v>
      </c>
      <c r="J348" t="s">
        <v>57</v>
      </c>
      <c r="K348" s="6">
        <v>2025</v>
      </c>
      <c r="L348" t="s">
        <v>33</v>
      </c>
      <c r="M348" s="12">
        <v>11</v>
      </c>
      <c r="N348" t="s">
        <v>49</v>
      </c>
    </row>
    <row r="349" spans="1:14" x14ac:dyDescent="0.25">
      <c r="A349" t="s">
        <v>622</v>
      </c>
      <c r="B349" t="s">
        <v>40</v>
      </c>
      <c r="C349" t="s">
        <v>14</v>
      </c>
      <c r="D349" t="s">
        <v>24</v>
      </c>
      <c r="E349" s="7">
        <v>45875</v>
      </c>
      <c r="F349" t="s">
        <v>17</v>
      </c>
      <c r="G349" s="9">
        <v>3263.73</v>
      </c>
      <c r="H349" s="13">
        <v>35034</v>
      </c>
      <c r="I349" s="10" t="s">
        <v>19</v>
      </c>
      <c r="J349" t="s">
        <v>57</v>
      </c>
      <c r="K349" s="6">
        <v>2025</v>
      </c>
      <c r="L349" t="s">
        <v>33</v>
      </c>
      <c r="M349" s="12">
        <v>10.73</v>
      </c>
      <c r="N349" t="s">
        <v>21</v>
      </c>
    </row>
    <row r="350" spans="1:14" x14ac:dyDescent="0.25">
      <c r="A350" t="s">
        <v>110</v>
      </c>
      <c r="B350" t="s">
        <v>13</v>
      </c>
      <c r="C350" t="s">
        <v>36</v>
      </c>
      <c r="D350" t="s">
        <v>24</v>
      </c>
      <c r="E350" s="7">
        <v>45872</v>
      </c>
      <c r="F350" t="s">
        <v>56</v>
      </c>
      <c r="G350" s="9">
        <v>11062.2</v>
      </c>
      <c r="H350" s="13">
        <v>94292</v>
      </c>
      <c r="I350" s="10" t="s">
        <v>58</v>
      </c>
      <c r="J350" t="s">
        <v>18</v>
      </c>
      <c r="K350" s="6">
        <v>2025</v>
      </c>
      <c r="L350" t="s">
        <v>38</v>
      </c>
      <c r="M350" s="12">
        <v>8.52</v>
      </c>
      <c r="N350" t="s">
        <v>59</v>
      </c>
    </row>
    <row r="351" spans="1:14" x14ac:dyDescent="0.25">
      <c r="A351" t="s">
        <v>244</v>
      </c>
      <c r="B351" t="s">
        <v>40</v>
      </c>
      <c r="C351" t="s">
        <v>36</v>
      </c>
      <c r="D351" t="s">
        <v>24</v>
      </c>
      <c r="E351" s="7">
        <v>45872</v>
      </c>
      <c r="F351" t="s">
        <v>26</v>
      </c>
      <c r="G351" s="9">
        <v>5096.01</v>
      </c>
      <c r="H351" s="13">
        <v>42174</v>
      </c>
      <c r="I351" s="10" t="s">
        <v>27</v>
      </c>
      <c r="J351" t="s">
        <v>18</v>
      </c>
      <c r="K351" s="6">
        <v>2025</v>
      </c>
      <c r="L351" t="s">
        <v>33</v>
      </c>
      <c r="M351" s="12">
        <v>8.2799999999999994</v>
      </c>
      <c r="N351" t="s">
        <v>28</v>
      </c>
    </row>
    <row r="352" spans="1:14" x14ac:dyDescent="0.25">
      <c r="A352" t="s">
        <v>378</v>
      </c>
      <c r="B352" t="s">
        <v>23</v>
      </c>
      <c r="C352" t="s">
        <v>14</v>
      </c>
      <c r="D352" t="s">
        <v>31</v>
      </c>
      <c r="E352" s="7">
        <v>45872</v>
      </c>
      <c r="F352" t="s">
        <v>17</v>
      </c>
      <c r="G352" s="9">
        <v>298.99</v>
      </c>
      <c r="H352" s="13">
        <v>2880</v>
      </c>
      <c r="I352" s="10" t="s">
        <v>19</v>
      </c>
      <c r="J352" t="s">
        <v>57</v>
      </c>
      <c r="K352" s="6">
        <v>2025</v>
      </c>
      <c r="L352" t="s">
        <v>20</v>
      </c>
      <c r="M352" s="12">
        <v>9.6300000000000008</v>
      </c>
      <c r="N352" t="s">
        <v>21</v>
      </c>
    </row>
    <row r="353" spans="1:14" x14ac:dyDescent="0.25">
      <c r="A353" t="s">
        <v>636</v>
      </c>
      <c r="B353" t="s">
        <v>46</v>
      </c>
      <c r="C353" t="s">
        <v>53</v>
      </c>
      <c r="D353" t="s">
        <v>54</v>
      </c>
      <c r="E353" s="7">
        <v>45870</v>
      </c>
      <c r="F353" t="s">
        <v>56</v>
      </c>
      <c r="G353" s="9">
        <v>396.31</v>
      </c>
      <c r="H353" s="13">
        <v>5585</v>
      </c>
      <c r="I353" s="10" t="s">
        <v>58</v>
      </c>
      <c r="J353" t="s">
        <v>18</v>
      </c>
      <c r="K353" s="6">
        <v>2025</v>
      </c>
      <c r="L353" t="s">
        <v>20</v>
      </c>
      <c r="M353" s="12">
        <v>14.09</v>
      </c>
      <c r="N353" t="s">
        <v>59</v>
      </c>
    </row>
    <row r="354" spans="1:14" x14ac:dyDescent="0.25">
      <c r="A354" t="s">
        <v>65</v>
      </c>
      <c r="B354" t="s">
        <v>66</v>
      </c>
      <c r="C354" t="s">
        <v>53</v>
      </c>
      <c r="D354" t="s">
        <v>24</v>
      </c>
      <c r="E354" s="7">
        <v>45850</v>
      </c>
      <c r="F354" t="s">
        <v>48</v>
      </c>
      <c r="G354" s="9">
        <v>11680.26</v>
      </c>
      <c r="H354" s="13">
        <v>155816</v>
      </c>
      <c r="I354" s="10" t="s">
        <v>27</v>
      </c>
      <c r="J354" t="s">
        <v>57</v>
      </c>
      <c r="K354" s="6">
        <v>2025</v>
      </c>
      <c r="L354" t="s">
        <v>38</v>
      </c>
      <c r="M354" s="12">
        <v>13.34</v>
      </c>
      <c r="N354" t="s">
        <v>49</v>
      </c>
    </row>
    <row r="355" spans="1:14" x14ac:dyDescent="0.25">
      <c r="A355" t="s">
        <v>93</v>
      </c>
      <c r="B355" t="s">
        <v>40</v>
      </c>
      <c r="C355" t="s">
        <v>53</v>
      </c>
      <c r="D355" t="s">
        <v>54</v>
      </c>
      <c r="E355" s="7">
        <v>45850</v>
      </c>
      <c r="F355" t="s">
        <v>26</v>
      </c>
      <c r="G355" s="9">
        <v>462.24</v>
      </c>
      <c r="H355" s="13">
        <v>6820</v>
      </c>
      <c r="I355" s="10" t="s">
        <v>27</v>
      </c>
      <c r="J355" t="s">
        <v>57</v>
      </c>
      <c r="K355" s="6">
        <v>2025</v>
      </c>
      <c r="L355" t="s">
        <v>20</v>
      </c>
      <c r="M355" s="12">
        <v>14.75</v>
      </c>
      <c r="N355" t="s">
        <v>28</v>
      </c>
    </row>
    <row r="356" spans="1:14" x14ac:dyDescent="0.25">
      <c r="A356" t="s">
        <v>687</v>
      </c>
      <c r="B356" t="s">
        <v>23</v>
      </c>
      <c r="C356" t="s">
        <v>14</v>
      </c>
      <c r="D356" t="s">
        <v>24</v>
      </c>
      <c r="E356" s="7">
        <v>45848</v>
      </c>
      <c r="F356" t="s">
        <v>48</v>
      </c>
      <c r="G356" s="9">
        <v>5233.92</v>
      </c>
      <c r="H356" s="13">
        <v>58788</v>
      </c>
      <c r="I356" s="10" t="s">
        <v>27</v>
      </c>
      <c r="J356" t="s">
        <v>57</v>
      </c>
      <c r="K356" s="6">
        <v>2025</v>
      </c>
      <c r="L356" t="s">
        <v>33</v>
      </c>
      <c r="M356" s="12">
        <v>11.23</v>
      </c>
      <c r="N356" t="s">
        <v>49</v>
      </c>
    </row>
    <row r="357" spans="1:14" x14ac:dyDescent="0.25">
      <c r="A357" t="s">
        <v>592</v>
      </c>
      <c r="B357" t="s">
        <v>66</v>
      </c>
      <c r="C357" t="s">
        <v>14</v>
      </c>
      <c r="D357" t="s">
        <v>15</v>
      </c>
      <c r="E357" s="7">
        <v>45847</v>
      </c>
      <c r="F357" t="s">
        <v>56</v>
      </c>
      <c r="G357" s="9">
        <v>85.77</v>
      </c>
      <c r="H357" s="13">
        <v>860</v>
      </c>
      <c r="I357" s="10" t="s">
        <v>58</v>
      </c>
      <c r="J357" t="s">
        <v>18</v>
      </c>
      <c r="K357" s="6">
        <v>2025</v>
      </c>
      <c r="L357" t="s">
        <v>20</v>
      </c>
      <c r="M357" s="12">
        <v>10.029999999999999</v>
      </c>
      <c r="N357" t="s">
        <v>59</v>
      </c>
    </row>
    <row r="358" spans="1:14" x14ac:dyDescent="0.25">
      <c r="A358" t="s">
        <v>539</v>
      </c>
      <c r="B358" t="s">
        <v>13</v>
      </c>
      <c r="C358" t="s">
        <v>36</v>
      </c>
      <c r="D358" t="s">
        <v>24</v>
      </c>
      <c r="E358" s="7">
        <v>45845</v>
      </c>
      <c r="F358" t="s">
        <v>56</v>
      </c>
      <c r="G358" s="9">
        <v>3906.83</v>
      </c>
      <c r="H358" s="13">
        <v>35172</v>
      </c>
      <c r="I358" s="10" t="s">
        <v>58</v>
      </c>
      <c r="J358" t="s">
        <v>18</v>
      </c>
      <c r="K358" s="6">
        <v>2025</v>
      </c>
      <c r="L358" t="s">
        <v>33</v>
      </c>
      <c r="M358" s="12">
        <v>9</v>
      </c>
      <c r="N358" t="s">
        <v>59</v>
      </c>
    </row>
    <row r="359" spans="1:14" x14ac:dyDescent="0.25">
      <c r="A359" t="s">
        <v>357</v>
      </c>
      <c r="B359" t="s">
        <v>35</v>
      </c>
      <c r="C359" t="s">
        <v>36</v>
      </c>
      <c r="D359" t="s">
        <v>24</v>
      </c>
      <c r="E359" s="7">
        <v>45844</v>
      </c>
      <c r="F359" t="s">
        <v>26</v>
      </c>
      <c r="G359" s="9">
        <v>10468.790000000001</v>
      </c>
      <c r="H359" s="13">
        <v>154702</v>
      </c>
      <c r="I359" s="10" t="s">
        <v>27</v>
      </c>
      <c r="J359" t="s">
        <v>18</v>
      </c>
      <c r="K359" s="6">
        <v>2025</v>
      </c>
      <c r="L359" t="s">
        <v>38</v>
      </c>
      <c r="M359" s="12">
        <v>14.78</v>
      </c>
      <c r="N359" t="s">
        <v>28</v>
      </c>
    </row>
    <row r="360" spans="1:14" x14ac:dyDescent="0.25">
      <c r="A360" t="s">
        <v>408</v>
      </c>
      <c r="B360" t="s">
        <v>23</v>
      </c>
      <c r="C360" t="s">
        <v>36</v>
      </c>
      <c r="D360" t="s">
        <v>24</v>
      </c>
      <c r="E360" s="7">
        <v>45844</v>
      </c>
      <c r="F360" t="s">
        <v>17</v>
      </c>
      <c r="G360" s="9">
        <v>11182.2</v>
      </c>
      <c r="H360" s="13">
        <v>124547</v>
      </c>
      <c r="I360" s="10" t="s">
        <v>19</v>
      </c>
      <c r="J360" t="s">
        <v>18</v>
      </c>
      <c r="K360" s="6">
        <v>2025</v>
      </c>
      <c r="L360" t="s">
        <v>38</v>
      </c>
      <c r="M360" s="12">
        <v>11.14</v>
      </c>
      <c r="N360" t="s">
        <v>21</v>
      </c>
    </row>
    <row r="361" spans="1:14" x14ac:dyDescent="0.25">
      <c r="A361" t="s">
        <v>464</v>
      </c>
      <c r="B361" t="s">
        <v>70</v>
      </c>
      <c r="C361" t="s">
        <v>36</v>
      </c>
      <c r="D361" t="s">
        <v>24</v>
      </c>
      <c r="E361" s="7">
        <v>45844</v>
      </c>
      <c r="F361" t="s">
        <v>26</v>
      </c>
      <c r="G361" s="9">
        <v>5684.22</v>
      </c>
      <c r="H361" s="13">
        <v>74505</v>
      </c>
      <c r="I361" s="10" t="s">
        <v>27</v>
      </c>
      <c r="J361" t="s">
        <v>18</v>
      </c>
      <c r="K361" s="6">
        <v>2025</v>
      </c>
      <c r="L361" t="s">
        <v>33</v>
      </c>
      <c r="M361" s="12">
        <v>13.11</v>
      </c>
      <c r="N361" t="s">
        <v>28</v>
      </c>
    </row>
    <row r="362" spans="1:14" x14ac:dyDescent="0.25">
      <c r="A362" t="s">
        <v>265</v>
      </c>
      <c r="B362" t="s">
        <v>70</v>
      </c>
      <c r="C362" t="s">
        <v>36</v>
      </c>
      <c r="D362" t="s">
        <v>24</v>
      </c>
      <c r="E362" s="7">
        <v>45843</v>
      </c>
      <c r="F362" t="s">
        <v>56</v>
      </c>
      <c r="G362" s="9">
        <v>5843.4</v>
      </c>
      <c r="H362" s="13">
        <v>84135</v>
      </c>
      <c r="I362" s="10" t="s">
        <v>58</v>
      </c>
      <c r="J362" t="s">
        <v>57</v>
      </c>
      <c r="K362" s="6">
        <v>2025</v>
      </c>
      <c r="L362" t="s">
        <v>33</v>
      </c>
      <c r="M362" s="12">
        <v>14.4</v>
      </c>
      <c r="N362" t="s">
        <v>59</v>
      </c>
    </row>
    <row r="363" spans="1:14" x14ac:dyDescent="0.25">
      <c r="A363" t="s">
        <v>671</v>
      </c>
      <c r="B363" t="s">
        <v>40</v>
      </c>
      <c r="C363" t="s">
        <v>36</v>
      </c>
      <c r="D363" t="s">
        <v>24</v>
      </c>
      <c r="E363" s="7">
        <v>45842</v>
      </c>
      <c r="F363" t="s">
        <v>48</v>
      </c>
      <c r="G363" s="9">
        <v>2514.69</v>
      </c>
      <c r="H363" s="13">
        <v>35644</v>
      </c>
      <c r="I363" s="10" t="s">
        <v>27</v>
      </c>
      <c r="J363" t="s">
        <v>18</v>
      </c>
      <c r="K363" s="6">
        <v>2025</v>
      </c>
      <c r="L363" t="s">
        <v>33</v>
      </c>
      <c r="M363" s="12">
        <v>14.17</v>
      </c>
      <c r="N363" t="s">
        <v>49</v>
      </c>
    </row>
    <row r="364" spans="1:14" x14ac:dyDescent="0.25">
      <c r="A364" t="s">
        <v>139</v>
      </c>
      <c r="B364" t="s">
        <v>70</v>
      </c>
      <c r="C364" t="s">
        <v>63</v>
      </c>
      <c r="D364" t="s">
        <v>24</v>
      </c>
      <c r="E364" s="7">
        <v>45841</v>
      </c>
      <c r="F364" t="s">
        <v>56</v>
      </c>
      <c r="G364" s="9">
        <v>939.96</v>
      </c>
      <c r="H364" s="13">
        <v>13957</v>
      </c>
      <c r="I364" s="10" t="s">
        <v>58</v>
      </c>
      <c r="J364" t="s">
        <v>57</v>
      </c>
      <c r="K364" s="6">
        <v>2025</v>
      </c>
      <c r="L364" t="s">
        <v>20</v>
      </c>
      <c r="M364" s="12">
        <v>14.85</v>
      </c>
      <c r="N364" t="s">
        <v>59</v>
      </c>
    </row>
    <row r="365" spans="1:14" x14ac:dyDescent="0.25">
      <c r="A365" t="s">
        <v>518</v>
      </c>
      <c r="B365" t="s">
        <v>70</v>
      </c>
      <c r="C365" t="s">
        <v>36</v>
      </c>
      <c r="D365" t="s">
        <v>24</v>
      </c>
      <c r="E365" s="7">
        <v>45841</v>
      </c>
      <c r="F365" t="s">
        <v>26</v>
      </c>
      <c r="G365" s="9">
        <v>4026.16</v>
      </c>
      <c r="H365" s="13">
        <v>44303</v>
      </c>
      <c r="I365" s="10" t="s">
        <v>27</v>
      </c>
      <c r="J365" t="s">
        <v>57</v>
      </c>
      <c r="K365" s="6">
        <v>2025</v>
      </c>
      <c r="L365" t="s">
        <v>33</v>
      </c>
      <c r="M365" s="12">
        <v>11</v>
      </c>
      <c r="N365" t="s">
        <v>28</v>
      </c>
    </row>
    <row r="366" spans="1:14" x14ac:dyDescent="0.25">
      <c r="A366" t="s">
        <v>456</v>
      </c>
      <c r="B366" t="s">
        <v>13</v>
      </c>
      <c r="C366" t="s">
        <v>53</v>
      </c>
      <c r="D366" t="s">
        <v>24</v>
      </c>
      <c r="E366" s="7">
        <v>45818</v>
      </c>
      <c r="F366" t="s">
        <v>26</v>
      </c>
      <c r="G366" s="9">
        <v>9995.9500000000007</v>
      </c>
      <c r="H366" s="13">
        <v>140528</v>
      </c>
      <c r="I366" s="10" t="s">
        <v>27</v>
      </c>
      <c r="J366" t="s">
        <v>18</v>
      </c>
      <c r="K366" s="6">
        <v>2025</v>
      </c>
      <c r="L366" t="s">
        <v>38</v>
      </c>
      <c r="M366" s="12">
        <v>14.06</v>
      </c>
      <c r="N366" t="s">
        <v>28</v>
      </c>
    </row>
    <row r="367" spans="1:14" x14ac:dyDescent="0.25">
      <c r="A367" t="s">
        <v>279</v>
      </c>
      <c r="B367" t="s">
        <v>13</v>
      </c>
      <c r="C367" t="s">
        <v>41</v>
      </c>
      <c r="D367" t="s">
        <v>54</v>
      </c>
      <c r="E367" s="7">
        <v>45813</v>
      </c>
      <c r="F367" t="s">
        <v>56</v>
      </c>
      <c r="G367" s="9">
        <v>222.96</v>
      </c>
      <c r="H367" s="13">
        <v>2839</v>
      </c>
      <c r="I367" s="10" t="s">
        <v>58</v>
      </c>
      <c r="J367" t="s">
        <v>18</v>
      </c>
      <c r="K367" s="6">
        <v>2025</v>
      </c>
      <c r="L367" t="s">
        <v>20</v>
      </c>
      <c r="M367" s="12">
        <v>12.73</v>
      </c>
      <c r="N367" t="s">
        <v>59</v>
      </c>
    </row>
    <row r="368" spans="1:14" x14ac:dyDescent="0.25">
      <c r="A368" t="s">
        <v>608</v>
      </c>
      <c r="B368" t="s">
        <v>66</v>
      </c>
      <c r="C368" t="s">
        <v>53</v>
      </c>
      <c r="D368" t="s">
        <v>24</v>
      </c>
      <c r="E368" s="7">
        <v>45812</v>
      </c>
      <c r="F368" t="s">
        <v>17</v>
      </c>
      <c r="G368" s="9">
        <v>5197.95</v>
      </c>
      <c r="H368" s="13">
        <v>57456</v>
      </c>
      <c r="I368" s="10" t="s">
        <v>19</v>
      </c>
      <c r="J368" t="s">
        <v>18</v>
      </c>
      <c r="K368" s="6">
        <v>2025</v>
      </c>
      <c r="L368" t="s">
        <v>33</v>
      </c>
      <c r="M368" s="12">
        <v>11.05</v>
      </c>
      <c r="N368" t="s">
        <v>21</v>
      </c>
    </row>
    <row r="369" spans="1:14" x14ac:dyDescent="0.25">
      <c r="A369" t="s">
        <v>341</v>
      </c>
      <c r="B369" t="s">
        <v>46</v>
      </c>
      <c r="C369" t="s">
        <v>53</v>
      </c>
      <c r="D369" t="s">
        <v>24</v>
      </c>
      <c r="E369" s="7">
        <v>45811</v>
      </c>
      <c r="F369" t="s">
        <v>26</v>
      </c>
      <c r="G369" s="9">
        <v>4971.8599999999997</v>
      </c>
      <c r="H369" s="13">
        <v>72457</v>
      </c>
      <c r="I369" s="10" t="s">
        <v>27</v>
      </c>
      <c r="J369" t="s">
        <v>18</v>
      </c>
      <c r="K369" s="6">
        <v>2025</v>
      </c>
      <c r="L369" t="s">
        <v>33</v>
      </c>
      <c r="M369" s="12">
        <v>14.57</v>
      </c>
      <c r="N369" t="s">
        <v>28</v>
      </c>
    </row>
    <row r="370" spans="1:14" x14ac:dyDescent="0.25">
      <c r="A370" t="s">
        <v>348</v>
      </c>
      <c r="B370" t="s">
        <v>46</v>
      </c>
      <c r="C370" t="s">
        <v>63</v>
      </c>
      <c r="D370" t="s">
        <v>24</v>
      </c>
      <c r="E370" s="7">
        <v>45811</v>
      </c>
      <c r="F370" t="s">
        <v>56</v>
      </c>
      <c r="G370" s="9">
        <v>11778.3</v>
      </c>
      <c r="H370" s="13">
        <v>124129</v>
      </c>
      <c r="I370" s="10" t="s">
        <v>58</v>
      </c>
      <c r="J370" t="s">
        <v>18</v>
      </c>
      <c r="K370" s="6">
        <v>2025</v>
      </c>
      <c r="L370" t="s">
        <v>38</v>
      </c>
      <c r="M370" s="12">
        <v>10.54</v>
      </c>
      <c r="N370" t="s">
        <v>59</v>
      </c>
    </row>
    <row r="371" spans="1:14" x14ac:dyDescent="0.25">
      <c r="A371" t="s">
        <v>673</v>
      </c>
      <c r="B371" t="s">
        <v>30</v>
      </c>
      <c r="C371" t="s">
        <v>14</v>
      </c>
      <c r="D371" t="s">
        <v>31</v>
      </c>
      <c r="E371" s="7">
        <v>45810</v>
      </c>
      <c r="F371" t="s">
        <v>56</v>
      </c>
      <c r="G371" s="9">
        <v>1382.47</v>
      </c>
      <c r="H371" s="13">
        <v>20607</v>
      </c>
      <c r="I371" s="10" t="s">
        <v>58</v>
      </c>
      <c r="J371" t="s">
        <v>18</v>
      </c>
      <c r="K371" s="6">
        <v>2025</v>
      </c>
      <c r="L371" t="s">
        <v>20</v>
      </c>
      <c r="M371" s="12">
        <v>14.91</v>
      </c>
      <c r="N371" t="s">
        <v>59</v>
      </c>
    </row>
    <row r="372" spans="1:14" x14ac:dyDescent="0.25">
      <c r="A372" t="s">
        <v>80</v>
      </c>
      <c r="B372" t="s">
        <v>40</v>
      </c>
      <c r="C372" t="s">
        <v>14</v>
      </c>
      <c r="D372" t="s">
        <v>24</v>
      </c>
      <c r="E372" s="7">
        <v>45809</v>
      </c>
      <c r="F372" t="s">
        <v>26</v>
      </c>
      <c r="G372" s="9">
        <v>9118.99</v>
      </c>
      <c r="H372" s="13">
        <v>93262</v>
      </c>
      <c r="I372" s="10" t="s">
        <v>27</v>
      </c>
      <c r="J372" t="s">
        <v>18</v>
      </c>
      <c r="K372" s="6">
        <v>2025</v>
      </c>
      <c r="L372" t="s">
        <v>38</v>
      </c>
      <c r="M372" s="12">
        <v>10.23</v>
      </c>
      <c r="N372" t="s">
        <v>28</v>
      </c>
    </row>
    <row r="373" spans="1:14" x14ac:dyDescent="0.25">
      <c r="A373" t="s">
        <v>729</v>
      </c>
      <c r="B373" t="s">
        <v>35</v>
      </c>
      <c r="C373" t="s">
        <v>41</v>
      </c>
      <c r="D373" t="s">
        <v>24</v>
      </c>
      <c r="E373" s="7">
        <v>45809</v>
      </c>
      <c r="F373" t="s">
        <v>17</v>
      </c>
      <c r="G373" s="9">
        <v>3263.73</v>
      </c>
      <c r="H373" s="13">
        <v>35034</v>
      </c>
      <c r="I373" s="10" t="s">
        <v>19</v>
      </c>
      <c r="J373" t="s">
        <v>57</v>
      </c>
      <c r="K373" s="6">
        <v>2025</v>
      </c>
      <c r="L373" t="s">
        <v>33</v>
      </c>
      <c r="M373" s="12">
        <v>10.73</v>
      </c>
      <c r="N373" t="s">
        <v>21</v>
      </c>
    </row>
    <row r="374" spans="1:14" x14ac:dyDescent="0.25">
      <c r="A374" t="s">
        <v>384</v>
      </c>
      <c r="B374" t="s">
        <v>66</v>
      </c>
      <c r="C374" t="s">
        <v>53</v>
      </c>
      <c r="D374" t="s">
        <v>24</v>
      </c>
      <c r="E374" s="7">
        <v>45789</v>
      </c>
      <c r="F374" t="s">
        <v>48</v>
      </c>
      <c r="G374" s="9">
        <v>3343.76</v>
      </c>
      <c r="H374" s="13">
        <v>33240</v>
      </c>
      <c r="I374" s="10" t="s">
        <v>27</v>
      </c>
      <c r="J374" t="s">
        <v>18</v>
      </c>
      <c r="K374" s="6">
        <v>2025</v>
      </c>
      <c r="L374" t="s">
        <v>33</v>
      </c>
      <c r="M374" s="12">
        <v>9.94</v>
      </c>
      <c r="N374" t="s">
        <v>49</v>
      </c>
    </row>
    <row r="375" spans="1:14" x14ac:dyDescent="0.25">
      <c r="A375" t="s">
        <v>462</v>
      </c>
      <c r="B375" t="s">
        <v>13</v>
      </c>
      <c r="C375" t="s">
        <v>53</v>
      </c>
      <c r="D375" t="s">
        <v>24</v>
      </c>
      <c r="E375" s="7">
        <v>45789</v>
      </c>
      <c r="F375" t="s">
        <v>56</v>
      </c>
      <c r="G375" s="9">
        <v>11248.15</v>
      </c>
      <c r="H375" s="13">
        <v>155134</v>
      </c>
      <c r="I375" s="10" t="s">
        <v>58</v>
      </c>
      <c r="J375" t="s">
        <v>18</v>
      </c>
      <c r="K375" s="6">
        <v>2025</v>
      </c>
      <c r="L375" t="s">
        <v>38</v>
      </c>
      <c r="M375" s="12">
        <v>13.79</v>
      </c>
      <c r="N375" t="s">
        <v>59</v>
      </c>
    </row>
    <row r="376" spans="1:14" x14ac:dyDescent="0.25">
      <c r="A376" t="s">
        <v>552</v>
      </c>
      <c r="B376" t="s">
        <v>40</v>
      </c>
      <c r="C376" t="s">
        <v>41</v>
      </c>
      <c r="D376" t="s">
        <v>24</v>
      </c>
      <c r="E376" s="7">
        <v>45789</v>
      </c>
      <c r="F376" t="s">
        <v>17</v>
      </c>
      <c r="G376" s="9">
        <v>7835.5</v>
      </c>
      <c r="H376" s="13">
        <v>71318</v>
      </c>
      <c r="I376" s="10" t="s">
        <v>19</v>
      </c>
      <c r="J376" t="s">
        <v>18</v>
      </c>
      <c r="K376" s="6">
        <v>2025</v>
      </c>
      <c r="L376" t="s">
        <v>38</v>
      </c>
      <c r="M376" s="12">
        <v>9.1</v>
      </c>
      <c r="N376" t="s">
        <v>21</v>
      </c>
    </row>
    <row r="377" spans="1:14" x14ac:dyDescent="0.25">
      <c r="A377" t="s">
        <v>553</v>
      </c>
      <c r="B377" t="s">
        <v>13</v>
      </c>
      <c r="C377" t="s">
        <v>41</v>
      </c>
      <c r="D377" t="s">
        <v>24</v>
      </c>
      <c r="E377" s="7">
        <v>45784</v>
      </c>
      <c r="F377" t="s">
        <v>48</v>
      </c>
      <c r="G377" s="9">
        <v>9157.11</v>
      </c>
      <c r="H377" s="13">
        <v>93233</v>
      </c>
      <c r="I377" s="10" t="s">
        <v>27</v>
      </c>
      <c r="J377" t="s">
        <v>57</v>
      </c>
      <c r="K377" s="6">
        <v>2025</v>
      </c>
      <c r="L377" t="s">
        <v>38</v>
      </c>
      <c r="M377" s="12">
        <v>10.18</v>
      </c>
      <c r="N377" t="s">
        <v>49</v>
      </c>
    </row>
    <row r="378" spans="1:14" x14ac:dyDescent="0.25">
      <c r="A378" t="s">
        <v>602</v>
      </c>
      <c r="B378" t="s">
        <v>46</v>
      </c>
      <c r="C378" t="s">
        <v>36</v>
      </c>
      <c r="D378" t="s">
        <v>24</v>
      </c>
      <c r="E378" s="7">
        <v>45780</v>
      </c>
      <c r="F378" t="s">
        <v>26</v>
      </c>
      <c r="G378" s="9">
        <v>3543.43</v>
      </c>
      <c r="H378" s="13">
        <v>42206</v>
      </c>
      <c r="I378" s="10" t="s">
        <v>27</v>
      </c>
      <c r="J378" t="s">
        <v>57</v>
      </c>
      <c r="K378" s="6">
        <v>2025</v>
      </c>
      <c r="L378" t="s">
        <v>33</v>
      </c>
      <c r="M378" s="12">
        <v>11.91</v>
      </c>
      <c r="N378" t="s">
        <v>28</v>
      </c>
    </row>
    <row r="379" spans="1:14" x14ac:dyDescent="0.25">
      <c r="A379" t="s">
        <v>396</v>
      </c>
      <c r="B379" t="s">
        <v>40</v>
      </c>
      <c r="C379" t="s">
        <v>41</v>
      </c>
      <c r="D379" t="s">
        <v>24</v>
      </c>
      <c r="E379" s="7">
        <v>45778</v>
      </c>
      <c r="F379" t="s">
        <v>17</v>
      </c>
      <c r="G379" s="9">
        <v>4742.29</v>
      </c>
      <c r="H379" s="13">
        <v>64111</v>
      </c>
      <c r="I379" s="10" t="s">
        <v>19</v>
      </c>
      <c r="J379" t="s">
        <v>18</v>
      </c>
      <c r="K379" s="6">
        <v>2025</v>
      </c>
      <c r="L379" t="s">
        <v>33</v>
      </c>
      <c r="M379" s="12">
        <v>13.52</v>
      </c>
      <c r="N379" t="s">
        <v>21</v>
      </c>
    </row>
    <row r="380" spans="1:14" x14ac:dyDescent="0.25">
      <c r="A380" t="s">
        <v>567</v>
      </c>
      <c r="B380" t="s">
        <v>35</v>
      </c>
      <c r="C380" t="s">
        <v>63</v>
      </c>
      <c r="D380" t="s">
        <v>24</v>
      </c>
      <c r="E380" s="7">
        <v>45757</v>
      </c>
      <c r="F380" t="s">
        <v>56</v>
      </c>
      <c r="G380" s="9">
        <v>6155.09</v>
      </c>
      <c r="H380" s="13">
        <v>75397</v>
      </c>
      <c r="I380" s="10" t="s">
        <v>58</v>
      </c>
      <c r="J380" t="s">
        <v>18</v>
      </c>
      <c r="K380" s="6">
        <v>2025</v>
      </c>
      <c r="L380" t="s">
        <v>33</v>
      </c>
      <c r="M380" s="12">
        <v>12.25</v>
      </c>
      <c r="N380" t="s">
        <v>59</v>
      </c>
    </row>
    <row r="381" spans="1:14" x14ac:dyDescent="0.25">
      <c r="A381" t="s">
        <v>177</v>
      </c>
      <c r="B381" t="s">
        <v>70</v>
      </c>
      <c r="C381" t="s">
        <v>63</v>
      </c>
      <c r="D381" t="s">
        <v>24</v>
      </c>
      <c r="E381" s="7">
        <v>45756</v>
      </c>
      <c r="F381" t="s">
        <v>48</v>
      </c>
      <c r="G381" s="9">
        <v>3571.15</v>
      </c>
      <c r="H381" s="13">
        <v>80212</v>
      </c>
      <c r="I381" s="10" t="s">
        <v>27</v>
      </c>
      <c r="J381" t="s">
        <v>57</v>
      </c>
      <c r="K381" s="6">
        <v>2025</v>
      </c>
      <c r="L381" t="s">
        <v>33</v>
      </c>
      <c r="M381" s="12">
        <v>22.46</v>
      </c>
      <c r="N381" t="s">
        <v>49</v>
      </c>
    </row>
    <row r="382" spans="1:14" x14ac:dyDescent="0.25">
      <c r="A382" t="s">
        <v>331</v>
      </c>
      <c r="B382" t="s">
        <v>70</v>
      </c>
      <c r="C382" t="s">
        <v>53</v>
      </c>
      <c r="D382" t="s">
        <v>24</v>
      </c>
      <c r="E382" s="7">
        <v>45756</v>
      </c>
      <c r="F382" t="s">
        <v>48</v>
      </c>
      <c r="G382" s="9">
        <v>417.86</v>
      </c>
      <c r="H382" s="13">
        <v>5380</v>
      </c>
      <c r="I382" s="10" t="s">
        <v>27</v>
      </c>
      <c r="J382" t="s">
        <v>18</v>
      </c>
      <c r="K382" s="6">
        <v>2025</v>
      </c>
      <c r="L382" t="s">
        <v>20</v>
      </c>
      <c r="M382" s="12">
        <v>12.88</v>
      </c>
      <c r="N382" t="s">
        <v>49</v>
      </c>
    </row>
    <row r="383" spans="1:14" x14ac:dyDescent="0.25">
      <c r="A383" t="s">
        <v>427</v>
      </c>
      <c r="B383" t="s">
        <v>35</v>
      </c>
      <c r="C383" t="s">
        <v>14</v>
      </c>
      <c r="D383" t="s">
        <v>24</v>
      </c>
      <c r="E383" s="7">
        <v>45754</v>
      </c>
      <c r="F383" t="s">
        <v>17</v>
      </c>
      <c r="G383" s="9">
        <v>9656.61</v>
      </c>
      <c r="H383" s="13">
        <v>134527</v>
      </c>
      <c r="I383" s="10" t="s">
        <v>19</v>
      </c>
      <c r="J383" t="s">
        <v>18</v>
      </c>
      <c r="K383" s="6">
        <v>2025</v>
      </c>
      <c r="L383" t="s">
        <v>38</v>
      </c>
      <c r="M383" s="12">
        <v>13.93</v>
      </c>
      <c r="N383" t="s">
        <v>21</v>
      </c>
    </row>
    <row r="384" spans="1:14" x14ac:dyDescent="0.25">
      <c r="A384" t="s">
        <v>98</v>
      </c>
      <c r="B384" t="s">
        <v>40</v>
      </c>
      <c r="C384" t="s">
        <v>36</v>
      </c>
      <c r="D384" t="s">
        <v>54</v>
      </c>
      <c r="E384" s="7">
        <v>45751</v>
      </c>
      <c r="F384" t="s">
        <v>48</v>
      </c>
      <c r="G384" s="9">
        <v>334.95</v>
      </c>
      <c r="H384" s="13">
        <v>3458</v>
      </c>
      <c r="I384" s="10" t="s">
        <v>27</v>
      </c>
      <c r="J384" t="s">
        <v>18</v>
      </c>
      <c r="K384" s="6">
        <v>2025</v>
      </c>
      <c r="L384" t="s">
        <v>20</v>
      </c>
      <c r="M384" s="12">
        <v>10.32</v>
      </c>
      <c r="N384" t="s">
        <v>49</v>
      </c>
    </row>
    <row r="385" spans="1:14" x14ac:dyDescent="0.25">
      <c r="A385" t="s">
        <v>519</v>
      </c>
      <c r="B385" t="s">
        <v>23</v>
      </c>
      <c r="C385" t="s">
        <v>53</v>
      </c>
      <c r="D385" t="s">
        <v>24</v>
      </c>
      <c r="E385" s="7">
        <v>45751</v>
      </c>
      <c r="F385" t="s">
        <v>26</v>
      </c>
      <c r="G385" s="9">
        <v>3151.19</v>
      </c>
      <c r="H385" s="13">
        <v>37583</v>
      </c>
      <c r="I385" s="10" t="s">
        <v>27</v>
      </c>
      <c r="J385" t="s">
        <v>18</v>
      </c>
      <c r="K385" s="6">
        <v>2025</v>
      </c>
      <c r="L385" t="s">
        <v>33</v>
      </c>
      <c r="M385" s="12">
        <v>11.93</v>
      </c>
      <c r="N385" t="s">
        <v>28</v>
      </c>
    </row>
    <row r="386" spans="1:14" x14ac:dyDescent="0.25">
      <c r="A386" t="s">
        <v>406</v>
      </c>
      <c r="B386" t="s">
        <v>46</v>
      </c>
      <c r="C386" t="s">
        <v>53</v>
      </c>
      <c r="D386" t="s">
        <v>24</v>
      </c>
      <c r="E386" s="7">
        <v>45725</v>
      </c>
      <c r="F386" t="s">
        <v>56</v>
      </c>
      <c r="G386" s="9">
        <v>4076.95</v>
      </c>
      <c r="H386" s="13">
        <v>35859</v>
      </c>
      <c r="I386" s="10" t="s">
        <v>58</v>
      </c>
      <c r="J386" t="s">
        <v>18</v>
      </c>
      <c r="K386" s="6">
        <v>2025</v>
      </c>
      <c r="L386" t="s">
        <v>33</v>
      </c>
      <c r="M386" s="12">
        <v>8.8000000000000007</v>
      </c>
      <c r="N386" t="s">
        <v>59</v>
      </c>
    </row>
    <row r="387" spans="1:14" x14ac:dyDescent="0.25">
      <c r="A387" t="s">
        <v>489</v>
      </c>
      <c r="B387" t="s">
        <v>23</v>
      </c>
      <c r="C387" t="s">
        <v>14</v>
      </c>
      <c r="D387" t="s">
        <v>24</v>
      </c>
      <c r="E387" s="7">
        <v>45725</v>
      </c>
      <c r="F387" t="s">
        <v>48</v>
      </c>
      <c r="G387" s="9">
        <v>5173.92</v>
      </c>
      <c r="H387" s="13">
        <v>56270</v>
      </c>
      <c r="I387" s="10" t="s">
        <v>27</v>
      </c>
      <c r="J387" t="s">
        <v>57</v>
      </c>
      <c r="K387" s="6">
        <v>2025</v>
      </c>
      <c r="L387" t="s">
        <v>33</v>
      </c>
      <c r="M387" s="12">
        <v>10.88</v>
      </c>
      <c r="N387" t="s">
        <v>49</v>
      </c>
    </row>
    <row r="388" spans="1:14" x14ac:dyDescent="0.25">
      <c r="A388" t="s">
        <v>570</v>
      </c>
      <c r="B388" t="s">
        <v>30</v>
      </c>
      <c r="C388" t="s">
        <v>63</v>
      </c>
      <c r="D388" t="s">
        <v>54</v>
      </c>
      <c r="E388" s="7">
        <v>45725</v>
      </c>
      <c r="F388" t="s">
        <v>48</v>
      </c>
      <c r="G388" s="9">
        <v>343.23</v>
      </c>
      <c r="H388" s="13">
        <v>3264</v>
      </c>
      <c r="I388" s="10" t="s">
        <v>27</v>
      </c>
      <c r="J388" t="s">
        <v>18</v>
      </c>
      <c r="K388" s="6">
        <v>2025</v>
      </c>
      <c r="L388" t="s">
        <v>20</v>
      </c>
      <c r="M388" s="12">
        <v>9.51</v>
      </c>
      <c r="N388" t="s">
        <v>49</v>
      </c>
    </row>
    <row r="389" spans="1:14" x14ac:dyDescent="0.25">
      <c r="A389" t="s">
        <v>738</v>
      </c>
      <c r="B389" t="s">
        <v>35</v>
      </c>
      <c r="C389" t="s">
        <v>36</v>
      </c>
      <c r="D389" t="s">
        <v>54</v>
      </c>
      <c r="E389" s="7">
        <v>45725</v>
      </c>
      <c r="F389" t="s">
        <v>48</v>
      </c>
      <c r="G389" s="9">
        <v>76.989999999999995</v>
      </c>
      <c r="H389" s="13">
        <v>794</v>
      </c>
      <c r="I389" s="10" t="s">
        <v>27</v>
      </c>
      <c r="J389" t="s">
        <v>57</v>
      </c>
      <c r="K389" s="6">
        <v>2025</v>
      </c>
      <c r="L389" t="s">
        <v>20</v>
      </c>
      <c r="M389" s="12">
        <v>10.31</v>
      </c>
      <c r="N389" t="s">
        <v>49</v>
      </c>
    </row>
    <row r="390" spans="1:14" x14ac:dyDescent="0.25">
      <c r="A390" t="s">
        <v>72</v>
      </c>
      <c r="B390" t="s">
        <v>70</v>
      </c>
      <c r="C390" t="s">
        <v>63</v>
      </c>
      <c r="D390" t="s">
        <v>24</v>
      </c>
      <c r="E390" s="7">
        <v>45724</v>
      </c>
      <c r="F390" t="s">
        <v>26</v>
      </c>
      <c r="G390" s="9">
        <v>8343.77</v>
      </c>
      <c r="H390" s="13">
        <v>117540</v>
      </c>
      <c r="I390" s="10" t="s">
        <v>27</v>
      </c>
      <c r="J390" t="s">
        <v>57</v>
      </c>
      <c r="K390" s="6">
        <v>2025</v>
      </c>
      <c r="L390" t="s">
        <v>38</v>
      </c>
      <c r="M390" s="12">
        <v>14.09</v>
      </c>
      <c r="N390" t="s">
        <v>28</v>
      </c>
    </row>
    <row r="391" spans="1:14" x14ac:dyDescent="0.25">
      <c r="A391" t="s">
        <v>295</v>
      </c>
      <c r="B391" t="s">
        <v>40</v>
      </c>
      <c r="C391" t="s">
        <v>53</v>
      </c>
      <c r="D391" t="s">
        <v>24</v>
      </c>
      <c r="E391" s="7">
        <v>45724</v>
      </c>
      <c r="F391" t="s">
        <v>26</v>
      </c>
      <c r="G391" s="9">
        <v>8705.77</v>
      </c>
      <c r="H391" s="13">
        <v>85622</v>
      </c>
      <c r="I391" s="10" t="s">
        <v>27</v>
      </c>
      <c r="J391" t="s">
        <v>57</v>
      </c>
      <c r="K391" s="6">
        <v>2025</v>
      </c>
      <c r="L391" t="s">
        <v>38</v>
      </c>
      <c r="M391" s="12">
        <v>9.84</v>
      </c>
      <c r="N391" t="s">
        <v>28</v>
      </c>
    </row>
    <row r="392" spans="1:14" x14ac:dyDescent="0.25">
      <c r="A392" t="s">
        <v>522</v>
      </c>
      <c r="B392" t="s">
        <v>35</v>
      </c>
      <c r="C392" t="s">
        <v>41</v>
      </c>
      <c r="D392" t="s">
        <v>24</v>
      </c>
      <c r="E392" s="7">
        <v>45724</v>
      </c>
      <c r="F392" t="s">
        <v>26</v>
      </c>
      <c r="G392" s="9">
        <v>4128.8</v>
      </c>
      <c r="H392" s="13">
        <v>50999</v>
      </c>
      <c r="I392" s="10" t="s">
        <v>27</v>
      </c>
      <c r="J392" t="s">
        <v>57</v>
      </c>
      <c r="K392" s="6">
        <v>2025</v>
      </c>
      <c r="L392" t="s">
        <v>33</v>
      </c>
      <c r="M392" s="12">
        <v>12.35</v>
      </c>
      <c r="N392" t="s">
        <v>28</v>
      </c>
    </row>
    <row r="393" spans="1:14" x14ac:dyDescent="0.25">
      <c r="A393" t="s">
        <v>318</v>
      </c>
      <c r="B393" t="s">
        <v>40</v>
      </c>
      <c r="C393" t="s">
        <v>14</v>
      </c>
      <c r="D393" t="s">
        <v>24</v>
      </c>
      <c r="E393" s="7">
        <v>45723</v>
      </c>
      <c r="F393" t="s">
        <v>56</v>
      </c>
      <c r="G393" s="9">
        <v>9352.65</v>
      </c>
      <c r="H393" s="13">
        <v>82460</v>
      </c>
      <c r="I393" s="10" t="s">
        <v>58</v>
      </c>
      <c r="J393" t="s">
        <v>57</v>
      </c>
      <c r="K393" s="6">
        <v>2025</v>
      </c>
      <c r="L393" t="s">
        <v>38</v>
      </c>
      <c r="M393" s="12">
        <v>8.82</v>
      </c>
      <c r="N393" t="s">
        <v>59</v>
      </c>
    </row>
    <row r="394" spans="1:14" x14ac:dyDescent="0.25">
      <c r="A394" t="s">
        <v>633</v>
      </c>
      <c r="B394" t="s">
        <v>46</v>
      </c>
      <c r="C394" t="s">
        <v>63</v>
      </c>
      <c r="D394" t="s">
        <v>24</v>
      </c>
      <c r="E394" s="7">
        <v>45721</v>
      </c>
      <c r="F394" t="s">
        <v>48</v>
      </c>
      <c r="G394" s="9">
        <v>3554.77</v>
      </c>
      <c r="H394" s="13">
        <v>39279</v>
      </c>
      <c r="I394" s="10" t="s">
        <v>27</v>
      </c>
      <c r="J394" t="s">
        <v>57</v>
      </c>
      <c r="K394" s="6">
        <v>2025</v>
      </c>
      <c r="L394" t="s">
        <v>33</v>
      </c>
      <c r="M394" s="12">
        <v>11.05</v>
      </c>
      <c r="N394" t="s">
        <v>49</v>
      </c>
    </row>
    <row r="395" spans="1:14" x14ac:dyDescent="0.25">
      <c r="A395" t="s">
        <v>274</v>
      </c>
      <c r="B395" t="s">
        <v>70</v>
      </c>
      <c r="C395" t="s">
        <v>53</v>
      </c>
      <c r="D395" t="s">
        <v>24</v>
      </c>
      <c r="E395" s="7">
        <v>45700</v>
      </c>
      <c r="F395" t="s">
        <v>56</v>
      </c>
      <c r="G395" s="9">
        <v>9872.57</v>
      </c>
      <c r="H395" s="13">
        <v>111346</v>
      </c>
      <c r="I395" s="10" t="s">
        <v>58</v>
      </c>
      <c r="J395" t="s">
        <v>18</v>
      </c>
      <c r="K395" s="6">
        <v>2025</v>
      </c>
      <c r="L395" t="s">
        <v>38</v>
      </c>
      <c r="M395" s="12">
        <v>11.28</v>
      </c>
      <c r="N395" t="s">
        <v>59</v>
      </c>
    </row>
    <row r="396" spans="1:14" x14ac:dyDescent="0.25">
      <c r="A396" t="s">
        <v>418</v>
      </c>
      <c r="B396" t="s">
        <v>40</v>
      </c>
      <c r="C396" t="s">
        <v>63</v>
      </c>
      <c r="D396" t="s">
        <v>24</v>
      </c>
      <c r="E396" s="7">
        <v>45700</v>
      </c>
      <c r="F396" t="s">
        <v>17</v>
      </c>
      <c r="G396" s="9">
        <v>10051.57</v>
      </c>
      <c r="H396" s="13">
        <v>144353</v>
      </c>
      <c r="I396" s="10" t="s">
        <v>19</v>
      </c>
      <c r="J396" t="s">
        <v>18</v>
      </c>
      <c r="K396" s="6">
        <v>2025</v>
      </c>
      <c r="L396" t="s">
        <v>38</v>
      </c>
      <c r="M396" s="12">
        <v>14.36</v>
      </c>
      <c r="N396" t="s">
        <v>21</v>
      </c>
    </row>
    <row r="397" spans="1:14" x14ac:dyDescent="0.25">
      <c r="A397" t="s">
        <v>252</v>
      </c>
      <c r="B397" t="s">
        <v>23</v>
      </c>
      <c r="C397" t="s">
        <v>36</v>
      </c>
      <c r="D397" t="s">
        <v>15</v>
      </c>
      <c r="E397" s="7">
        <v>45697</v>
      </c>
      <c r="F397" t="s">
        <v>17</v>
      </c>
      <c r="G397" s="9">
        <v>155.68</v>
      </c>
      <c r="H397" s="13">
        <v>1601</v>
      </c>
      <c r="I397" s="10" t="s">
        <v>19</v>
      </c>
      <c r="J397" t="s">
        <v>18</v>
      </c>
      <c r="K397" s="6">
        <v>2025</v>
      </c>
      <c r="L397" t="s">
        <v>20</v>
      </c>
      <c r="M397" s="12">
        <v>10.29</v>
      </c>
      <c r="N397" t="s">
        <v>21</v>
      </c>
    </row>
    <row r="398" spans="1:14" x14ac:dyDescent="0.25">
      <c r="A398" t="s">
        <v>649</v>
      </c>
      <c r="B398" t="s">
        <v>40</v>
      </c>
      <c r="C398" t="s">
        <v>14</v>
      </c>
      <c r="D398" t="s">
        <v>24</v>
      </c>
      <c r="E398" s="7">
        <v>45697</v>
      </c>
      <c r="F398" t="s">
        <v>17</v>
      </c>
      <c r="G398" s="9">
        <v>5534.23</v>
      </c>
      <c r="H398" s="13">
        <v>81395</v>
      </c>
      <c r="I398" s="10" t="s">
        <v>19</v>
      </c>
      <c r="J398" t="s">
        <v>18</v>
      </c>
      <c r="K398" s="6">
        <v>2025</v>
      </c>
      <c r="L398" t="s">
        <v>33</v>
      </c>
      <c r="M398" s="12">
        <v>14.71</v>
      </c>
      <c r="N398" t="s">
        <v>21</v>
      </c>
    </row>
    <row r="399" spans="1:14" x14ac:dyDescent="0.25">
      <c r="A399" t="s">
        <v>562</v>
      </c>
      <c r="B399" t="s">
        <v>30</v>
      </c>
      <c r="C399" t="s">
        <v>63</v>
      </c>
      <c r="D399" t="s">
        <v>24</v>
      </c>
      <c r="E399" s="7">
        <v>45691</v>
      </c>
      <c r="F399" t="s">
        <v>17</v>
      </c>
      <c r="G399" s="9">
        <v>3403.5</v>
      </c>
      <c r="H399" s="13">
        <v>28414</v>
      </c>
      <c r="I399" s="10" t="s">
        <v>19</v>
      </c>
      <c r="J399" t="s">
        <v>57</v>
      </c>
      <c r="K399" s="6">
        <v>2025</v>
      </c>
      <c r="L399" t="s">
        <v>33</v>
      </c>
      <c r="M399" s="12">
        <v>8.35</v>
      </c>
      <c r="N399" t="s">
        <v>21</v>
      </c>
    </row>
    <row r="400" spans="1:14" x14ac:dyDescent="0.25">
      <c r="A400" t="s">
        <v>180</v>
      </c>
      <c r="B400" t="s">
        <v>46</v>
      </c>
      <c r="C400" t="s">
        <v>63</v>
      </c>
      <c r="D400" t="s">
        <v>54</v>
      </c>
      <c r="E400" s="7">
        <v>45665</v>
      </c>
      <c r="F400" t="s">
        <v>56</v>
      </c>
      <c r="G400" s="9">
        <v>348.6</v>
      </c>
      <c r="H400" s="13">
        <v>3491</v>
      </c>
      <c r="I400" s="10" t="s">
        <v>58</v>
      </c>
      <c r="J400" t="s">
        <v>57</v>
      </c>
      <c r="K400" s="6">
        <v>2025</v>
      </c>
      <c r="L400" t="s">
        <v>20</v>
      </c>
      <c r="M400" s="12">
        <v>10.01</v>
      </c>
      <c r="N400" t="s">
        <v>59</v>
      </c>
    </row>
    <row r="401" spans="1:14" x14ac:dyDescent="0.25">
      <c r="A401" t="s">
        <v>370</v>
      </c>
      <c r="B401" t="s">
        <v>66</v>
      </c>
      <c r="C401" t="s">
        <v>63</v>
      </c>
      <c r="D401" t="s">
        <v>24</v>
      </c>
      <c r="E401" s="7">
        <v>45663</v>
      </c>
      <c r="F401" t="s">
        <v>56</v>
      </c>
      <c r="G401" s="9">
        <v>5348</v>
      </c>
      <c r="H401" s="13">
        <v>79802</v>
      </c>
      <c r="I401" s="10" t="s">
        <v>58</v>
      </c>
      <c r="J401" t="s">
        <v>18</v>
      </c>
      <c r="K401" s="6">
        <v>2025</v>
      </c>
      <c r="L401" t="s">
        <v>33</v>
      </c>
      <c r="M401" s="12">
        <v>14.92</v>
      </c>
      <c r="N401" t="s">
        <v>59</v>
      </c>
    </row>
    <row r="402" spans="1:14" x14ac:dyDescent="0.25">
      <c r="A402" t="s">
        <v>154</v>
      </c>
      <c r="B402" t="s">
        <v>66</v>
      </c>
      <c r="C402" t="s">
        <v>14</v>
      </c>
      <c r="D402" t="s">
        <v>24</v>
      </c>
      <c r="E402" s="7">
        <v>45662</v>
      </c>
      <c r="F402" t="s">
        <v>26</v>
      </c>
      <c r="G402" s="9">
        <v>1010.45</v>
      </c>
      <c r="H402" s="13">
        <v>10619</v>
      </c>
      <c r="I402" s="10" t="s">
        <v>27</v>
      </c>
      <c r="J402" t="s">
        <v>18</v>
      </c>
      <c r="K402" s="6">
        <v>2025</v>
      </c>
      <c r="L402" t="s">
        <v>20</v>
      </c>
      <c r="M402" s="12">
        <v>10.51</v>
      </c>
      <c r="N402" t="s">
        <v>28</v>
      </c>
    </row>
    <row r="403" spans="1:14" x14ac:dyDescent="0.25">
      <c r="A403" t="s">
        <v>275</v>
      </c>
      <c r="B403" t="s">
        <v>46</v>
      </c>
      <c r="C403" t="s">
        <v>14</v>
      </c>
      <c r="D403" t="s">
        <v>54</v>
      </c>
      <c r="E403" s="7">
        <v>45662</v>
      </c>
      <c r="F403" t="s">
        <v>56</v>
      </c>
      <c r="G403" s="9">
        <v>446.01</v>
      </c>
      <c r="H403" s="13">
        <v>3803</v>
      </c>
      <c r="I403" s="10" t="s">
        <v>58</v>
      </c>
      <c r="J403" t="s">
        <v>18</v>
      </c>
      <c r="K403" s="6">
        <v>2025</v>
      </c>
      <c r="L403" t="s">
        <v>20</v>
      </c>
      <c r="M403" s="12">
        <v>8.5299999999999994</v>
      </c>
      <c r="N403" t="s">
        <v>59</v>
      </c>
    </row>
    <row r="404" spans="1:14" x14ac:dyDescent="0.25">
      <c r="A404" t="s">
        <v>124</v>
      </c>
      <c r="B404" t="s">
        <v>23</v>
      </c>
      <c r="C404" t="s">
        <v>36</v>
      </c>
      <c r="D404" t="s">
        <v>15</v>
      </c>
      <c r="E404" s="7">
        <v>45659</v>
      </c>
      <c r="F404" t="s">
        <v>56</v>
      </c>
      <c r="G404" s="9">
        <v>101.88</v>
      </c>
      <c r="H404" s="13">
        <v>1448</v>
      </c>
      <c r="I404" s="10" t="s">
        <v>58</v>
      </c>
      <c r="J404" t="s">
        <v>18</v>
      </c>
      <c r="K404" s="6">
        <v>2025</v>
      </c>
      <c r="L404" t="s">
        <v>20</v>
      </c>
      <c r="M404" s="12">
        <v>14.21</v>
      </c>
      <c r="N404" t="s">
        <v>59</v>
      </c>
    </row>
    <row r="405" spans="1:14" x14ac:dyDescent="0.25">
      <c r="A405" t="s">
        <v>433</v>
      </c>
      <c r="B405" t="s">
        <v>30</v>
      </c>
      <c r="C405" t="s">
        <v>53</v>
      </c>
      <c r="D405" t="s">
        <v>54</v>
      </c>
      <c r="E405" s="7">
        <v>45638</v>
      </c>
      <c r="F405" t="s">
        <v>56</v>
      </c>
      <c r="G405" s="9">
        <v>34.479999999999997</v>
      </c>
      <c r="H405" s="13">
        <v>493</v>
      </c>
      <c r="I405" s="10" t="s">
        <v>58</v>
      </c>
      <c r="J405" t="s">
        <v>57</v>
      </c>
      <c r="K405" s="6">
        <v>2024</v>
      </c>
      <c r="L405" t="s">
        <v>20</v>
      </c>
      <c r="M405" s="12">
        <v>14.29</v>
      </c>
      <c r="N405" t="s">
        <v>59</v>
      </c>
    </row>
    <row r="406" spans="1:14" x14ac:dyDescent="0.25">
      <c r="A406" t="s">
        <v>118</v>
      </c>
      <c r="B406" t="s">
        <v>35</v>
      </c>
      <c r="C406" t="s">
        <v>36</v>
      </c>
      <c r="D406" t="s">
        <v>31</v>
      </c>
      <c r="E406" s="7">
        <v>45636</v>
      </c>
      <c r="F406" t="s">
        <v>17</v>
      </c>
      <c r="G406" s="9">
        <v>1255.55</v>
      </c>
      <c r="H406" s="13">
        <v>12932</v>
      </c>
      <c r="I406" s="10" t="s">
        <v>19</v>
      </c>
      <c r="J406" t="s">
        <v>18</v>
      </c>
      <c r="K406" s="6">
        <v>2024</v>
      </c>
      <c r="L406" t="s">
        <v>20</v>
      </c>
      <c r="M406" s="12">
        <v>10.3</v>
      </c>
      <c r="N406" t="s">
        <v>21</v>
      </c>
    </row>
    <row r="407" spans="1:14" x14ac:dyDescent="0.25">
      <c r="A407" t="s">
        <v>744</v>
      </c>
      <c r="B407" t="s">
        <v>46</v>
      </c>
      <c r="C407" t="s">
        <v>53</v>
      </c>
      <c r="D407" t="s">
        <v>24</v>
      </c>
      <c r="E407" s="7">
        <v>45633</v>
      </c>
      <c r="F407" t="s">
        <v>56</v>
      </c>
      <c r="G407" s="9">
        <v>6048.75</v>
      </c>
      <c r="H407" s="13">
        <v>89224</v>
      </c>
      <c r="I407" s="10" t="s">
        <v>58</v>
      </c>
      <c r="J407" t="s">
        <v>18</v>
      </c>
      <c r="K407" s="6">
        <v>2024</v>
      </c>
      <c r="L407" t="s">
        <v>33</v>
      </c>
      <c r="M407" s="12">
        <v>14.75</v>
      </c>
      <c r="N407" t="s">
        <v>59</v>
      </c>
    </row>
    <row r="408" spans="1:14" x14ac:dyDescent="0.25">
      <c r="A408" t="s">
        <v>454</v>
      </c>
      <c r="B408" t="s">
        <v>46</v>
      </c>
      <c r="C408" t="s">
        <v>41</v>
      </c>
      <c r="D408" t="s">
        <v>15</v>
      </c>
      <c r="E408" s="7">
        <v>45630</v>
      </c>
      <c r="F408" t="s">
        <v>17</v>
      </c>
      <c r="G408" s="9">
        <v>154.93</v>
      </c>
      <c r="H408" s="13">
        <v>2191</v>
      </c>
      <c r="I408" s="10" t="s">
        <v>19</v>
      </c>
      <c r="J408" t="s">
        <v>18</v>
      </c>
      <c r="K408" s="6">
        <v>2024</v>
      </c>
      <c r="L408" t="s">
        <v>20</v>
      </c>
      <c r="M408" s="12">
        <v>14.14</v>
      </c>
      <c r="N408" t="s">
        <v>21</v>
      </c>
    </row>
    <row r="409" spans="1:14" x14ac:dyDescent="0.25">
      <c r="A409" t="s">
        <v>373</v>
      </c>
      <c r="B409" t="s">
        <v>40</v>
      </c>
      <c r="C409" t="s">
        <v>53</v>
      </c>
      <c r="D409" t="s">
        <v>24</v>
      </c>
      <c r="E409" s="7">
        <v>45606</v>
      </c>
      <c r="F409" t="s">
        <v>17</v>
      </c>
      <c r="G409" s="9">
        <v>9113.7800000000007</v>
      </c>
      <c r="H409" s="13">
        <v>125850</v>
      </c>
      <c r="I409" s="10" t="s">
        <v>19</v>
      </c>
      <c r="J409" t="s">
        <v>18</v>
      </c>
      <c r="K409" s="6">
        <v>2024</v>
      </c>
      <c r="L409" t="s">
        <v>38</v>
      </c>
      <c r="M409" s="12">
        <v>13.81</v>
      </c>
      <c r="N409" t="s">
        <v>21</v>
      </c>
    </row>
    <row r="410" spans="1:14" x14ac:dyDescent="0.25">
      <c r="A410" t="s">
        <v>690</v>
      </c>
      <c r="B410" t="s">
        <v>13</v>
      </c>
      <c r="C410" t="s">
        <v>63</v>
      </c>
      <c r="D410" t="s">
        <v>31</v>
      </c>
      <c r="E410" s="7">
        <v>45601</v>
      </c>
      <c r="F410" t="s">
        <v>26</v>
      </c>
      <c r="G410" s="9">
        <v>2021.49</v>
      </c>
      <c r="H410" s="13">
        <v>21390</v>
      </c>
      <c r="I410" s="10" t="s">
        <v>27</v>
      </c>
      <c r="J410" t="s">
        <v>18</v>
      </c>
      <c r="K410" s="6">
        <v>2024</v>
      </c>
      <c r="L410" t="s">
        <v>33</v>
      </c>
      <c r="M410" s="12">
        <v>10.58</v>
      </c>
      <c r="N410" t="s">
        <v>28</v>
      </c>
    </row>
    <row r="411" spans="1:14" x14ac:dyDescent="0.25">
      <c r="A411" t="s">
        <v>655</v>
      </c>
      <c r="B411" t="s">
        <v>40</v>
      </c>
      <c r="C411" t="s">
        <v>63</v>
      </c>
      <c r="D411" t="s">
        <v>24</v>
      </c>
      <c r="E411" s="7">
        <v>45599</v>
      </c>
      <c r="F411" t="s">
        <v>17</v>
      </c>
      <c r="G411" s="9">
        <v>7442.71</v>
      </c>
      <c r="H411" s="13">
        <v>72877</v>
      </c>
      <c r="I411" s="10" t="s">
        <v>19</v>
      </c>
      <c r="J411" t="s">
        <v>18</v>
      </c>
      <c r="K411" s="6">
        <v>2024</v>
      </c>
      <c r="L411" t="s">
        <v>38</v>
      </c>
      <c r="M411" s="12">
        <v>9.7899999999999991</v>
      </c>
      <c r="N411" t="s">
        <v>21</v>
      </c>
    </row>
    <row r="412" spans="1:14" x14ac:dyDescent="0.25">
      <c r="A412" t="s">
        <v>702</v>
      </c>
      <c r="B412" t="s">
        <v>13</v>
      </c>
      <c r="C412" t="s">
        <v>53</v>
      </c>
      <c r="D412" t="s">
        <v>24</v>
      </c>
      <c r="E412" s="7">
        <v>45598</v>
      </c>
      <c r="F412" t="s">
        <v>56</v>
      </c>
      <c r="G412" s="9">
        <v>9986.66</v>
      </c>
      <c r="H412" s="13">
        <v>131549</v>
      </c>
      <c r="I412" s="10" t="s">
        <v>58</v>
      </c>
      <c r="J412" t="s">
        <v>57</v>
      </c>
      <c r="K412" s="6">
        <v>2024</v>
      </c>
      <c r="L412" t="s">
        <v>38</v>
      </c>
      <c r="M412" s="12">
        <v>13.17</v>
      </c>
      <c r="N412" t="s">
        <v>59</v>
      </c>
    </row>
    <row r="413" spans="1:14" x14ac:dyDescent="0.25">
      <c r="A413" t="s">
        <v>345</v>
      </c>
      <c r="B413" t="s">
        <v>30</v>
      </c>
      <c r="C413" t="s">
        <v>36</v>
      </c>
      <c r="D413" t="s">
        <v>54</v>
      </c>
      <c r="E413" s="7">
        <v>45597</v>
      </c>
      <c r="F413" t="s">
        <v>48</v>
      </c>
      <c r="G413" s="9">
        <v>362.09</v>
      </c>
      <c r="H413" s="13">
        <v>3447</v>
      </c>
      <c r="I413" s="10" t="s">
        <v>27</v>
      </c>
      <c r="J413" t="s">
        <v>18</v>
      </c>
      <c r="K413" s="6">
        <v>2024</v>
      </c>
      <c r="L413" t="s">
        <v>20</v>
      </c>
      <c r="M413" s="12">
        <v>9.52</v>
      </c>
      <c r="N413" t="s">
        <v>49</v>
      </c>
    </row>
    <row r="414" spans="1:14" x14ac:dyDescent="0.25">
      <c r="A414" t="s">
        <v>459</v>
      </c>
      <c r="B414" t="s">
        <v>35</v>
      </c>
      <c r="C414" t="s">
        <v>36</v>
      </c>
      <c r="D414" t="s">
        <v>54</v>
      </c>
      <c r="E414" s="7">
        <v>45577</v>
      </c>
      <c r="F414" t="s">
        <v>17</v>
      </c>
      <c r="G414" s="9">
        <v>161.15</v>
      </c>
      <c r="H414" s="13">
        <v>2291</v>
      </c>
      <c r="I414" s="10" t="s">
        <v>19</v>
      </c>
      <c r="J414" t="s">
        <v>18</v>
      </c>
      <c r="K414" s="6">
        <v>2024</v>
      </c>
      <c r="L414" t="s">
        <v>20</v>
      </c>
      <c r="M414" s="12">
        <v>14.22</v>
      </c>
      <c r="N414" t="s">
        <v>21</v>
      </c>
    </row>
    <row r="415" spans="1:14" x14ac:dyDescent="0.25">
      <c r="A415" t="s">
        <v>524</v>
      </c>
      <c r="B415" t="s">
        <v>13</v>
      </c>
      <c r="C415" t="s">
        <v>63</v>
      </c>
      <c r="D415" t="s">
        <v>24</v>
      </c>
      <c r="E415" s="7">
        <v>45577</v>
      </c>
      <c r="F415" t="s">
        <v>56</v>
      </c>
      <c r="G415" s="9">
        <v>11435.09</v>
      </c>
      <c r="H415" s="13">
        <v>136045</v>
      </c>
      <c r="I415" s="10" t="s">
        <v>58</v>
      </c>
      <c r="J415" t="s">
        <v>18</v>
      </c>
      <c r="K415" s="6">
        <v>2024</v>
      </c>
      <c r="L415" t="s">
        <v>38</v>
      </c>
      <c r="M415" s="12">
        <v>11.9</v>
      </c>
      <c r="N415" t="s">
        <v>59</v>
      </c>
    </row>
    <row r="416" spans="1:14" x14ac:dyDescent="0.25">
      <c r="A416" t="s">
        <v>101</v>
      </c>
      <c r="B416" t="s">
        <v>23</v>
      </c>
      <c r="C416" t="s">
        <v>63</v>
      </c>
      <c r="D416" t="s">
        <v>24</v>
      </c>
      <c r="E416" s="7">
        <v>45576</v>
      </c>
      <c r="F416" t="s">
        <v>26</v>
      </c>
      <c r="G416" s="9">
        <v>3353.92</v>
      </c>
      <c r="H416" s="13">
        <v>46671</v>
      </c>
      <c r="I416" s="10" t="s">
        <v>27</v>
      </c>
      <c r="J416" t="s">
        <v>57</v>
      </c>
      <c r="K416" s="6">
        <v>2024</v>
      </c>
      <c r="L416" t="s">
        <v>33</v>
      </c>
      <c r="M416" s="12">
        <v>13.92</v>
      </c>
      <c r="N416" t="s">
        <v>28</v>
      </c>
    </row>
    <row r="417" spans="1:14" x14ac:dyDescent="0.25">
      <c r="A417" t="s">
        <v>113</v>
      </c>
      <c r="B417" t="s">
        <v>46</v>
      </c>
      <c r="C417" t="s">
        <v>53</v>
      </c>
      <c r="D417" t="s">
        <v>24</v>
      </c>
      <c r="E417" s="7">
        <v>45576</v>
      </c>
      <c r="F417" t="s">
        <v>17</v>
      </c>
      <c r="G417" s="9">
        <v>9936.17</v>
      </c>
      <c r="H417" s="13">
        <v>97923</v>
      </c>
      <c r="I417" s="10" t="s">
        <v>19</v>
      </c>
      <c r="J417" t="s">
        <v>57</v>
      </c>
      <c r="K417" s="6">
        <v>2024</v>
      </c>
      <c r="L417" t="s">
        <v>38</v>
      </c>
      <c r="M417" s="12">
        <v>9.86</v>
      </c>
      <c r="N417" t="s">
        <v>21</v>
      </c>
    </row>
    <row r="418" spans="1:14" x14ac:dyDescent="0.25">
      <c r="A418" t="s">
        <v>176</v>
      </c>
      <c r="B418" t="s">
        <v>70</v>
      </c>
      <c r="C418" t="s">
        <v>63</v>
      </c>
      <c r="D418" t="s">
        <v>24</v>
      </c>
      <c r="E418" s="7">
        <v>45576</v>
      </c>
      <c r="F418" t="s">
        <v>26</v>
      </c>
      <c r="G418" s="9">
        <v>10850.54</v>
      </c>
      <c r="H418" s="13">
        <v>121710</v>
      </c>
      <c r="I418" s="10" t="s">
        <v>27</v>
      </c>
      <c r="J418" t="s">
        <v>57</v>
      </c>
      <c r="K418" s="6">
        <v>2024</v>
      </c>
      <c r="L418" t="s">
        <v>38</v>
      </c>
      <c r="M418" s="12">
        <v>11.22</v>
      </c>
      <c r="N418" t="s">
        <v>28</v>
      </c>
    </row>
    <row r="419" spans="1:14" x14ac:dyDescent="0.25">
      <c r="A419" t="s">
        <v>740</v>
      </c>
      <c r="B419" t="s">
        <v>40</v>
      </c>
      <c r="C419" t="s">
        <v>63</v>
      </c>
      <c r="D419" t="s">
        <v>24</v>
      </c>
      <c r="E419" s="7">
        <v>45575</v>
      </c>
      <c r="F419" t="s">
        <v>56</v>
      </c>
      <c r="G419" s="9">
        <v>3856.41</v>
      </c>
      <c r="H419" s="13">
        <v>41287</v>
      </c>
      <c r="I419" s="10" t="s">
        <v>58</v>
      </c>
      <c r="J419" t="s">
        <v>18</v>
      </c>
      <c r="K419" s="6">
        <v>2024</v>
      </c>
      <c r="L419" t="s">
        <v>33</v>
      </c>
      <c r="M419" s="12">
        <v>10.71</v>
      </c>
      <c r="N419" t="s">
        <v>59</v>
      </c>
    </row>
    <row r="420" spans="1:14" x14ac:dyDescent="0.25">
      <c r="A420" t="s">
        <v>716</v>
      </c>
      <c r="B420" t="s">
        <v>46</v>
      </c>
      <c r="C420" t="s">
        <v>14</v>
      </c>
      <c r="D420" t="s">
        <v>24</v>
      </c>
      <c r="E420" s="7">
        <v>45570</v>
      </c>
      <c r="F420" t="s">
        <v>48</v>
      </c>
      <c r="G420" s="9">
        <v>3571.15</v>
      </c>
      <c r="H420" s="13">
        <v>49502</v>
      </c>
      <c r="I420" s="10" t="s">
        <v>27</v>
      </c>
      <c r="J420" t="s">
        <v>18</v>
      </c>
      <c r="K420" s="6">
        <v>2024</v>
      </c>
      <c r="L420" t="s">
        <v>33</v>
      </c>
      <c r="M420" s="12">
        <v>13.86</v>
      </c>
      <c r="N420" t="s">
        <v>49</v>
      </c>
    </row>
    <row r="421" spans="1:14" x14ac:dyDescent="0.25">
      <c r="A421" t="s">
        <v>215</v>
      </c>
      <c r="B421" t="s">
        <v>70</v>
      </c>
      <c r="C421" t="s">
        <v>63</v>
      </c>
      <c r="D421" t="s">
        <v>54</v>
      </c>
      <c r="E421" s="7">
        <v>45568</v>
      </c>
      <c r="F421" t="s">
        <v>17</v>
      </c>
      <c r="G421" s="9">
        <v>3263.73</v>
      </c>
      <c r="H421" s="13">
        <v>2965</v>
      </c>
      <c r="I421" s="10" t="s">
        <v>19</v>
      </c>
      <c r="J421" t="s">
        <v>18</v>
      </c>
      <c r="K421" s="6">
        <v>2024</v>
      </c>
      <c r="L421" t="s">
        <v>33</v>
      </c>
      <c r="M421" s="12">
        <v>0.91</v>
      </c>
      <c r="N421" t="s">
        <v>21</v>
      </c>
    </row>
    <row r="422" spans="1:14" x14ac:dyDescent="0.25">
      <c r="A422" t="s">
        <v>241</v>
      </c>
      <c r="B422" t="s">
        <v>13</v>
      </c>
      <c r="C422" t="s">
        <v>63</v>
      </c>
      <c r="D422" t="s">
        <v>54</v>
      </c>
      <c r="E422" s="7">
        <v>45566</v>
      </c>
      <c r="F422" t="s">
        <v>17</v>
      </c>
      <c r="G422" s="9">
        <v>287.83999999999997</v>
      </c>
      <c r="H422" s="13">
        <v>35034</v>
      </c>
      <c r="I422" s="10" t="s">
        <v>19</v>
      </c>
      <c r="J422" t="s">
        <v>57</v>
      </c>
      <c r="K422" s="6">
        <v>2024</v>
      </c>
      <c r="L422" t="s">
        <v>20</v>
      </c>
      <c r="M422" s="12">
        <v>121.71</v>
      </c>
      <c r="N422" t="s">
        <v>21</v>
      </c>
    </row>
    <row r="423" spans="1:14" x14ac:dyDescent="0.25">
      <c r="A423" t="s">
        <v>526</v>
      </c>
      <c r="B423" t="s">
        <v>70</v>
      </c>
      <c r="C423" t="s">
        <v>53</v>
      </c>
      <c r="D423" t="s">
        <v>24</v>
      </c>
      <c r="E423" s="7">
        <v>45547</v>
      </c>
      <c r="F423" t="s">
        <v>48</v>
      </c>
      <c r="G423" s="9">
        <v>2702.72</v>
      </c>
      <c r="H423" s="13">
        <v>34067</v>
      </c>
      <c r="I423" s="10" t="s">
        <v>27</v>
      </c>
      <c r="J423" t="s">
        <v>57</v>
      </c>
      <c r="K423" s="6">
        <v>2024</v>
      </c>
      <c r="L423" t="s">
        <v>33</v>
      </c>
      <c r="M423" s="12">
        <v>12.6</v>
      </c>
      <c r="N423" t="s">
        <v>49</v>
      </c>
    </row>
    <row r="424" spans="1:14" x14ac:dyDescent="0.25">
      <c r="A424" t="s">
        <v>515</v>
      </c>
      <c r="B424" t="s">
        <v>35</v>
      </c>
      <c r="C424" t="s">
        <v>14</v>
      </c>
      <c r="D424" t="s">
        <v>31</v>
      </c>
      <c r="E424" s="7">
        <v>45546</v>
      </c>
      <c r="F424" t="s">
        <v>56</v>
      </c>
      <c r="G424" s="9">
        <v>1696.13</v>
      </c>
      <c r="H424" s="13">
        <v>14933</v>
      </c>
      <c r="I424" s="10" t="s">
        <v>58</v>
      </c>
      <c r="J424" t="s">
        <v>18</v>
      </c>
      <c r="K424" s="6">
        <v>2024</v>
      </c>
      <c r="L424" t="s">
        <v>20</v>
      </c>
      <c r="M424" s="12">
        <v>8.8000000000000007</v>
      </c>
      <c r="N424" t="s">
        <v>59</v>
      </c>
    </row>
    <row r="425" spans="1:14" x14ac:dyDescent="0.25">
      <c r="A425" t="s">
        <v>429</v>
      </c>
      <c r="B425" t="s">
        <v>40</v>
      </c>
      <c r="C425" t="s">
        <v>14</v>
      </c>
      <c r="D425" t="s">
        <v>24</v>
      </c>
      <c r="E425" s="7">
        <v>45545</v>
      </c>
      <c r="F425" t="s">
        <v>17</v>
      </c>
      <c r="G425" s="9">
        <v>972.29</v>
      </c>
      <c r="H425" s="13">
        <v>8513</v>
      </c>
      <c r="I425" s="10" t="s">
        <v>19</v>
      </c>
      <c r="J425" t="s">
        <v>18</v>
      </c>
      <c r="K425" s="6">
        <v>2024</v>
      </c>
      <c r="L425" t="s">
        <v>20</v>
      </c>
      <c r="M425" s="12">
        <v>8.76</v>
      </c>
      <c r="N425" t="s">
        <v>21</v>
      </c>
    </row>
    <row r="426" spans="1:14" x14ac:dyDescent="0.25">
      <c r="A426" t="s">
        <v>262</v>
      </c>
      <c r="B426" t="s">
        <v>23</v>
      </c>
      <c r="C426" t="s">
        <v>63</v>
      </c>
      <c r="D426" t="s">
        <v>15</v>
      </c>
      <c r="E426" s="7">
        <v>45544</v>
      </c>
      <c r="F426" t="s">
        <v>56</v>
      </c>
      <c r="G426" s="9">
        <v>183.49</v>
      </c>
      <c r="H426" s="13">
        <v>2112</v>
      </c>
      <c r="I426" s="10" t="s">
        <v>58</v>
      </c>
      <c r="J426" t="s">
        <v>18</v>
      </c>
      <c r="K426" s="6">
        <v>2024</v>
      </c>
      <c r="L426" t="s">
        <v>20</v>
      </c>
      <c r="M426" s="12">
        <v>11.51</v>
      </c>
      <c r="N426" t="s">
        <v>59</v>
      </c>
    </row>
    <row r="427" spans="1:14" x14ac:dyDescent="0.25">
      <c r="A427" t="s">
        <v>623</v>
      </c>
      <c r="B427" t="s">
        <v>66</v>
      </c>
      <c r="C427" t="s">
        <v>53</v>
      </c>
      <c r="D427" t="s">
        <v>24</v>
      </c>
      <c r="E427" s="7">
        <v>45544</v>
      </c>
      <c r="F427" t="s">
        <v>26</v>
      </c>
      <c r="G427" s="9">
        <v>7282.58</v>
      </c>
      <c r="H427" s="13">
        <v>106568</v>
      </c>
      <c r="I427" s="10" t="s">
        <v>27</v>
      </c>
      <c r="J427" t="s">
        <v>18</v>
      </c>
      <c r="K427" s="6">
        <v>2024</v>
      </c>
      <c r="L427" t="s">
        <v>38</v>
      </c>
      <c r="M427" s="12">
        <v>14.63</v>
      </c>
      <c r="N427" t="s">
        <v>28</v>
      </c>
    </row>
    <row r="428" spans="1:14" x14ac:dyDescent="0.25">
      <c r="A428" t="s">
        <v>39</v>
      </c>
      <c r="B428" t="s">
        <v>40</v>
      </c>
      <c r="C428" t="s">
        <v>41</v>
      </c>
      <c r="D428" t="s">
        <v>31</v>
      </c>
      <c r="E428" s="7">
        <v>45542</v>
      </c>
      <c r="F428" t="s">
        <v>17</v>
      </c>
      <c r="G428" s="9">
        <v>532.26</v>
      </c>
      <c r="H428" s="13">
        <v>6963</v>
      </c>
      <c r="I428" s="10" t="s">
        <v>19</v>
      </c>
      <c r="J428" t="s">
        <v>18</v>
      </c>
      <c r="K428" s="6">
        <v>2024</v>
      </c>
      <c r="L428" t="s">
        <v>20</v>
      </c>
      <c r="M428" s="12">
        <v>13.08</v>
      </c>
      <c r="N428" t="s">
        <v>21</v>
      </c>
    </row>
    <row r="429" spans="1:14" x14ac:dyDescent="0.25">
      <c r="A429" t="s">
        <v>42</v>
      </c>
      <c r="B429" t="s">
        <v>40</v>
      </c>
      <c r="C429" t="s">
        <v>36</v>
      </c>
      <c r="D429" t="s">
        <v>24</v>
      </c>
      <c r="E429" s="7">
        <v>45542</v>
      </c>
      <c r="F429" t="s">
        <v>17</v>
      </c>
      <c r="G429" s="9">
        <v>914.32</v>
      </c>
      <c r="H429" s="13">
        <v>12675</v>
      </c>
      <c r="I429" s="10" t="s">
        <v>19</v>
      </c>
      <c r="J429" t="s">
        <v>18</v>
      </c>
      <c r="K429" s="6">
        <v>2024</v>
      </c>
      <c r="L429" t="s">
        <v>20</v>
      </c>
      <c r="M429" s="12">
        <v>13.86</v>
      </c>
      <c r="N429" t="s">
        <v>21</v>
      </c>
    </row>
    <row r="430" spans="1:14" x14ac:dyDescent="0.25">
      <c r="A430" t="s">
        <v>208</v>
      </c>
      <c r="B430" t="s">
        <v>40</v>
      </c>
      <c r="C430" t="s">
        <v>14</v>
      </c>
      <c r="D430" t="s">
        <v>24</v>
      </c>
      <c r="E430" s="7">
        <v>45542</v>
      </c>
      <c r="F430" t="s">
        <v>56</v>
      </c>
      <c r="G430" s="9">
        <v>8269.7099999999991</v>
      </c>
      <c r="H430" s="13">
        <v>106638</v>
      </c>
      <c r="I430" s="10" t="s">
        <v>58</v>
      </c>
      <c r="J430" t="s">
        <v>18</v>
      </c>
      <c r="K430" s="6">
        <v>2024</v>
      </c>
      <c r="L430" t="s">
        <v>38</v>
      </c>
      <c r="M430" s="12">
        <v>12.89</v>
      </c>
      <c r="N430" t="s">
        <v>59</v>
      </c>
    </row>
    <row r="431" spans="1:14" x14ac:dyDescent="0.25">
      <c r="A431" t="s">
        <v>679</v>
      </c>
      <c r="B431" t="s">
        <v>40</v>
      </c>
      <c r="C431" t="s">
        <v>36</v>
      </c>
      <c r="D431" t="s">
        <v>24</v>
      </c>
      <c r="E431" s="7">
        <v>45542</v>
      </c>
      <c r="F431" t="s">
        <v>48</v>
      </c>
      <c r="G431" s="9">
        <v>11644.14</v>
      </c>
      <c r="H431" s="13">
        <v>131374</v>
      </c>
      <c r="I431" s="10" t="s">
        <v>27</v>
      </c>
      <c r="J431" t="s">
        <v>18</v>
      </c>
      <c r="K431" s="6">
        <v>2024</v>
      </c>
      <c r="L431" t="s">
        <v>38</v>
      </c>
      <c r="M431" s="12">
        <v>11.28</v>
      </c>
      <c r="N431" t="s">
        <v>49</v>
      </c>
    </row>
    <row r="432" spans="1:14" x14ac:dyDescent="0.25">
      <c r="A432" t="s">
        <v>473</v>
      </c>
      <c r="B432" t="s">
        <v>40</v>
      </c>
      <c r="C432" t="s">
        <v>14</v>
      </c>
      <c r="D432" t="s">
        <v>31</v>
      </c>
      <c r="E432" s="7">
        <v>45540</v>
      </c>
      <c r="F432" t="s">
        <v>26</v>
      </c>
      <c r="G432" s="9">
        <v>1042.54</v>
      </c>
      <c r="H432" s="13">
        <v>11801</v>
      </c>
      <c r="I432" s="10" t="s">
        <v>27</v>
      </c>
      <c r="J432" t="s">
        <v>18</v>
      </c>
      <c r="K432" s="6">
        <v>2024</v>
      </c>
      <c r="L432" t="s">
        <v>20</v>
      </c>
      <c r="M432" s="12">
        <v>11.32</v>
      </c>
      <c r="N432" t="s">
        <v>28</v>
      </c>
    </row>
    <row r="433" spans="1:14" x14ac:dyDescent="0.25">
      <c r="A433" t="s">
        <v>377</v>
      </c>
      <c r="B433" t="s">
        <v>70</v>
      </c>
      <c r="C433" t="s">
        <v>53</v>
      </c>
      <c r="D433" t="s">
        <v>24</v>
      </c>
      <c r="E433" s="7">
        <v>45538</v>
      </c>
      <c r="F433" t="s">
        <v>56</v>
      </c>
      <c r="G433" s="9">
        <v>3078.55</v>
      </c>
      <c r="H433" s="13">
        <v>42150</v>
      </c>
      <c r="I433" s="10" t="s">
        <v>58</v>
      </c>
      <c r="J433" t="s">
        <v>18</v>
      </c>
      <c r="K433" s="6">
        <v>2024</v>
      </c>
      <c r="L433" t="s">
        <v>33</v>
      </c>
      <c r="M433" s="12">
        <v>13.69</v>
      </c>
      <c r="N433" t="s">
        <v>59</v>
      </c>
    </row>
    <row r="434" spans="1:14" x14ac:dyDescent="0.25">
      <c r="A434" t="s">
        <v>374</v>
      </c>
      <c r="B434" t="s">
        <v>13</v>
      </c>
      <c r="C434" t="s">
        <v>41</v>
      </c>
      <c r="D434" t="s">
        <v>54</v>
      </c>
      <c r="E434" s="7">
        <v>45537</v>
      </c>
      <c r="F434" t="s">
        <v>26</v>
      </c>
      <c r="G434" s="9">
        <v>26.04</v>
      </c>
      <c r="H434" s="13">
        <v>309</v>
      </c>
      <c r="I434" s="10" t="s">
        <v>27</v>
      </c>
      <c r="J434" t="s">
        <v>18</v>
      </c>
      <c r="K434" s="6">
        <v>2024</v>
      </c>
      <c r="L434" t="s">
        <v>20</v>
      </c>
      <c r="M434" s="12">
        <v>11.88</v>
      </c>
      <c r="N434" t="s">
        <v>28</v>
      </c>
    </row>
    <row r="435" spans="1:14" x14ac:dyDescent="0.25">
      <c r="A435" t="s">
        <v>647</v>
      </c>
      <c r="B435" t="s">
        <v>70</v>
      </c>
      <c r="C435" t="s">
        <v>41</v>
      </c>
      <c r="D435" t="s">
        <v>24</v>
      </c>
      <c r="E435" s="7">
        <v>45536</v>
      </c>
      <c r="F435" t="s">
        <v>56</v>
      </c>
      <c r="G435" s="9">
        <v>3630.83</v>
      </c>
      <c r="H435" s="13">
        <v>48775</v>
      </c>
      <c r="I435" s="10" t="s">
        <v>58</v>
      </c>
      <c r="J435" t="s">
        <v>18</v>
      </c>
      <c r="K435" s="6">
        <v>2024</v>
      </c>
      <c r="L435" t="s">
        <v>33</v>
      </c>
      <c r="M435" s="12">
        <v>13.43</v>
      </c>
      <c r="N435" t="s">
        <v>59</v>
      </c>
    </row>
    <row r="436" spans="1:14" x14ac:dyDescent="0.25">
      <c r="A436" t="s">
        <v>221</v>
      </c>
      <c r="B436" t="s">
        <v>46</v>
      </c>
      <c r="C436" t="s">
        <v>53</v>
      </c>
      <c r="D436" t="s">
        <v>54</v>
      </c>
      <c r="E436" s="7">
        <v>45516</v>
      </c>
      <c r="F436" t="s">
        <v>17</v>
      </c>
      <c r="G436" s="9">
        <v>309.63</v>
      </c>
      <c r="H436" s="13">
        <v>4451</v>
      </c>
      <c r="I436" s="10" t="s">
        <v>19</v>
      </c>
      <c r="J436" t="s">
        <v>57</v>
      </c>
      <c r="K436" s="6">
        <v>2024</v>
      </c>
      <c r="L436" t="s">
        <v>20</v>
      </c>
      <c r="M436" s="12">
        <v>14.37</v>
      </c>
      <c r="N436" t="s">
        <v>21</v>
      </c>
    </row>
    <row r="437" spans="1:14" x14ac:dyDescent="0.25">
      <c r="A437" t="s">
        <v>276</v>
      </c>
      <c r="B437" t="s">
        <v>70</v>
      </c>
      <c r="C437" t="s">
        <v>14</v>
      </c>
      <c r="D437" t="s">
        <v>24</v>
      </c>
      <c r="E437" s="7">
        <v>45516</v>
      </c>
      <c r="F437" t="s">
        <v>56</v>
      </c>
      <c r="G437" s="9">
        <v>5407.52</v>
      </c>
      <c r="H437" s="13">
        <v>71807</v>
      </c>
      <c r="I437" s="10" t="s">
        <v>58</v>
      </c>
      <c r="J437" t="s">
        <v>57</v>
      </c>
      <c r="K437" s="6">
        <v>2024</v>
      </c>
      <c r="L437" t="s">
        <v>33</v>
      </c>
      <c r="M437" s="12">
        <v>13.28</v>
      </c>
      <c r="N437" t="s">
        <v>59</v>
      </c>
    </row>
    <row r="438" spans="1:14" x14ac:dyDescent="0.25">
      <c r="A438" t="s">
        <v>77</v>
      </c>
      <c r="B438" t="s">
        <v>70</v>
      </c>
      <c r="C438" t="s">
        <v>36</v>
      </c>
      <c r="D438" t="s">
        <v>24</v>
      </c>
      <c r="E438" s="7">
        <v>45515</v>
      </c>
      <c r="F438" t="s">
        <v>48</v>
      </c>
      <c r="G438" s="9">
        <v>10559.2</v>
      </c>
      <c r="H438" s="13">
        <v>147745</v>
      </c>
      <c r="I438" s="10" t="s">
        <v>27</v>
      </c>
      <c r="J438" t="s">
        <v>18</v>
      </c>
      <c r="K438" s="6">
        <v>2024</v>
      </c>
      <c r="L438" t="s">
        <v>38</v>
      </c>
      <c r="M438" s="12">
        <v>13.99</v>
      </c>
      <c r="N438" t="s">
        <v>49</v>
      </c>
    </row>
    <row r="439" spans="1:14" x14ac:dyDescent="0.25">
      <c r="A439" t="s">
        <v>586</v>
      </c>
      <c r="B439" t="s">
        <v>40</v>
      </c>
      <c r="C439" t="s">
        <v>63</v>
      </c>
      <c r="D439" t="s">
        <v>24</v>
      </c>
      <c r="E439" s="7">
        <v>45514</v>
      </c>
      <c r="F439" t="s">
        <v>26</v>
      </c>
      <c r="G439" s="9">
        <v>4874.3500000000004</v>
      </c>
      <c r="H439" s="13">
        <v>45970</v>
      </c>
      <c r="I439" s="10" t="s">
        <v>27</v>
      </c>
      <c r="J439" t="s">
        <v>18</v>
      </c>
      <c r="K439" s="6">
        <v>2024</v>
      </c>
      <c r="L439" t="s">
        <v>33</v>
      </c>
      <c r="M439" s="12">
        <v>9.43</v>
      </c>
      <c r="N439" t="s">
        <v>28</v>
      </c>
    </row>
    <row r="440" spans="1:14" x14ac:dyDescent="0.25">
      <c r="A440" t="s">
        <v>115</v>
      </c>
      <c r="B440" t="s">
        <v>30</v>
      </c>
      <c r="C440" t="s">
        <v>36</v>
      </c>
      <c r="D440" t="s">
        <v>31</v>
      </c>
      <c r="E440" s="7">
        <v>45512</v>
      </c>
      <c r="F440" t="s">
        <v>26</v>
      </c>
      <c r="G440" s="9">
        <v>4167.34</v>
      </c>
      <c r="H440" s="13">
        <v>44303</v>
      </c>
      <c r="I440" s="10" t="s">
        <v>27</v>
      </c>
      <c r="J440" t="s">
        <v>18</v>
      </c>
      <c r="K440" s="6">
        <v>2024</v>
      </c>
      <c r="L440" t="s">
        <v>33</v>
      </c>
      <c r="M440" s="12">
        <v>10.63</v>
      </c>
      <c r="N440" t="s">
        <v>28</v>
      </c>
    </row>
    <row r="441" spans="1:14" x14ac:dyDescent="0.25">
      <c r="A441" t="s">
        <v>463</v>
      </c>
      <c r="B441" t="s">
        <v>35</v>
      </c>
      <c r="C441" t="s">
        <v>36</v>
      </c>
      <c r="D441" t="s">
        <v>15</v>
      </c>
      <c r="E441" s="7">
        <v>45511</v>
      </c>
      <c r="F441" t="s">
        <v>56</v>
      </c>
      <c r="G441" s="9">
        <v>55.79</v>
      </c>
      <c r="H441" s="13">
        <v>602</v>
      </c>
      <c r="I441" s="10" t="s">
        <v>58</v>
      </c>
      <c r="J441" t="s">
        <v>18</v>
      </c>
      <c r="K441" s="6">
        <v>2024</v>
      </c>
      <c r="L441" t="s">
        <v>20</v>
      </c>
      <c r="M441" s="12">
        <v>10.79</v>
      </c>
      <c r="N441" t="s">
        <v>59</v>
      </c>
    </row>
    <row r="442" spans="1:14" x14ac:dyDescent="0.25">
      <c r="A442" t="s">
        <v>554</v>
      </c>
      <c r="B442" t="s">
        <v>35</v>
      </c>
      <c r="C442" t="s">
        <v>63</v>
      </c>
      <c r="D442" t="s">
        <v>24</v>
      </c>
      <c r="E442" s="7">
        <v>45510</v>
      </c>
      <c r="F442" t="s">
        <v>26</v>
      </c>
      <c r="G442" s="9">
        <v>1679.76</v>
      </c>
      <c r="H442" s="13">
        <v>17252</v>
      </c>
      <c r="I442" s="10" t="s">
        <v>27</v>
      </c>
      <c r="J442" t="s">
        <v>57</v>
      </c>
      <c r="K442" s="6">
        <v>2024</v>
      </c>
      <c r="L442" t="s">
        <v>20</v>
      </c>
      <c r="M442" s="12">
        <v>10.27</v>
      </c>
      <c r="N442" t="s">
        <v>28</v>
      </c>
    </row>
    <row r="443" spans="1:14" x14ac:dyDescent="0.25">
      <c r="A443" t="s">
        <v>672</v>
      </c>
      <c r="B443" t="s">
        <v>40</v>
      </c>
      <c r="C443" t="s">
        <v>14</v>
      </c>
      <c r="D443" t="s">
        <v>24</v>
      </c>
      <c r="E443" s="7">
        <v>45510</v>
      </c>
      <c r="F443" t="s">
        <v>56</v>
      </c>
      <c r="G443" s="9">
        <v>4148.93</v>
      </c>
      <c r="H443" s="13">
        <v>80857</v>
      </c>
      <c r="I443" s="10" t="s">
        <v>58</v>
      </c>
      <c r="J443" t="s">
        <v>18</v>
      </c>
      <c r="K443" s="6">
        <v>2024</v>
      </c>
      <c r="L443" t="s">
        <v>33</v>
      </c>
      <c r="M443" s="12">
        <v>19.489999999999998</v>
      </c>
      <c r="N443" t="s">
        <v>59</v>
      </c>
    </row>
    <row r="444" spans="1:14" x14ac:dyDescent="0.25">
      <c r="A444" t="s">
        <v>248</v>
      </c>
      <c r="B444" t="s">
        <v>70</v>
      </c>
      <c r="C444" t="s">
        <v>41</v>
      </c>
      <c r="D444" t="s">
        <v>31</v>
      </c>
      <c r="E444" s="7">
        <v>45509</v>
      </c>
      <c r="F444" t="s">
        <v>56</v>
      </c>
      <c r="G444" s="9">
        <v>2688.71</v>
      </c>
      <c r="H444" s="13">
        <v>28377</v>
      </c>
      <c r="I444" s="10" t="s">
        <v>58</v>
      </c>
      <c r="J444" t="s">
        <v>57</v>
      </c>
      <c r="K444" s="6">
        <v>2024</v>
      </c>
      <c r="L444" t="s">
        <v>33</v>
      </c>
      <c r="M444" s="12">
        <v>10.55</v>
      </c>
      <c r="N444" t="s">
        <v>59</v>
      </c>
    </row>
    <row r="445" spans="1:14" x14ac:dyDescent="0.25">
      <c r="A445" t="s">
        <v>243</v>
      </c>
      <c r="B445" t="s">
        <v>46</v>
      </c>
      <c r="C445" t="s">
        <v>53</v>
      </c>
      <c r="D445" t="s">
        <v>24</v>
      </c>
      <c r="E445" s="7">
        <v>45508</v>
      </c>
      <c r="F445" t="s">
        <v>26</v>
      </c>
      <c r="G445" s="9">
        <v>4915.75</v>
      </c>
      <c r="H445" s="13">
        <v>60917</v>
      </c>
      <c r="I445" s="10" t="s">
        <v>27</v>
      </c>
      <c r="J445" t="s">
        <v>18</v>
      </c>
      <c r="K445" s="6">
        <v>2024</v>
      </c>
      <c r="L445" t="s">
        <v>33</v>
      </c>
      <c r="M445" s="12">
        <v>12.39</v>
      </c>
      <c r="N445" t="s">
        <v>28</v>
      </c>
    </row>
    <row r="446" spans="1:14" x14ac:dyDescent="0.25">
      <c r="A446" t="s">
        <v>407</v>
      </c>
      <c r="B446" t="s">
        <v>13</v>
      </c>
      <c r="C446" t="s">
        <v>41</v>
      </c>
      <c r="D446" t="s">
        <v>24</v>
      </c>
      <c r="E446" s="7">
        <v>45508</v>
      </c>
      <c r="F446" t="s">
        <v>26</v>
      </c>
      <c r="G446" s="9">
        <v>7154.87</v>
      </c>
      <c r="H446" s="13">
        <v>60422</v>
      </c>
      <c r="I446" s="10" t="s">
        <v>27</v>
      </c>
      <c r="J446" t="s">
        <v>18</v>
      </c>
      <c r="K446" s="6">
        <v>2024</v>
      </c>
      <c r="L446" t="s">
        <v>38</v>
      </c>
      <c r="M446" s="12">
        <v>8.44</v>
      </c>
      <c r="N446" t="s">
        <v>28</v>
      </c>
    </row>
    <row r="447" spans="1:14" x14ac:dyDescent="0.25">
      <c r="A447" t="s">
        <v>720</v>
      </c>
      <c r="B447" t="s">
        <v>40</v>
      </c>
      <c r="C447" t="s">
        <v>53</v>
      </c>
      <c r="D447" t="s">
        <v>24</v>
      </c>
      <c r="E447" s="7">
        <v>45507</v>
      </c>
      <c r="F447" t="s">
        <v>48</v>
      </c>
      <c r="G447" s="9">
        <v>10629.74</v>
      </c>
      <c r="H447" s="13">
        <v>133115</v>
      </c>
      <c r="I447" s="10" t="s">
        <v>27</v>
      </c>
      <c r="J447" t="s">
        <v>18</v>
      </c>
      <c r="K447" s="6">
        <v>2024</v>
      </c>
      <c r="L447" t="s">
        <v>38</v>
      </c>
      <c r="M447" s="12">
        <v>12.52</v>
      </c>
      <c r="N447" t="s">
        <v>49</v>
      </c>
    </row>
    <row r="448" spans="1:14" x14ac:dyDescent="0.25">
      <c r="A448" t="s">
        <v>187</v>
      </c>
      <c r="B448" t="s">
        <v>66</v>
      </c>
      <c r="C448" t="s">
        <v>41</v>
      </c>
      <c r="D448" t="s">
        <v>24</v>
      </c>
      <c r="E448" s="7">
        <v>45506</v>
      </c>
      <c r="F448" t="s">
        <v>56</v>
      </c>
      <c r="G448" s="9">
        <v>4860.17</v>
      </c>
      <c r="H448" s="13">
        <v>72482</v>
      </c>
      <c r="I448" s="10" t="s">
        <v>58</v>
      </c>
      <c r="J448" t="s">
        <v>57</v>
      </c>
      <c r="K448" s="6">
        <v>2024</v>
      </c>
      <c r="L448" t="s">
        <v>33</v>
      </c>
      <c r="M448" s="12">
        <v>14.91</v>
      </c>
      <c r="N448" t="s">
        <v>59</v>
      </c>
    </row>
    <row r="449" spans="1:14" x14ac:dyDescent="0.25">
      <c r="A449" t="s">
        <v>611</v>
      </c>
      <c r="B449" t="s">
        <v>23</v>
      </c>
      <c r="C449" t="s">
        <v>14</v>
      </c>
      <c r="D449" t="s">
        <v>24</v>
      </c>
      <c r="E449" s="7">
        <v>45482</v>
      </c>
      <c r="F449" t="s">
        <v>56</v>
      </c>
      <c r="G449" s="9">
        <v>5903.99</v>
      </c>
      <c r="H449" s="13">
        <v>50450</v>
      </c>
      <c r="I449" s="10" t="s">
        <v>58</v>
      </c>
      <c r="J449" t="s">
        <v>18</v>
      </c>
      <c r="K449" s="6">
        <v>2024</v>
      </c>
      <c r="L449" t="s">
        <v>33</v>
      </c>
      <c r="M449" s="12">
        <v>8.5500000000000007</v>
      </c>
      <c r="N449" t="s">
        <v>59</v>
      </c>
    </row>
    <row r="450" spans="1:14" x14ac:dyDescent="0.25">
      <c r="A450" t="s">
        <v>523</v>
      </c>
      <c r="B450" t="s">
        <v>35</v>
      </c>
      <c r="C450" t="s">
        <v>63</v>
      </c>
      <c r="D450" t="s">
        <v>24</v>
      </c>
      <c r="E450" s="7">
        <v>45479</v>
      </c>
      <c r="F450" t="s">
        <v>26</v>
      </c>
      <c r="G450" s="9">
        <v>9043.1299999999992</v>
      </c>
      <c r="H450" s="13">
        <v>115072</v>
      </c>
      <c r="I450" s="10" t="s">
        <v>27</v>
      </c>
      <c r="J450" t="s">
        <v>57</v>
      </c>
      <c r="K450" s="6">
        <v>2024</v>
      </c>
      <c r="L450" t="s">
        <v>38</v>
      </c>
      <c r="M450" s="12">
        <v>12.72</v>
      </c>
      <c r="N450" t="s">
        <v>28</v>
      </c>
    </row>
    <row r="451" spans="1:14" x14ac:dyDescent="0.25">
      <c r="A451" t="s">
        <v>340</v>
      </c>
      <c r="B451" t="s">
        <v>30</v>
      </c>
      <c r="C451" t="s">
        <v>41</v>
      </c>
      <c r="D451" t="s">
        <v>24</v>
      </c>
      <c r="E451" s="7">
        <v>45474</v>
      </c>
      <c r="F451" t="s">
        <v>56</v>
      </c>
      <c r="G451" s="9">
        <v>6084.88</v>
      </c>
      <c r="H451" s="13">
        <v>74902</v>
      </c>
      <c r="I451" s="10" t="s">
        <v>58</v>
      </c>
      <c r="J451" t="s">
        <v>57</v>
      </c>
      <c r="K451" s="6">
        <v>2024</v>
      </c>
      <c r="L451" t="s">
        <v>33</v>
      </c>
      <c r="M451" s="12">
        <v>12.31</v>
      </c>
      <c r="N451" t="s">
        <v>59</v>
      </c>
    </row>
    <row r="452" spans="1:14" x14ac:dyDescent="0.25">
      <c r="A452" t="s">
        <v>107</v>
      </c>
      <c r="B452" t="s">
        <v>13</v>
      </c>
      <c r="C452" t="s">
        <v>41</v>
      </c>
      <c r="D452" t="s">
        <v>54</v>
      </c>
      <c r="E452" s="7">
        <v>45455</v>
      </c>
      <c r="F452" t="s">
        <v>48</v>
      </c>
      <c r="G452" s="9">
        <v>235.35</v>
      </c>
      <c r="H452" s="13">
        <v>3318</v>
      </c>
      <c r="I452" s="10" t="s">
        <v>27</v>
      </c>
      <c r="J452" t="s">
        <v>18</v>
      </c>
      <c r="K452" s="6">
        <v>2024</v>
      </c>
      <c r="L452" t="s">
        <v>20</v>
      </c>
      <c r="M452" s="12">
        <v>14.1</v>
      </c>
      <c r="N452" t="s">
        <v>49</v>
      </c>
    </row>
    <row r="453" spans="1:14" x14ac:dyDescent="0.25">
      <c r="A453" t="s">
        <v>290</v>
      </c>
      <c r="B453" t="s">
        <v>30</v>
      </c>
      <c r="C453" t="s">
        <v>63</v>
      </c>
      <c r="D453" t="s">
        <v>54</v>
      </c>
      <c r="E453" s="7">
        <v>45455</v>
      </c>
      <c r="F453" t="s">
        <v>17</v>
      </c>
      <c r="G453" s="9">
        <v>242.3</v>
      </c>
      <c r="H453" s="13">
        <v>2148</v>
      </c>
      <c r="I453" s="10" t="s">
        <v>19</v>
      </c>
      <c r="J453" t="s">
        <v>18</v>
      </c>
      <c r="K453" s="6">
        <v>2024</v>
      </c>
      <c r="L453" t="s">
        <v>20</v>
      </c>
      <c r="M453" s="12">
        <v>8.8699999999999992</v>
      </c>
      <c r="N453" t="s">
        <v>21</v>
      </c>
    </row>
    <row r="454" spans="1:14" x14ac:dyDescent="0.25">
      <c r="A454" t="s">
        <v>330</v>
      </c>
      <c r="B454" t="s">
        <v>35</v>
      </c>
      <c r="C454" t="s">
        <v>63</v>
      </c>
      <c r="D454" t="s">
        <v>24</v>
      </c>
      <c r="E454" s="7">
        <v>45453</v>
      </c>
      <c r="F454" t="s">
        <v>48</v>
      </c>
      <c r="G454" s="9">
        <v>10753.88</v>
      </c>
      <c r="H454" s="13">
        <v>157498</v>
      </c>
      <c r="I454" s="10" t="s">
        <v>27</v>
      </c>
      <c r="J454" t="s">
        <v>57</v>
      </c>
      <c r="K454" s="6">
        <v>2024</v>
      </c>
      <c r="L454" t="s">
        <v>38</v>
      </c>
      <c r="M454" s="12">
        <v>14.65</v>
      </c>
      <c r="N454" t="s">
        <v>49</v>
      </c>
    </row>
    <row r="455" spans="1:14" x14ac:dyDescent="0.25">
      <c r="A455" t="s">
        <v>606</v>
      </c>
      <c r="B455" t="s">
        <v>70</v>
      </c>
      <c r="C455" t="s">
        <v>14</v>
      </c>
      <c r="D455" t="s">
        <v>31</v>
      </c>
      <c r="E455" s="7">
        <v>45453</v>
      </c>
      <c r="F455" t="s">
        <v>26</v>
      </c>
      <c r="G455" s="9">
        <v>1700.78</v>
      </c>
      <c r="H455" s="13">
        <v>18334</v>
      </c>
      <c r="I455" s="10" t="s">
        <v>27</v>
      </c>
      <c r="J455" t="s">
        <v>18</v>
      </c>
      <c r="K455" s="6">
        <v>2024</v>
      </c>
      <c r="L455" t="s">
        <v>20</v>
      </c>
      <c r="M455" s="12">
        <v>10.78</v>
      </c>
      <c r="N455" t="s">
        <v>28</v>
      </c>
    </row>
    <row r="456" spans="1:14" x14ac:dyDescent="0.25">
      <c r="A456" t="s">
        <v>684</v>
      </c>
      <c r="B456" t="s">
        <v>40</v>
      </c>
      <c r="C456" t="s">
        <v>36</v>
      </c>
      <c r="D456" t="s">
        <v>24</v>
      </c>
      <c r="E456" s="7">
        <v>45453</v>
      </c>
      <c r="F456" t="s">
        <v>48</v>
      </c>
      <c r="G456" s="9">
        <v>4192.17</v>
      </c>
      <c r="H456" s="13">
        <v>50893</v>
      </c>
      <c r="I456" s="10" t="s">
        <v>27</v>
      </c>
      <c r="J456" t="s">
        <v>57</v>
      </c>
      <c r="K456" s="6">
        <v>2024</v>
      </c>
      <c r="L456" t="s">
        <v>33</v>
      </c>
      <c r="M456" s="12">
        <v>12.14</v>
      </c>
      <c r="N456" t="s">
        <v>49</v>
      </c>
    </row>
    <row r="457" spans="1:14" x14ac:dyDescent="0.25">
      <c r="A457" t="s">
        <v>114</v>
      </c>
      <c r="B457" t="s">
        <v>70</v>
      </c>
      <c r="C457" t="s">
        <v>36</v>
      </c>
      <c r="D457" t="s">
        <v>24</v>
      </c>
      <c r="E457" s="7">
        <v>45451</v>
      </c>
      <c r="F457" t="s">
        <v>56</v>
      </c>
      <c r="G457" s="9">
        <v>10520.21</v>
      </c>
      <c r="H457" s="13">
        <v>130059</v>
      </c>
      <c r="I457" s="10" t="s">
        <v>58</v>
      </c>
      <c r="J457" t="s">
        <v>18</v>
      </c>
      <c r="K457" s="6">
        <v>2024</v>
      </c>
      <c r="L457" t="s">
        <v>38</v>
      </c>
      <c r="M457" s="12">
        <v>12.36</v>
      </c>
      <c r="N457" t="s">
        <v>59</v>
      </c>
    </row>
    <row r="458" spans="1:14" x14ac:dyDescent="0.25">
      <c r="A458" t="s">
        <v>715</v>
      </c>
      <c r="B458" t="s">
        <v>70</v>
      </c>
      <c r="C458" t="s">
        <v>36</v>
      </c>
      <c r="D458" t="s">
        <v>15</v>
      </c>
      <c r="E458" s="7">
        <v>45451</v>
      </c>
      <c r="F458" t="s">
        <v>17</v>
      </c>
      <c r="G458" s="9">
        <v>10.32</v>
      </c>
      <c r="H458" s="13">
        <v>141</v>
      </c>
      <c r="I458" s="10" t="s">
        <v>19</v>
      </c>
      <c r="J458" t="s">
        <v>18</v>
      </c>
      <c r="K458" s="6">
        <v>2024</v>
      </c>
      <c r="L458" t="s">
        <v>20</v>
      </c>
      <c r="M458" s="12">
        <v>13.68</v>
      </c>
      <c r="N458" t="s">
        <v>21</v>
      </c>
    </row>
    <row r="459" spans="1:14" x14ac:dyDescent="0.25">
      <c r="A459" t="s">
        <v>582</v>
      </c>
      <c r="B459" t="s">
        <v>40</v>
      </c>
      <c r="C459" t="s">
        <v>41</v>
      </c>
      <c r="D459" t="s">
        <v>24</v>
      </c>
      <c r="E459" s="7">
        <v>45450</v>
      </c>
      <c r="F459" t="s">
        <v>56</v>
      </c>
      <c r="G459" s="9">
        <v>298.06</v>
      </c>
      <c r="H459" s="13">
        <v>2845</v>
      </c>
      <c r="I459" s="10" t="s">
        <v>58</v>
      </c>
      <c r="J459" t="s">
        <v>18</v>
      </c>
      <c r="K459" s="6">
        <v>2024</v>
      </c>
      <c r="L459" t="s">
        <v>20</v>
      </c>
      <c r="M459" s="12">
        <v>9.5399999999999991</v>
      </c>
      <c r="N459" t="s">
        <v>59</v>
      </c>
    </row>
    <row r="460" spans="1:14" x14ac:dyDescent="0.25">
      <c r="A460" t="s">
        <v>288</v>
      </c>
      <c r="B460" t="s">
        <v>30</v>
      </c>
      <c r="C460" t="s">
        <v>63</v>
      </c>
      <c r="D460" t="s">
        <v>24</v>
      </c>
      <c r="E460" s="7">
        <v>45448</v>
      </c>
      <c r="F460" t="s">
        <v>26</v>
      </c>
      <c r="G460" s="9">
        <v>3689.08</v>
      </c>
      <c r="H460" s="13">
        <v>44303</v>
      </c>
      <c r="I460" s="10" t="s">
        <v>27</v>
      </c>
      <c r="J460" t="s">
        <v>18</v>
      </c>
      <c r="K460" s="6">
        <v>2024</v>
      </c>
      <c r="L460" t="s">
        <v>33</v>
      </c>
      <c r="M460" s="12">
        <v>12.01</v>
      </c>
      <c r="N460" t="s">
        <v>28</v>
      </c>
    </row>
    <row r="461" spans="1:14" x14ac:dyDescent="0.25">
      <c r="A461" t="s">
        <v>351</v>
      </c>
      <c r="B461" t="s">
        <v>40</v>
      </c>
      <c r="C461" t="s">
        <v>36</v>
      </c>
      <c r="D461" t="s">
        <v>31</v>
      </c>
      <c r="E461" s="7">
        <v>45448</v>
      </c>
      <c r="F461" t="s">
        <v>17</v>
      </c>
      <c r="G461" s="9">
        <v>3263.73</v>
      </c>
      <c r="H461" s="13">
        <v>25997</v>
      </c>
      <c r="I461" s="10" t="s">
        <v>19</v>
      </c>
      <c r="J461" t="s">
        <v>18</v>
      </c>
      <c r="K461" s="6">
        <v>2024</v>
      </c>
      <c r="L461" t="s">
        <v>33</v>
      </c>
      <c r="M461" s="12">
        <v>7.97</v>
      </c>
      <c r="N461" t="s">
        <v>21</v>
      </c>
    </row>
    <row r="462" spans="1:14" x14ac:dyDescent="0.25">
      <c r="A462" t="s">
        <v>394</v>
      </c>
      <c r="B462" t="s">
        <v>40</v>
      </c>
      <c r="C462" t="s">
        <v>41</v>
      </c>
      <c r="D462" t="s">
        <v>54</v>
      </c>
      <c r="E462" s="7">
        <v>45423</v>
      </c>
      <c r="F462" t="s">
        <v>26</v>
      </c>
      <c r="G462" s="9">
        <v>4167.34</v>
      </c>
      <c r="H462" s="13">
        <v>44303</v>
      </c>
      <c r="I462" s="10" t="s">
        <v>27</v>
      </c>
      <c r="J462" t="s">
        <v>18</v>
      </c>
      <c r="K462" s="6">
        <v>2024</v>
      </c>
      <c r="L462" t="s">
        <v>33</v>
      </c>
      <c r="M462" s="12">
        <v>10.63</v>
      </c>
      <c r="N462" t="s">
        <v>28</v>
      </c>
    </row>
    <row r="463" spans="1:14" x14ac:dyDescent="0.25">
      <c r="A463" t="s">
        <v>393</v>
      </c>
      <c r="B463" t="s">
        <v>70</v>
      </c>
      <c r="C463" t="s">
        <v>53</v>
      </c>
      <c r="D463" t="s">
        <v>24</v>
      </c>
      <c r="E463" s="7">
        <v>45420</v>
      </c>
      <c r="F463" t="s">
        <v>17</v>
      </c>
      <c r="G463" s="9">
        <v>11399.21</v>
      </c>
      <c r="H463" s="13">
        <v>35034</v>
      </c>
      <c r="I463" s="10" t="s">
        <v>19</v>
      </c>
      <c r="J463" t="s">
        <v>18</v>
      </c>
      <c r="K463" s="6">
        <v>2024</v>
      </c>
      <c r="L463" t="s">
        <v>38</v>
      </c>
      <c r="M463" s="12">
        <v>3.07</v>
      </c>
      <c r="N463" t="s">
        <v>21</v>
      </c>
    </row>
    <row r="464" spans="1:14" x14ac:dyDescent="0.25">
      <c r="A464" t="s">
        <v>140</v>
      </c>
      <c r="B464" t="s">
        <v>66</v>
      </c>
      <c r="C464" t="s">
        <v>41</v>
      </c>
      <c r="D464" t="s">
        <v>31</v>
      </c>
      <c r="E464" s="7">
        <v>45419</v>
      </c>
      <c r="F464" t="s">
        <v>26</v>
      </c>
      <c r="G464" s="9">
        <v>1830.06</v>
      </c>
      <c r="H464" s="13">
        <v>24381</v>
      </c>
      <c r="I464" s="10" t="s">
        <v>27</v>
      </c>
      <c r="J464" t="s">
        <v>18</v>
      </c>
      <c r="K464" s="6">
        <v>2024</v>
      </c>
      <c r="L464" t="s">
        <v>20</v>
      </c>
      <c r="M464" s="12">
        <v>13.32</v>
      </c>
      <c r="N464" t="s">
        <v>28</v>
      </c>
    </row>
    <row r="465" spans="1:14" x14ac:dyDescent="0.25">
      <c r="A465" t="s">
        <v>428</v>
      </c>
      <c r="B465" t="s">
        <v>23</v>
      </c>
      <c r="C465" t="s">
        <v>36</v>
      </c>
      <c r="D465" t="s">
        <v>24</v>
      </c>
      <c r="E465" s="7">
        <v>45415</v>
      </c>
      <c r="F465" t="s">
        <v>48</v>
      </c>
      <c r="G465" s="9">
        <v>7008.22</v>
      </c>
      <c r="H465" s="13">
        <v>76978</v>
      </c>
      <c r="I465" s="10" t="s">
        <v>27</v>
      </c>
      <c r="J465" t="s">
        <v>18</v>
      </c>
      <c r="K465" s="6">
        <v>2024</v>
      </c>
      <c r="L465" t="s">
        <v>38</v>
      </c>
      <c r="M465" s="12">
        <v>10.98</v>
      </c>
      <c r="N465" t="s">
        <v>49</v>
      </c>
    </row>
    <row r="466" spans="1:14" x14ac:dyDescent="0.25">
      <c r="A466" t="s">
        <v>621</v>
      </c>
      <c r="B466" t="s">
        <v>13</v>
      </c>
      <c r="C466" t="s">
        <v>63</v>
      </c>
      <c r="D466" t="s">
        <v>54</v>
      </c>
      <c r="E466" s="7">
        <v>45414</v>
      </c>
      <c r="F466" t="s">
        <v>26</v>
      </c>
      <c r="G466" s="9">
        <v>132.28</v>
      </c>
      <c r="H466" s="13">
        <v>1953</v>
      </c>
      <c r="I466" s="10" t="s">
        <v>27</v>
      </c>
      <c r="J466" t="s">
        <v>18</v>
      </c>
      <c r="K466" s="6">
        <v>2024</v>
      </c>
      <c r="L466" t="s">
        <v>20</v>
      </c>
      <c r="M466" s="12">
        <v>14.76</v>
      </c>
      <c r="N466" t="s">
        <v>28</v>
      </c>
    </row>
    <row r="467" spans="1:14" x14ac:dyDescent="0.25">
      <c r="A467" t="s">
        <v>668</v>
      </c>
      <c r="B467" t="s">
        <v>66</v>
      </c>
      <c r="C467" t="s">
        <v>41</v>
      </c>
      <c r="D467" t="s">
        <v>24</v>
      </c>
      <c r="E467" s="7">
        <v>45394</v>
      </c>
      <c r="F467" t="s">
        <v>56</v>
      </c>
      <c r="G467" s="9">
        <v>7126.84</v>
      </c>
      <c r="H467" s="13">
        <v>85923</v>
      </c>
      <c r="I467" s="10" t="s">
        <v>58</v>
      </c>
      <c r="J467" t="s">
        <v>18</v>
      </c>
      <c r="K467" s="6">
        <v>2024</v>
      </c>
      <c r="L467" t="s">
        <v>38</v>
      </c>
      <c r="M467" s="12">
        <v>12.06</v>
      </c>
      <c r="N467" t="s">
        <v>59</v>
      </c>
    </row>
    <row r="468" spans="1:14" x14ac:dyDescent="0.25">
      <c r="A468" t="s">
        <v>503</v>
      </c>
      <c r="B468" t="s">
        <v>23</v>
      </c>
      <c r="C468" t="s">
        <v>41</v>
      </c>
      <c r="D468" t="s">
        <v>24</v>
      </c>
      <c r="E468" s="7">
        <v>45392</v>
      </c>
      <c r="F468" t="s">
        <v>17</v>
      </c>
      <c r="G468" s="9">
        <v>5150.6099999999997</v>
      </c>
      <c r="H468" s="13">
        <v>44940</v>
      </c>
      <c r="I468" s="10" t="s">
        <v>19</v>
      </c>
      <c r="J468" t="s">
        <v>18</v>
      </c>
      <c r="K468" s="6">
        <v>2024</v>
      </c>
      <c r="L468" t="s">
        <v>33</v>
      </c>
      <c r="M468" s="12">
        <v>8.73</v>
      </c>
      <c r="N468" t="s">
        <v>21</v>
      </c>
    </row>
    <row r="469" spans="1:14" x14ac:dyDescent="0.25">
      <c r="A469" t="s">
        <v>534</v>
      </c>
      <c r="B469" t="s">
        <v>40</v>
      </c>
      <c r="C469" t="s">
        <v>14</v>
      </c>
      <c r="D469" t="s">
        <v>24</v>
      </c>
      <c r="E469" s="7">
        <v>45392</v>
      </c>
      <c r="F469" t="s">
        <v>56</v>
      </c>
      <c r="G469" s="9">
        <v>7363.09</v>
      </c>
      <c r="H469" s="13">
        <v>106402</v>
      </c>
      <c r="I469" s="10" t="s">
        <v>58</v>
      </c>
      <c r="J469" t="s">
        <v>18</v>
      </c>
      <c r="K469" s="6">
        <v>2024</v>
      </c>
      <c r="L469" t="s">
        <v>38</v>
      </c>
      <c r="M469" s="12">
        <v>14.45</v>
      </c>
      <c r="N469" t="s">
        <v>59</v>
      </c>
    </row>
    <row r="470" spans="1:14" x14ac:dyDescent="0.25">
      <c r="A470" t="s">
        <v>123</v>
      </c>
      <c r="B470" t="s">
        <v>66</v>
      </c>
      <c r="C470" t="s">
        <v>14</v>
      </c>
      <c r="D470" t="s">
        <v>24</v>
      </c>
      <c r="E470" s="7">
        <v>45391</v>
      </c>
      <c r="F470" t="s">
        <v>26</v>
      </c>
      <c r="G470" s="9">
        <v>4538.18</v>
      </c>
      <c r="H470" s="13">
        <v>56217</v>
      </c>
      <c r="I470" s="10" t="s">
        <v>27</v>
      </c>
      <c r="J470" t="s">
        <v>18</v>
      </c>
      <c r="K470" s="6">
        <v>2024</v>
      </c>
      <c r="L470" t="s">
        <v>33</v>
      </c>
      <c r="M470" s="12">
        <v>12.39</v>
      </c>
      <c r="N470" t="s">
        <v>28</v>
      </c>
    </row>
    <row r="471" spans="1:14" x14ac:dyDescent="0.25">
      <c r="A471" t="s">
        <v>483</v>
      </c>
      <c r="B471" t="s">
        <v>35</v>
      </c>
      <c r="C471" t="s">
        <v>14</v>
      </c>
      <c r="D471" t="s">
        <v>15</v>
      </c>
      <c r="E471" s="7">
        <v>45391</v>
      </c>
      <c r="F471" t="s">
        <v>56</v>
      </c>
      <c r="G471" s="9">
        <v>111.16</v>
      </c>
      <c r="H471" s="13">
        <v>936</v>
      </c>
      <c r="I471" s="10" t="s">
        <v>58</v>
      </c>
      <c r="J471" t="s">
        <v>18</v>
      </c>
      <c r="K471" s="6">
        <v>2024</v>
      </c>
      <c r="L471" t="s">
        <v>20</v>
      </c>
      <c r="M471" s="12">
        <v>8.42</v>
      </c>
      <c r="N471" t="s">
        <v>59</v>
      </c>
    </row>
    <row r="472" spans="1:14" x14ac:dyDescent="0.25">
      <c r="A472" t="s">
        <v>482</v>
      </c>
      <c r="B472" t="s">
        <v>40</v>
      </c>
      <c r="C472" t="s">
        <v>36</v>
      </c>
      <c r="D472" t="s">
        <v>24</v>
      </c>
      <c r="E472" s="7">
        <v>45388</v>
      </c>
      <c r="F472" t="s">
        <v>26</v>
      </c>
      <c r="G472" s="9">
        <v>10621.23</v>
      </c>
      <c r="H472" s="13">
        <v>94644</v>
      </c>
      <c r="I472" s="10" t="s">
        <v>27</v>
      </c>
      <c r="J472" t="s">
        <v>18</v>
      </c>
      <c r="K472" s="6">
        <v>2024</v>
      </c>
      <c r="L472" t="s">
        <v>38</v>
      </c>
      <c r="M472" s="12">
        <v>8.91</v>
      </c>
      <c r="N472" t="s">
        <v>28</v>
      </c>
    </row>
    <row r="473" spans="1:14" x14ac:dyDescent="0.25">
      <c r="A473" t="s">
        <v>76</v>
      </c>
      <c r="B473" t="s">
        <v>13</v>
      </c>
      <c r="C473" t="s">
        <v>53</v>
      </c>
      <c r="D473" t="s">
        <v>31</v>
      </c>
      <c r="E473" s="7">
        <v>45387</v>
      </c>
      <c r="F473" t="s">
        <v>17</v>
      </c>
      <c r="G473" s="9">
        <v>1723.66</v>
      </c>
      <c r="H473" s="13">
        <v>18410</v>
      </c>
      <c r="I473" s="10" t="s">
        <v>19</v>
      </c>
      <c r="J473" t="s">
        <v>57</v>
      </c>
      <c r="K473" s="6">
        <v>2024</v>
      </c>
      <c r="L473" t="s">
        <v>20</v>
      </c>
      <c r="M473" s="12">
        <v>10.68</v>
      </c>
      <c r="N473" t="s">
        <v>21</v>
      </c>
    </row>
    <row r="474" spans="1:14" x14ac:dyDescent="0.25">
      <c r="A474" t="s">
        <v>543</v>
      </c>
      <c r="B474" t="s">
        <v>13</v>
      </c>
      <c r="C474" t="s">
        <v>41</v>
      </c>
      <c r="D474" t="s">
        <v>24</v>
      </c>
      <c r="E474" s="7">
        <v>45387</v>
      </c>
      <c r="F474" t="s">
        <v>48</v>
      </c>
      <c r="G474" s="9">
        <v>8642.2099999999991</v>
      </c>
      <c r="H474" s="13">
        <v>113963</v>
      </c>
      <c r="I474" s="10" t="s">
        <v>27</v>
      </c>
      <c r="J474" t="s">
        <v>18</v>
      </c>
      <c r="K474" s="6">
        <v>2024</v>
      </c>
      <c r="L474" t="s">
        <v>38</v>
      </c>
      <c r="M474" s="12">
        <v>13.19</v>
      </c>
      <c r="N474" t="s">
        <v>49</v>
      </c>
    </row>
    <row r="475" spans="1:14" x14ac:dyDescent="0.25">
      <c r="A475" t="s">
        <v>120</v>
      </c>
      <c r="B475" t="s">
        <v>70</v>
      </c>
      <c r="C475" t="s">
        <v>63</v>
      </c>
      <c r="D475" t="s">
        <v>24</v>
      </c>
      <c r="E475" s="7">
        <v>45386</v>
      </c>
      <c r="F475" t="s">
        <v>48</v>
      </c>
      <c r="G475" s="9">
        <v>1298.3399999999999</v>
      </c>
      <c r="H475" s="13">
        <v>15236</v>
      </c>
      <c r="I475" s="10" t="s">
        <v>27</v>
      </c>
      <c r="J475" t="s">
        <v>57</v>
      </c>
      <c r="K475" s="6">
        <v>2024</v>
      </c>
      <c r="L475" t="s">
        <v>20</v>
      </c>
      <c r="M475" s="12">
        <v>11.74</v>
      </c>
      <c r="N475" t="s">
        <v>49</v>
      </c>
    </row>
    <row r="476" spans="1:14" x14ac:dyDescent="0.25">
      <c r="A476" t="s">
        <v>736</v>
      </c>
      <c r="B476" t="s">
        <v>13</v>
      </c>
      <c r="C476" t="s">
        <v>41</v>
      </c>
      <c r="D476" t="s">
        <v>54</v>
      </c>
      <c r="E476" s="7">
        <v>45386</v>
      </c>
      <c r="F476" t="s">
        <v>17</v>
      </c>
      <c r="G476" s="9">
        <v>473.53</v>
      </c>
      <c r="H476" s="13">
        <v>5879</v>
      </c>
      <c r="I476" s="10" t="s">
        <v>19</v>
      </c>
      <c r="J476" t="s">
        <v>18</v>
      </c>
      <c r="K476" s="6">
        <v>2024</v>
      </c>
      <c r="L476" t="s">
        <v>20</v>
      </c>
      <c r="M476" s="12">
        <v>12.42</v>
      </c>
      <c r="N476" t="s">
        <v>21</v>
      </c>
    </row>
    <row r="477" spans="1:14" x14ac:dyDescent="0.25">
      <c r="A477" t="s">
        <v>282</v>
      </c>
      <c r="B477" t="s">
        <v>70</v>
      </c>
      <c r="C477" t="s">
        <v>14</v>
      </c>
      <c r="D477" t="s">
        <v>24</v>
      </c>
      <c r="E477" s="7">
        <v>45385</v>
      </c>
      <c r="F477" t="s">
        <v>56</v>
      </c>
      <c r="G477" s="9">
        <v>10407.19</v>
      </c>
      <c r="H477" s="13">
        <v>112209</v>
      </c>
      <c r="I477" s="10" t="s">
        <v>58</v>
      </c>
      <c r="J477" t="s">
        <v>57</v>
      </c>
      <c r="K477" s="6">
        <v>2024</v>
      </c>
      <c r="L477" t="s">
        <v>38</v>
      </c>
      <c r="M477" s="12">
        <v>10.78</v>
      </c>
      <c r="N477" t="s">
        <v>59</v>
      </c>
    </row>
    <row r="478" spans="1:14" x14ac:dyDescent="0.25">
      <c r="A478" t="s">
        <v>161</v>
      </c>
      <c r="B478" t="s">
        <v>30</v>
      </c>
      <c r="C478" t="s">
        <v>14</v>
      </c>
      <c r="D478" t="s">
        <v>24</v>
      </c>
      <c r="E478" s="7">
        <v>45363</v>
      </c>
      <c r="F478" t="s">
        <v>56</v>
      </c>
      <c r="G478" s="9">
        <v>343.43</v>
      </c>
      <c r="H478" s="13">
        <v>4386</v>
      </c>
      <c r="I478" s="10" t="s">
        <v>58</v>
      </c>
      <c r="J478" t="s">
        <v>18</v>
      </c>
      <c r="K478" s="6">
        <v>2024</v>
      </c>
      <c r="L478" t="s">
        <v>20</v>
      </c>
      <c r="M478" s="12">
        <v>12.77</v>
      </c>
      <c r="N478" t="s">
        <v>59</v>
      </c>
    </row>
    <row r="479" spans="1:14" x14ac:dyDescent="0.25">
      <c r="A479" t="s">
        <v>387</v>
      </c>
      <c r="B479" t="s">
        <v>35</v>
      </c>
      <c r="C479" t="s">
        <v>41</v>
      </c>
      <c r="D479" t="s">
        <v>24</v>
      </c>
      <c r="E479" s="7">
        <v>45362</v>
      </c>
      <c r="F479" t="s">
        <v>17</v>
      </c>
      <c r="G479" s="9">
        <v>7645.36</v>
      </c>
      <c r="H479" s="13">
        <v>114013</v>
      </c>
      <c r="I479" s="10" t="s">
        <v>19</v>
      </c>
      <c r="J479" t="s">
        <v>18</v>
      </c>
      <c r="K479" s="6">
        <v>2024</v>
      </c>
      <c r="L479" t="s">
        <v>38</v>
      </c>
      <c r="M479" s="12">
        <v>14.91</v>
      </c>
      <c r="N479" t="s">
        <v>21</v>
      </c>
    </row>
    <row r="480" spans="1:14" x14ac:dyDescent="0.25">
      <c r="A480" t="s">
        <v>612</v>
      </c>
      <c r="B480" t="s">
        <v>13</v>
      </c>
      <c r="C480" t="s">
        <v>36</v>
      </c>
      <c r="D480" t="s">
        <v>24</v>
      </c>
      <c r="E480" s="7">
        <v>45362</v>
      </c>
      <c r="F480" t="s">
        <v>17</v>
      </c>
      <c r="G480" s="9">
        <v>875.36</v>
      </c>
      <c r="H480" s="13">
        <v>8921</v>
      </c>
      <c r="I480" s="10" t="s">
        <v>19</v>
      </c>
      <c r="J480" t="s">
        <v>18</v>
      </c>
      <c r="K480" s="6">
        <v>2024</v>
      </c>
      <c r="L480" t="s">
        <v>20</v>
      </c>
      <c r="M480" s="12">
        <v>10.19</v>
      </c>
      <c r="N480" t="s">
        <v>21</v>
      </c>
    </row>
    <row r="481" spans="1:14" x14ac:dyDescent="0.25">
      <c r="A481" t="s">
        <v>452</v>
      </c>
      <c r="B481" t="s">
        <v>30</v>
      </c>
      <c r="C481" t="s">
        <v>53</v>
      </c>
      <c r="D481" t="s">
        <v>24</v>
      </c>
      <c r="E481" s="7">
        <v>45361</v>
      </c>
      <c r="F481" t="s">
        <v>26</v>
      </c>
      <c r="G481" s="9">
        <v>7582.99</v>
      </c>
      <c r="H481" s="13">
        <v>66737</v>
      </c>
      <c r="I481" s="10" t="s">
        <v>27</v>
      </c>
      <c r="J481" t="s">
        <v>18</v>
      </c>
      <c r="K481" s="6">
        <v>2024</v>
      </c>
      <c r="L481" t="s">
        <v>38</v>
      </c>
      <c r="M481" s="12">
        <v>8.8000000000000007</v>
      </c>
      <c r="N481" t="s">
        <v>28</v>
      </c>
    </row>
    <row r="482" spans="1:14" x14ac:dyDescent="0.25">
      <c r="A482" t="s">
        <v>614</v>
      </c>
      <c r="B482" t="s">
        <v>66</v>
      </c>
      <c r="C482" t="s">
        <v>63</v>
      </c>
      <c r="D482" t="s">
        <v>24</v>
      </c>
      <c r="E482" s="7">
        <v>45361</v>
      </c>
      <c r="F482" t="s">
        <v>26</v>
      </c>
      <c r="G482" s="9">
        <v>4167.34</v>
      </c>
      <c r="H482" s="13">
        <v>44303</v>
      </c>
      <c r="I482" s="10" t="s">
        <v>27</v>
      </c>
      <c r="J482" t="s">
        <v>18</v>
      </c>
      <c r="K482" s="6">
        <v>2024</v>
      </c>
      <c r="L482" t="s">
        <v>33</v>
      </c>
      <c r="M482" s="12">
        <v>10.63</v>
      </c>
      <c r="N482" t="s">
        <v>28</v>
      </c>
    </row>
    <row r="483" spans="1:14" x14ac:dyDescent="0.25">
      <c r="A483" t="s">
        <v>242</v>
      </c>
      <c r="B483" t="s">
        <v>66</v>
      </c>
      <c r="C483" t="s">
        <v>53</v>
      </c>
      <c r="D483" t="s">
        <v>15</v>
      </c>
      <c r="E483" s="7">
        <v>45359</v>
      </c>
      <c r="F483" t="s">
        <v>48</v>
      </c>
      <c r="G483" s="9">
        <v>143.66999999999999</v>
      </c>
      <c r="H483" s="13">
        <v>1247</v>
      </c>
      <c r="I483" s="10" t="s">
        <v>27</v>
      </c>
      <c r="J483" t="s">
        <v>57</v>
      </c>
      <c r="K483" s="6">
        <v>2024</v>
      </c>
      <c r="L483" t="s">
        <v>20</v>
      </c>
      <c r="M483" s="12">
        <v>8.68</v>
      </c>
      <c r="N483" t="s">
        <v>49</v>
      </c>
    </row>
    <row r="484" spans="1:14" x14ac:dyDescent="0.25">
      <c r="A484" t="s">
        <v>297</v>
      </c>
      <c r="B484" t="s">
        <v>70</v>
      </c>
      <c r="C484" t="s">
        <v>53</v>
      </c>
      <c r="D484" t="s">
        <v>24</v>
      </c>
      <c r="E484" s="7">
        <v>45357</v>
      </c>
      <c r="F484" t="s">
        <v>48</v>
      </c>
      <c r="G484" s="9">
        <v>4362.25</v>
      </c>
      <c r="H484" s="13">
        <v>54397</v>
      </c>
      <c r="I484" s="10" t="s">
        <v>27</v>
      </c>
      <c r="J484" t="s">
        <v>57</v>
      </c>
      <c r="K484" s="6">
        <v>2024</v>
      </c>
      <c r="L484" t="s">
        <v>33</v>
      </c>
      <c r="M484" s="12">
        <v>12.47</v>
      </c>
      <c r="N484" t="s">
        <v>49</v>
      </c>
    </row>
    <row r="485" spans="1:14" x14ac:dyDescent="0.25">
      <c r="A485" t="s">
        <v>432</v>
      </c>
      <c r="B485" t="s">
        <v>46</v>
      </c>
      <c r="C485" t="s">
        <v>14</v>
      </c>
      <c r="D485" t="s">
        <v>24</v>
      </c>
      <c r="E485" s="7">
        <v>45357</v>
      </c>
      <c r="F485" t="s">
        <v>48</v>
      </c>
      <c r="G485" s="9">
        <v>8107.5</v>
      </c>
      <c r="H485" s="13">
        <v>90033</v>
      </c>
      <c r="I485" s="10" t="s">
        <v>27</v>
      </c>
      <c r="J485" t="s">
        <v>57</v>
      </c>
      <c r="K485" s="6">
        <v>2024</v>
      </c>
      <c r="L485" t="s">
        <v>38</v>
      </c>
      <c r="M485" s="12">
        <v>11.1</v>
      </c>
      <c r="N485" t="s">
        <v>49</v>
      </c>
    </row>
    <row r="486" spans="1:14" x14ac:dyDescent="0.25">
      <c r="A486" t="s">
        <v>504</v>
      </c>
      <c r="B486" t="s">
        <v>66</v>
      </c>
      <c r="C486" t="s">
        <v>36</v>
      </c>
      <c r="D486" t="s">
        <v>24</v>
      </c>
      <c r="E486" s="7">
        <v>45354</v>
      </c>
      <c r="F486" t="s">
        <v>48</v>
      </c>
      <c r="G486" s="9">
        <v>3298.01</v>
      </c>
      <c r="H486" s="13">
        <v>38098</v>
      </c>
      <c r="I486" s="10" t="s">
        <v>27</v>
      </c>
      <c r="J486" t="s">
        <v>18</v>
      </c>
      <c r="K486" s="6">
        <v>2024</v>
      </c>
      <c r="L486" t="s">
        <v>33</v>
      </c>
      <c r="M486" s="12">
        <v>11.55</v>
      </c>
      <c r="N486" t="s">
        <v>49</v>
      </c>
    </row>
    <row r="487" spans="1:14" x14ac:dyDescent="0.25">
      <c r="A487" t="s">
        <v>593</v>
      </c>
      <c r="B487" t="s">
        <v>40</v>
      </c>
      <c r="C487" t="s">
        <v>53</v>
      </c>
      <c r="D487" t="s">
        <v>31</v>
      </c>
      <c r="E487" s="7">
        <v>45354</v>
      </c>
      <c r="F487" t="s">
        <v>26</v>
      </c>
      <c r="G487" s="9">
        <v>1749.03</v>
      </c>
      <c r="H487" s="13">
        <v>15461</v>
      </c>
      <c r="I487" s="10" t="s">
        <v>27</v>
      </c>
      <c r="J487" t="s">
        <v>18</v>
      </c>
      <c r="K487" s="6">
        <v>2024</v>
      </c>
      <c r="L487" t="s">
        <v>20</v>
      </c>
      <c r="M487" s="12">
        <v>8.84</v>
      </c>
      <c r="N487" t="s">
        <v>28</v>
      </c>
    </row>
    <row r="488" spans="1:14" x14ac:dyDescent="0.25">
      <c r="A488" t="s">
        <v>450</v>
      </c>
      <c r="B488" t="s">
        <v>66</v>
      </c>
      <c r="C488" t="s">
        <v>41</v>
      </c>
      <c r="D488" t="s">
        <v>24</v>
      </c>
      <c r="E488" s="7">
        <v>45352</v>
      </c>
      <c r="F488" t="s">
        <v>48</v>
      </c>
      <c r="G488" s="9">
        <v>6500.09</v>
      </c>
      <c r="H488" s="13">
        <v>71575</v>
      </c>
      <c r="I488" s="10" t="s">
        <v>27</v>
      </c>
      <c r="J488" t="s">
        <v>57</v>
      </c>
      <c r="K488" s="6">
        <v>2024</v>
      </c>
      <c r="L488" t="s">
        <v>33</v>
      </c>
      <c r="M488" s="12">
        <v>11.01</v>
      </c>
      <c r="N488" t="s">
        <v>49</v>
      </c>
    </row>
    <row r="489" spans="1:14" x14ac:dyDescent="0.25">
      <c r="A489" t="s">
        <v>557</v>
      </c>
      <c r="B489" t="s">
        <v>46</v>
      </c>
      <c r="C489" t="s">
        <v>53</v>
      </c>
      <c r="D489" t="s">
        <v>24</v>
      </c>
      <c r="E489" s="7">
        <v>45352</v>
      </c>
      <c r="F489" t="s">
        <v>48</v>
      </c>
      <c r="G489" s="9">
        <v>3769.9</v>
      </c>
      <c r="H489" s="13">
        <v>45893</v>
      </c>
      <c r="I489" s="10" t="s">
        <v>27</v>
      </c>
      <c r="J489" t="s">
        <v>18</v>
      </c>
      <c r="K489" s="6">
        <v>2024</v>
      </c>
      <c r="L489" t="s">
        <v>33</v>
      </c>
      <c r="M489" s="12">
        <v>12.17</v>
      </c>
      <c r="N489" t="s">
        <v>49</v>
      </c>
    </row>
    <row r="490" spans="1:14" x14ac:dyDescent="0.25">
      <c r="A490" t="s">
        <v>628</v>
      </c>
      <c r="B490" t="s">
        <v>13</v>
      </c>
      <c r="C490" t="s">
        <v>63</v>
      </c>
      <c r="D490" t="s">
        <v>54</v>
      </c>
      <c r="E490" s="7">
        <v>45332</v>
      </c>
      <c r="F490" t="s">
        <v>56</v>
      </c>
      <c r="G490" s="9">
        <v>57.39</v>
      </c>
      <c r="H490" s="13">
        <v>604</v>
      </c>
      <c r="I490" s="10" t="s">
        <v>58</v>
      </c>
      <c r="J490" t="s">
        <v>57</v>
      </c>
      <c r="K490" s="6">
        <v>2024</v>
      </c>
      <c r="L490" t="s">
        <v>20</v>
      </c>
      <c r="M490" s="12">
        <v>10.53</v>
      </c>
      <c r="N490" t="s">
        <v>59</v>
      </c>
    </row>
    <row r="491" spans="1:14" x14ac:dyDescent="0.25">
      <c r="A491" t="s">
        <v>73</v>
      </c>
      <c r="B491" t="s">
        <v>70</v>
      </c>
      <c r="C491" t="s">
        <v>63</v>
      </c>
      <c r="D491" t="s">
        <v>24</v>
      </c>
      <c r="E491" s="7">
        <v>45324</v>
      </c>
      <c r="F491" t="s">
        <v>56</v>
      </c>
      <c r="G491" s="9">
        <v>8169.73</v>
      </c>
      <c r="H491" s="13">
        <v>121446</v>
      </c>
      <c r="I491" s="10" t="s">
        <v>58</v>
      </c>
      <c r="J491" t="s">
        <v>57</v>
      </c>
      <c r="K491" s="6">
        <v>2024</v>
      </c>
      <c r="L491" t="s">
        <v>38</v>
      </c>
      <c r="M491" s="12">
        <v>14.87</v>
      </c>
      <c r="N491" t="s">
        <v>59</v>
      </c>
    </row>
    <row r="492" spans="1:14" x14ac:dyDescent="0.25">
      <c r="A492" t="s">
        <v>236</v>
      </c>
      <c r="B492" t="s">
        <v>46</v>
      </c>
      <c r="C492" t="s">
        <v>53</v>
      </c>
      <c r="D492" t="s">
        <v>24</v>
      </c>
      <c r="E492" s="7">
        <v>45324</v>
      </c>
      <c r="F492" t="s">
        <v>17</v>
      </c>
      <c r="G492" s="9">
        <v>7529.65</v>
      </c>
      <c r="H492" s="13">
        <v>73447</v>
      </c>
      <c r="I492" s="10" t="s">
        <v>19</v>
      </c>
      <c r="J492" t="s">
        <v>18</v>
      </c>
      <c r="K492" s="6">
        <v>2024</v>
      </c>
      <c r="L492" t="s">
        <v>38</v>
      </c>
      <c r="M492" s="12">
        <v>9.75</v>
      </c>
      <c r="N492" t="s">
        <v>21</v>
      </c>
    </row>
    <row r="493" spans="1:14" x14ac:dyDescent="0.25">
      <c r="A493" t="s">
        <v>453</v>
      </c>
      <c r="B493" t="s">
        <v>66</v>
      </c>
      <c r="C493" t="s">
        <v>14</v>
      </c>
      <c r="D493" t="s">
        <v>24</v>
      </c>
      <c r="E493" s="7">
        <v>45324</v>
      </c>
      <c r="F493" t="s">
        <v>17</v>
      </c>
      <c r="G493" s="9">
        <v>11075.6</v>
      </c>
      <c r="H493" s="13">
        <v>139364</v>
      </c>
      <c r="I493" s="10" t="s">
        <v>19</v>
      </c>
      <c r="J493" t="s">
        <v>18</v>
      </c>
      <c r="K493" s="6">
        <v>2024</v>
      </c>
      <c r="L493" t="s">
        <v>38</v>
      </c>
      <c r="M493" s="12">
        <v>12.58</v>
      </c>
      <c r="N493" t="s">
        <v>21</v>
      </c>
    </row>
    <row r="494" spans="1:14" x14ac:dyDescent="0.25">
      <c r="A494" t="s">
        <v>311</v>
      </c>
      <c r="B494" t="s">
        <v>30</v>
      </c>
      <c r="C494" t="s">
        <v>14</v>
      </c>
      <c r="D494" t="s">
        <v>54</v>
      </c>
      <c r="E494" s="7">
        <v>45303</v>
      </c>
      <c r="F494" t="s">
        <v>56</v>
      </c>
      <c r="G494" s="9">
        <v>165.44</v>
      </c>
      <c r="H494" s="13">
        <v>47370</v>
      </c>
      <c r="I494" s="10" t="s">
        <v>58</v>
      </c>
      <c r="J494" t="s">
        <v>18</v>
      </c>
      <c r="K494" s="6">
        <v>2024</v>
      </c>
      <c r="L494" t="s">
        <v>20</v>
      </c>
      <c r="M494" s="12">
        <v>286.32</v>
      </c>
      <c r="N494" t="s">
        <v>59</v>
      </c>
    </row>
    <row r="495" spans="1:14" x14ac:dyDescent="0.25">
      <c r="A495" t="s">
        <v>662</v>
      </c>
      <c r="B495" t="s">
        <v>46</v>
      </c>
      <c r="C495" t="s">
        <v>14</v>
      </c>
      <c r="D495" t="s">
        <v>24</v>
      </c>
      <c r="E495" s="7">
        <v>45301</v>
      </c>
      <c r="F495" t="s">
        <v>56</v>
      </c>
      <c r="G495" s="9">
        <v>7251.91</v>
      </c>
      <c r="H495" s="13">
        <v>106306</v>
      </c>
      <c r="I495" s="10" t="s">
        <v>58</v>
      </c>
      <c r="J495" t="s">
        <v>18</v>
      </c>
      <c r="K495" s="6">
        <v>2024</v>
      </c>
      <c r="L495" t="s">
        <v>38</v>
      </c>
      <c r="M495" s="12">
        <v>14.66</v>
      </c>
      <c r="N495" t="s">
        <v>59</v>
      </c>
    </row>
    <row r="496" spans="1:14" x14ac:dyDescent="0.25">
      <c r="A496" t="s">
        <v>696</v>
      </c>
      <c r="B496" t="s">
        <v>46</v>
      </c>
      <c r="C496" t="s">
        <v>95</v>
      </c>
      <c r="D496" t="s">
        <v>24</v>
      </c>
      <c r="E496" s="7">
        <v>45300</v>
      </c>
      <c r="F496" t="s">
        <v>56</v>
      </c>
      <c r="G496" s="9">
        <v>3402.59</v>
      </c>
      <c r="H496" s="13">
        <v>41371</v>
      </c>
      <c r="I496" s="10" t="s">
        <v>58</v>
      </c>
      <c r="J496" t="s">
        <v>18</v>
      </c>
      <c r="K496" s="6">
        <v>2024</v>
      </c>
      <c r="L496" t="s">
        <v>33</v>
      </c>
      <c r="M496" s="12">
        <v>12.16</v>
      </c>
      <c r="N496" t="s">
        <v>59</v>
      </c>
    </row>
    <row r="497" spans="1:14" x14ac:dyDescent="0.25">
      <c r="A497" t="s">
        <v>444</v>
      </c>
      <c r="B497" t="s">
        <v>46</v>
      </c>
      <c r="C497" t="s">
        <v>36</v>
      </c>
      <c r="D497" t="s">
        <v>24</v>
      </c>
      <c r="E497" s="7">
        <v>45299</v>
      </c>
      <c r="F497" t="s">
        <v>56</v>
      </c>
      <c r="G497" s="9">
        <v>10753.11</v>
      </c>
      <c r="H497" s="13">
        <v>114696</v>
      </c>
      <c r="I497" s="10" t="s">
        <v>58</v>
      </c>
      <c r="J497" t="s">
        <v>57</v>
      </c>
      <c r="K497" s="6">
        <v>2024</v>
      </c>
      <c r="L497" t="s">
        <v>38</v>
      </c>
      <c r="M497" s="12">
        <v>10.67</v>
      </c>
      <c r="N497" t="s">
        <v>59</v>
      </c>
    </row>
    <row r="498" spans="1:14" x14ac:dyDescent="0.25">
      <c r="A498" t="s">
        <v>103</v>
      </c>
      <c r="B498" t="s">
        <v>70</v>
      </c>
      <c r="C498" t="s">
        <v>53</v>
      </c>
      <c r="D498" t="s">
        <v>24</v>
      </c>
      <c r="E498" s="7">
        <v>45298</v>
      </c>
      <c r="F498" t="s">
        <v>56</v>
      </c>
      <c r="G498" s="9">
        <v>8564.7000000000007</v>
      </c>
      <c r="H498" s="13">
        <v>123101</v>
      </c>
      <c r="I498" s="10" t="s">
        <v>58</v>
      </c>
      <c r="J498" t="s">
        <v>57</v>
      </c>
      <c r="K498" s="6">
        <v>2024</v>
      </c>
      <c r="L498" t="s">
        <v>38</v>
      </c>
      <c r="M498" s="12">
        <v>14.37</v>
      </c>
      <c r="N498" t="s">
        <v>59</v>
      </c>
    </row>
    <row r="499" spans="1:14" x14ac:dyDescent="0.25">
      <c r="A499" t="s">
        <v>332</v>
      </c>
      <c r="B499" t="s">
        <v>40</v>
      </c>
      <c r="C499" t="s">
        <v>14</v>
      </c>
      <c r="D499" t="s">
        <v>54</v>
      </c>
      <c r="E499" s="7">
        <v>45295</v>
      </c>
      <c r="F499" t="s">
        <v>17</v>
      </c>
      <c r="G499" s="9">
        <v>269.11</v>
      </c>
      <c r="H499" s="13">
        <v>3170</v>
      </c>
      <c r="I499" s="10" t="s">
        <v>19</v>
      </c>
      <c r="J499" t="s">
        <v>18</v>
      </c>
      <c r="K499" s="6">
        <v>2024</v>
      </c>
      <c r="L499" t="s">
        <v>20</v>
      </c>
      <c r="M499" s="12">
        <v>11.78</v>
      </c>
      <c r="N499" t="s">
        <v>21</v>
      </c>
    </row>
    <row r="500" spans="1:14" x14ac:dyDescent="0.25">
      <c r="A500" t="s">
        <v>743</v>
      </c>
      <c r="B500" t="s">
        <v>23</v>
      </c>
      <c r="C500" t="s">
        <v>36</v>
      </c>
      <c r="D500" t="s">
        <v>31</v>
      </c>
      <c r="E500" s="7">
        <v>45295</v>
      </c>
      <c r="F500" t="s">
        <v>56</v>
      </c>
      <c r="G500" s="9">
        <v>1304.92</v>
      </c>
      <c r="H500" s="13">
        <v>47370</v>
      </c>
      <c r="I500" s="10" t="s">
        <v>58</v>
      </c>
      <c r="J500" t="s">
        <v>57</v>
      </c>
      <c r="K500" s="6">
        <v>2024</v>
      </c>
      <c r="L500" t="s">
        <v>20</v>
      </c>
      <c r="M500" s="12">
        <v>36.299999999999997</v>
      </c>
      <c r="N500" t="s">
        <v>59</v>
      </c>
    </row>
    <row r="501" spans="1:14" x14ac:dyDescent="0.25">
      <c r="A501" t="s">
        <v>561</v>
      </c>
      <c r="B501" t="s">
        <v>40</v>
      </c>
      <c r="C501" t="s">
        <v>53</v>
      </c>
      <c r="D501" t="s">
        <v>54</v>
      </c>
      <c r="E501" s="7">
        <v>45294</v>
      </c>
      <c r="F501" t="s">
        <v>48</v>
      </c>
      <c r="G501" s="9">
        <v>3571.15</v>
      </c>
      <c r="H501" s="13">
        <v>6411</v>
      </c>
      <c r="I501" s="10" t="s">
        <v>27</v>
      </c>
      <c r="J501" t="s">
        <v>57</v>
      </c>
      <c r="K501" s="6">
        <v>2024</v>
      </c>
      <c r="L501" t="s">
        <v>33</v>
      </c>
      <c r="M501" s="12">
        <v>1.8</v>
      </c>
      <c r="N501" t="s">
        <v>49</v>
      </c>
    </row>
    <row r="502" spans="1:14" x14ac:dyDescent="0.25">
      <c r="A502" t="s">
        <v>361</v>
      </c>
      <c r="B502" t="s">
        <v>70</v>
      </c>
      <c r="C502" t="s">
        <v>53</v>
      </c>
      <c r="D502" t="s">
        <v>24</v>
      </c>
      <c r="E502" s="7">
        <v>45292</v>
      </c>
      <c r="F502" t="s">
        <v>26</v>
      </c>
      <c r="G502" s="9">
        <v>4264.5600000000004</v>
      </c>
      <c r="H502" s="13">
        <v>36853</v>
      </c>
      <c r="I502" s="10" t="s">
        <v>27</v>
      </c>
      <c r="J502" t="s">
        <v>18</v>
      </c>
      <c r="K502" s="6">
        <v>2024</v>
      </c>
      <c r="L502" t="s">
        <v>33</v>
      </c>
      <c r="M502" s="12">
        <v>8.64</v>
      </c>
      <c r="N502" t="s">
        <v>28</v>
      </c>
    </row>
  </sheetData>
  <conditionalFormatting sqref="H2:H502">
    <cfRule type="dataBar" priority="10">
      <dataBar>
        <cfvo type="min"/>
        <cfvo type="max"/>
        <color rgb="FF63C384"/>
      </dataBar>
      <extLst>
        <ext xmlns:x14="http://schemas.microsoft.com/office/spreadsheetml/2009/9/main" uri="{B025F937-C7B1-47D3-B67F-A62EFF666E3E}">
          <x14:id>{A8AA2899-D2C6-4B5F-AA56-A26DB4854CE9}</x14:id>
        </ext>
      </extLst>
    </cfRule>
  </conditionalFormatting>
  <conditionalFormatting sqref="G2:G502">
    <cfRule type="colorScale" priority="9">
      <colorScale>
        <cfvo type="min"/>
        <cfvo type="percentile" val="50"/>
        <cfvo type="max"/>
        <color rgb="FFF8696B"/>
        <color rgb="FFFFEB84"/>
        <color rgb="FF63BE7B"/>
      </colorScale>
    </cfRule>
  </conditionalFormatting>
  <conditionalFormatting sqref="D2:D502">
    <cfRule type="containsText" dxfId="87" priority="4" operator="containsText" text="Inactive">
      <formula>NOT(ISERROR(SEARCH("Inactive",D2)))</formula>
    </cfRule>
    <cfRule type="containsText" dxfId="86" priority="6" operator="containsText" text="Active">
      <formula>NOT(ISERROR(SEARCH("Active",D2)))</formula>
    </cfRule>
    <cfRule type="containsText" dxfId="85" priority="7" operator="containsText" text="Maintenance">
      <formula>NOT(ISERROR(SEARCH("Maintenance",D2)))</formula>
    </cfRule>
    <cfRule type="containsText" dxfId="84" priority="8" operator="containsText" text="Decommissioned">
      <formula>NOT(ISERROR(SEARCH("Decommissioned",D2)))</formula>
    </cfRule>
  </conditionalFormatting>
  <conditionalFormatting sqref="E492">
    <cfRule type="containsText" dxfId="83" priority="5" operator="containsText" text="Inactive">
      <formula>NOT(ISERROR(SEARCH("Inactive",E492)))</formula>
    </cfRule>
  </conditionalFormatting>
  <conditionalFormatting sqref="L2:L502">
    <cfRule type="containsText" dxfId="82" priority="1" operator="containsText" text="High">
      <formula>NOT(ISERROR(SEARCH("High",L2)))</formula>
    </cfRule>
    <cfRule type="containsText" dxfId="81" priority="2" operator="containsText" text="Medium">
      <formula>NOT(ISERROR(SEARCH("Medium",L2)))</formula>
    </cfRule>
    <cfRule type="containsText" dxfId="80" priority="3" operator="containsText" text="Low">
      <formula>NOT(ISERROR(SEARCH("Low",L2)))</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8AA2899-D2C6-4B5F-AA56-A26DB4854CE9}">
            <x14:dataBar minLength="0" maxLength="100" border="1" negativeBarBorderColorSameAsPositive="0">
              <x14:cfvo type="autoMin"/>
              <x14:cfvo type="autoMax"/>
              <x14:borderColor rgb="FF63C384"/>
              <x14:negativeFillColor rgb="FFFF0000"/>
              <x14:negativeBorderColor rgb="FFFF0000"/>
              <x14:axisColor rgb="FF000000"/>
            </x14:dataBar>
          </x14:cfRule>
          <xm:sqref>H2:H502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39997558519241921"/>
  </sheetPr>
  <dimension ref="A1:I14"/>
  <sheetViews>
    <sheetView workbookViewId="0">
      <selection activeCell="U15" sqref="U15"/>
    </sheetView>
  </sheetViews>
  <sheetFormatPr defaultRowHeight="15" x14ac:dyDescent="0.25"/>
  <cols>
    <col min="1" max="1" width="27.85546875" bestFit="1" customWidth="1"/>
    <col min="2" max="2" width="20.42578125" customWidth="1"/>
    <col min="3" max="3" width="18.140625" customWidth="1"/>
    <col min="4" max="4" width="13.7109375" customWidth="1"/>
    <col min="5" max="5" width="36.5703125" bestFit="1" customWidth="1"/>
    <col min="7" max="7" width="13.85546875" customWidth="1"/>
    <col min="8" max="8" width="14" customWidth="1"/>
    <col min="9" max="9" width="17.5703125" customWidth="1"/>
  </cols>
  <sheetData>
    <row r="1" spans="1:9" ht="18.75" x14ac:dyDescent="0.3">
      <c r="A1" s="17"/>
      <c r="B1" s="17"/>
      <c r="C1" s="18" t="s">
        <v>826</v>
      </c>
      <c r="D1" s="17"/>
      <c r="E1" s="17"/>
      <c r="F1" s="17"/>
      <c r="G1" s="20"/>
      <c r="H1" s="21" t="s">
        <v>937</v>
      </c>
      <c r="I1" s="20"/>
    </row>
    <row r="2" spans="1:9" x14ac:dyDescent="0.25">
      <c r="A2" t="s">
        <v>919</v>
      </c>
      <c r="B2" t="s">
        <v>824</v>
      </c>
      <c r="C2" s="6" t="s">
        <v>823</v>
      </c>
      <c r="D2" t="s">
        <v>822</v>
      </c>
      <c r="E2" t="s">
        <v>821</v>
      </c>
      <c r="F2" t="s">
        <v>3</v>
      </c>
      <c r="G2" t="s">
        <v>920</v>
      </c>
      <c r="H2" t="s">
        <v>926</v>
      </c>
      <c r="I2" t="s">
        <v>936</v>
      </c>
    </row>
    <row r="3" spans="1:9" x14ac:dyDescent="0.25">
      <c r="A3" s="16" t="s">
        <v>820</v>
      </c>
      <c r="B3" s="16" t="s">
        <v>819</v>
      </c>
      <c r="C3" s="19">
        <v>20</v>
      </c>
      <c r="D3" s="19">
        <v>20</v>
      </c>
      <c r="E3" s="16" t="s">
        <v>818</v>
      </c>
      <c r="F3" s="16" t="s">
        <v>794</v>
      </c>
      <c r="G3" t="s">
        <v>921</v>
      </c>
      <c r="H3" s="6">
        <v>520</v>
      </c>
      <c r="I3" s="6">
        <v>500</v>
      </c>
    </row>
    <row r="4" spans="1:9" x14ac:dyDescent="0.25">
      <c r="A4" s="16" t="s">
        <v>817</v>
      </c>
      <c r="B4" s="16" t="s">
        <v>1</v>
      </c>
      <c r="C4" s="19" t="s">
        <v>816</v>
      </c>
      <c r="D4" s="19" t="s">
        <v>816</v>
      </c>
      <c r="E4" s="16" t="s">
        <v>811</v>
      </c>
      <c r="F4" s="16" t="s">
        <v>794</v>
      </c>
      <c r="G4" t="s">
        <v>922</v>
      </c>
      <c r="H4" s="6">
        <v>8</v>
      </c>
      <c r="I4" s="6">
        <v>13</v>
      </c>
    </row>
    <row r="5" spans="1:9" x14ac:dyDescent="0.25">
      <c r="A5" s="16" t="s">
        <v>815</v>
      </c>
      <c r="B5" s="16" t="s">
        <v>792</v>
      </c>
      <c r="C5" s="19" t="s">
        <v>814</v>
      </c>
      <c r="D5" s="19" t="s">
        <v>814</v>
      </c>
      <c r="E5" s="16" t="s">
        <v>811</v>
      </c>
      <c r="F5" s="16" t="s">
        <v>794</v>
      </c>
      <c r="G5" t="s">
        <v>923</v>
      </c>
      <c r="H5" s="19" t="s">
        <v>927</v>
      </c>
      <c r="I5" s="6">
        <v>0</v>
      </c>
    </row>
    <row r="6" spans="1:9" x14ac:dyDescent="0.25">
      <c r="A6" s="16" t="s">
        <v>813</v>
      </c>
      <c r="B6" s="16" t="s">
        <v>3</v>
      </c>
      <c r="C6" s="19" t="s">
        <v>812</v>
      </c>
      <c r="D6" s="19" t="s">
        <v>812</v>
      </c>
      <c r="E6" s="16" t="s">
        <v>811</v>
      </c>
      <c r="F6" s="16" t="s">
        <v>794</v>
      </c>
      <c r="G6" t="s">
        <v>924</v>
      </c>
      <c r="H6" s="6">
        <v>20</v>
      </c>
      <c r="I6" s="6">
        <v>0</v>
      </c>
    </row>
    <row r="7" spans="1:9" x14ac:dyDescent="0.25">
      <c r="A7" s="16" t="s">
        <v>810</v>
      </c>
      <c r="B7" s="16" t="s">
        <v>1</v>
      </c>
      <c r="C7" s="19">
        <v>15</v>
      </c>
      <c r="D7" s="19">
        <v>15</v>
      </c>
      <c r="E7" s="16" t="s">
        <v>807</v>
      </c>
      <c r="F7" s="16" t="s">
        <v>794</v>
      </c>
      <c r="G7" t="s">
        <v>1</v>
      </c>
      <c r="H7" s="6" t="s">
        <v>928</v>
      </c>
      <c r="I7" s="6" t="s">
        <v>935</v>
      </c>
    </row>
    <row r="8" spans="1:9" x14ac:dyDescent="0.25">
      <c r="A8" s="16" t="s">
        <v>809</v>
      </c>
      <c r="B8" s="16" t="s">
        <v>792</v>
      </c>
      <c r="C8" s="19">
        <v>12</v>
      </c>
      <c r="D8" s="19">
        <v>12</v>
      </c>
      <c r="E8" s="16" t="s">
        <v>807</v>
      </c>
      <c r="F8" s="16" t="s">
        <v>794</v>
      </c>
      <c r="G8" t="s">
        <v>792</v>
      </c>
      <c r="H8" s="6" t="s">
        <v>929</v>
      </c>
      <c r="I8" s="6" t="s">
        <v>934</v>
      </c>
    </row>
    <row r="9" spans="1:9" x14ac:dyDescent="0.25">
      <c r="A9" s="16" t="s">
        <v>808</v>
      </c>
      <c r="B9" s="16" t="s">
        <v>3</v>
      </c>
      <c r="C9" s="19">
        <v>6</v>
      </c>
      <c r="D9" s="19">
        <v>6</v>
      </c>
      <c r="E9" s="16" t="s">
        <v>807</v>
      </c>
      <c r="F9" s="16" t="s">
        <v>794</v>
      </c>
      <c r="G9" t="s">
        <v>3</v>
      </c>
      <c r="H9" s="6" t="s">
        <v>930</v>
      </c>
      <c r="I9" s="6" t="s">
        <v>933</v>
      </c>
    </row>
    <row r="10" spans="1:9" x14ac:dyDescent="0.25">
      <c r="A10" s="16" t="s">
        <v>806</v>
      </c>
      <c r="B10" s="16" t="s">
        <v>805</v>
      </c>
      <c r="C10" s="19">
        <v>18</v>
      </c>
      <c r="D10" s="19">
        <v>18</v>
      </c>
      <c r="E10" s="16" t="s">
        <v>803</v>
      </c>
      <c r="F10" s="16" t="s">
        <v>794</v>
      </c>
      <c r="G10" t="s">
        <v>799</v>
      </c>
      <c r="H10" s="6" t="s">
        <v>931</v>
      </c>
      <c r="I10" s="6" t="s">
        <v>932</v>
      </c>
    </row>
    <row r="11" spans="1:9" x14ac:dyDescent="0.25">
      <c r="A11" s="16" t="s">
        <v>804</v>
      </c>
      <c r="B11" s="16" t="s">
        <v>7</v>
      </c>
      <c r="C11" s="19">
        <v>10</v>
      </c>
      <c r="D11" s="19">
        <v>10</v>
      </c>
      <c r="E11" s="16" t="s">
        <v>803</v>
      </c>
      <c r="F11" s="16" t="s">
        <v>794</v>
      </c>
      <c r="G11" t="s">
        <v>925</v>
      </c>
      <c r="H11" s="6">
        <v>24</v>
      </c>
      <c r="I11" s="6">
        <v>0</v>
      </c>
    </row>
    <row r="12" spans="1:9" x14ac:dyDescent="0.25">
      <c r="A12" s="16" t="s">
        <v>802</v>
      </c>
      <c r="B12" s="16" t="s">
        <v>799</v>
      </c>
      <c r="C12" s="19">
        <v>8</v>
      </c>
      <c r="D12" s="19">
        <v>8</v>
      </c>
      <c r="E12" s="16" t="s">
        <v>801</v>
      </c>
      <c r="F12" s="16" t="s">
        <v>794</v>
      </c>
      <c r="G12" t="s">
        <v>938</v>
      </c>
      <c r="H12" s="6" t="s">
        <v>939</v>
      </c>
      <c r="I12" s="6" t="s">
        <v>939</v>
      </c>
    </row>
    <row r="13" spans="1:9" x14ac:dyDescent="0.25">
      <c r="A13" s="16" t="s">
        <v>800</v>
      </c>
      <c r="B13" s="16" t="s">
        <v>799</v>
      </c>
      <c r="C13" s="19">
        <v>25</v>
      </c>
      <c r="D13" s="19">
        <v>25</v>
      </c>
      <c r="E13" s="16" t="s">
        <v>798</v>
      </c>
      <c r="F13" s="16" t="s">
        <v>794</v>
      </c>
    </row>
    <row r="14" spans="1:9" x14ac:dyDescent="0.25">
      <c r="A14" s="16" t="s">
        <v>797</v>
      </c>
      <c r="B14" s="16" t="s">
        <v>796</v>
      </c>
      <c r="C14" s="19">
        <v>12</v>
      </c>
      <c r="D14" s="19">
        <v>12</v>
      </c>
      <c r="E14" s="16" t="s">
        <v>795</v>
      </c>
      <c r="F14" s="16" t="s">
        <v>794</v>
      </c>
    </row>
  </sheetData>
  <phoneticPr fontId="18" type="noConversion"/>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A52CD-E56B-4433-B43C-7623E1D89F7B}">
  <sheetPr>
    <tabColor theme="4"/>
  </sheetPr>
  <dimension ref="A1:W37"/>
  <sheetViews>
    <sheetView showGridLines="0" zoomScale="93" workbookViewId="0">
      <selection activeCell="H2" sqref="H2"/>
    </sheetView>
  </sheetViews>
  <sheetFormatPr defaultRowHeight="15" x14ac:dyDescent="0.25"/>
  <cols>
    <col min="1" max="1" width="13.7109375" style="33" bestFit="1" customWidth="1"/>
    <col min="2" max="2" width="16" style="33" bestFit="1" customWidth="1"/>
    <col min="3" max="16384" width="9.140625" style="33"/>
  </cols>
  <sheetData>
    <row r="1" spans="1:23" ht="28.5" x14ac:dyDescent="0.45">
      <c r="A1" s="36"/>
      <c r="B1" s="36"/>
      <c r="C1" s="36"/>
      <c r="D1" s="36"/>
      <c r="E1" s="36"/>
      <c r="F1" s="36"/>
      <c r="G1" s="36"/>
      <c r="H1" s="39" t="s">
        <v>947</v>
      </c>
      <c r="I1" s="36"/>
      <c r="J1" s="38"/>
      <c r="K1" s="36"/>
      <c r="L1" s="36"/>
      <c r="M1" s="36"/>
      <c r="N1" s="36"/>
      <c r="O1" s="36"/>
      <c r="P1" s="36"/>
      <c r="Q1" s="36"/>
      <c r="R1" s="36"/>
      <c r="S1" s="36"/>
      <c r="T1" s="36"/>
      <c r="U1" s="36"/>
      <c r="V1" s="36"/>
      <c r="W1" s="36"/>
    </row>
    <row r="2" spans="1:23" x14ac:dyDescent="0.25">
      <c r="A2" s="36"/>
      <c r="B2" s="36"/>
      <c r="C2" s="36"/>
      <c r="D2" s="36"/>
      <c r="E2" s="36"/>
      <c r="F2" s="36"/>
      <c r="G2" s="36"/>
      <c r="H2" s="36"/>
      <c r="I2" s="36"/>
      <c r="J2" s="37"/>
      <c r="K2" s="36"/>
      <c r="L2" s="36"/>
      <c r="M2" s="36"/>
      <c r="N2" s="36"/>
      <c r="O2" s="36"/>
      <c r="P2" s="36"/>
      <c r="Q2" s="36"/>
      <c r="R2" s="36"/>
      <c r="S2" s="36"/>
      <c r="T2" s="36"/>
      <c r="U2" s="36"/>
      <c r="V2" s="36"/>
      <c r="W2" s="36"/>
    </row>
    <row r="32" spans="1:2" x14ac:dyDescent="0.25">
      <c r="A32" s="33" t="s">
        <v>896</v>
      </c>
      <c r="B32" s="33" t="s">
        <v>944</v>
      </c>
    </row>
    <row r="33" spans="1:2" x14ac:dyDescent="0.25">
      <c r="A33" s="34" t="s">
        <v>59</v>
      </c>
      <c r="B33" s="35">
        <v>7911135</v>
      </c>
    </row>
    <row r="34" spans="1:2" x14ac:dyDescent="0.25">
      <c r="A34" s="34" t="s">
        <v>21</v>
      </c>
      <c r="B34" s="35">
        <v>6184895</v>
      </c>
    </row>
    <row r="35" spans="1:2" x14ac:dyDescent="0.25">
      <c r="A35" s="34" t="s">
        <v>49</v>
      </c>
      <c r="B35" s="35">
        <v>5614616</v>
      </c>
    </row>
    <row r="36" spans="1:2" x14ac:dyDescent="0.25">
      <c r="A36" s="34" t="s">
        <v>28</v>
      </c>
      <c r="B36" s="35">
        <v>6713216</v>
      </c>
    </row>
    <row r="37" spans="1:2" x14ac:dyDescent="0.25">
      <c r="A37" s="34" t="s">
        <v>897</v>
      </c>
      <c r="B37" s="35">
        <v>26423862</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39997558519241921"/>
  </sheetPr>
  <dimension ref="A1:W505"/>
  <sheetViews>
    <sheetView zoomScale="103" zoomScaleNormal="85" workbookViewId="0">
      <selection activeCell="X2" sqref="X2"/>
    </sheetView>
  </sheetViews>
  <sheetFormatPr defaultRowHeight="15" x14ac:dyDescent="0.25"/>
  <cols>
    <col min="1" max="1" width="11.7109375" customWidth="1"/>
    <col min="3" max="3" width="11.140625" customWidth="1"/>
    <col min="4" max="4" width="17" customWidth="1"/>
    <col min="6" max="6" width="17.7109375" customWidth="1"/>
    <col min="7" max="7" width="24.42578125" customWidth="1"/>
    <col min="8" max="8" width="16" customWidth="1"/>
    <col min="9" max="9" width="10.42578125" customWidth="1"/>
    <col min="10" max="10" width="9.85546875" customWidth="1"/>
    <col min="11" max="11" width="16.140625" customWidth="1"/>
    <col min="12" max="12" width="16.28515625" customWidth="1"/>
    <col min="13" max="13" width="14.140625" customWidth="1"/>
    <col min="14" max="14" width="13.28515625" customWidth="1"/>
    <col min="15" max="15" width="18.140625" customWidth="1"/>
    <col min="16" max="16" width="18" customWidth="1"/>
    <col min="20" max="20" width="18.28515625" customWidth="1"/>
  </cols>
  <sheetData>
    <row r="1" spans="1:23" x14ac:dyDescent="0.25">
      <c r="A1" t="s">
        <v>0</v>
      </c>
      <c r="B1" t="s">
        <v>793</v>
      </c>
      <c r="C1" t="s">
        <v>792</v>
      </c>
      <c r="D1" t="s">
        <v>791</v>
      </c>
      <c r="E1" t="s">
        <v>3</v>
      </c>
      <c r="F1" t="s">
        <v>4</v>
      </c>
      <c r="G1" t="s">
        <v>790</v>
      </c>
      <c r="H1" t="s">
        <v>789</v>
      </c>
      <c r="I1" t="s">
        <v>825</v>
      </c>
      <c r="J1" t="s">
        <v>880</v>
      </c>
      <c r="K1" t="s">
        <v>788</v>
      </c>
      <c r="L1" t="s">
        <v>881</v>
      </c>
      <c r="M1" t="s">
        <v>882</v>
      </c>
      <c r="N1" t="s">
        <v>883</v>
      </c>
      <c r="O1" t="s">
        <v>884</v>
      </c>
      <c r="P1" t="s">
        <v>885</v>
      </c>
      <c r="Q1" t="s">
        <v>886</v>
      </c>
      <c r="R1" t="s">
        <v>887</v>
      </c>
      <c r="S1" t="s">
        <v>888</v>
      </c>
      <c r="T1" t="s">
        <v>889</v>
      </c>
      <c r="U1" t="s">
        <v>891</v>
      </c>
      <c r="V1" t="s">
        <v>892</v>
      </c>
      <c r="W1" t="s">
        <v>893</v>
      </c>
    </row>
    <row r="2" spans="1:23" x14ac:dyDescent="0.25">
      <c r="A2" t="s">
        <v>12</v>
      </c>
      <c r="B2" t="s">
        <v>13</v>
      </c>
      <c r="C2" t="s">
        <v>14</v>
      </c>
      <c r="D2" t="s">
        <v>17</v>
      </c>
      <c r="E2" t="s">
        <v>15</v>
      </c>
      <c r="F2" s="1">
        <v>45946</v>
      </c>
      <c r="G2">
        <v>112.18</v>
      </c>
      <c r="H2">
        <v>1164.33</v>
      </c>
      <c r="I2" t="str">
        <f t="shared" ref="I2:I65" si="0">PROPER(B2)</f>
        <v>Bengaluru</v>
      </c>
      <c r="J2" t="str">
        <f t="shared" ref="J2:J65" si="1">TRIM(I2)</f>
        <v>Bengaluru</v>
      </c>
      <c r="K2" t="str">
        <f t="shared" ref="K2:K65" si="2">PROPER(C2)</f>
        <v>Charge Point</v>
      </c>
      <c r="L2" s="4" t="str">
        <f t="shared" ref="L2:L65" si="3">TRIM(K2)</f>
        <v>Charge Point</v>
      </c>
      <c r="M2" s="4" t="str">
        <f t="shared" ref="M2:M65" si="4">PROPER(D2)</f>
        <v>Type2 Ac</v>
      </c>
      <c r="N2" s="4" t="str">
        <f t="shared" ref="N2:N65" si="5">TRIM(M2)</f>
        <v>Type2 Ac</v>
      </c>
      <c r="O2" s="4" t="str">
        <f t="shared" ref="O2:O65" si="6">PROPER(E2)</f>
        <v>Decommissioned</v>
      </c>
      <c r="P2" s="4" t="str">
        <f t="shared" ref="P2:P65" si="7">TRIM(O2)</f>
        <v>Decommissioned</v>
      </c>
      <c r="Q2" s="4" t="str">
        <f t="shared" ref="Q2:Q65" si="8">IF(TRIM(I1)=" ","Mumbai",I2)</f>
        <v>Bengaluru</v>
      </c>
      <c r="R2" s="4" t="b">
        <f t="shared" ref="R2:R65" si="9">ISNUMBER(F2)</f>
        <v>1</v>
      </c>
      <c r="S2" s="5" t="str">
        <f t="shared" ref="S2:S65" si="10">TRIM(F2)</f>
        <v>45946</v>
      </c>
      <c r="T2" s="4" t="str">
        <f t="shared" ref="T2:T65" si="11">IF(L2="Tata Power","Government",IF(L2="Bpcl","Government","Private"))</f>
        <v>Private</v>
      </c>
      <c r="U2" s="4" t="str">
        <f t="shared" ref="U2:U65" si="12">IF(N2="Type2 Ac","Slow",IF(N2="Ccs2","Ultra Fast","fast"))</f>
        <v>Slow</v>
      </c>
      <c r="V2" s="4">
        <f t="shared" ref="V2:V65" si="13">YEAR(F2)</f>
        <v>2025</v>
      </c>
      <c r="W2" s="4" t="str">
        <f t="shared" ref="W2:W65" si="14">IF(N2="Type2 Ac","Germany",IF(N2="Chademo","Japan",IF(N2="Ccs2","Europe","India")))</f>
        <v>Germany</v>
      </c>
    </row>
    <row r="3" spans="1:23" x14ac:dyDescent="0.25">
      <c r="A3" t="s">
        <v>22</v>
      </c>
      <c r="B3" t="s">
        <v>23</v>
      </c>
      <c r="C3" t="s">
        <v>14</v>
      </c>
      <c r="D3" t="s">
        <v>26</v>
      </c>
      <c r="E3" t="s">
        <v>24</v>
      </c>
      <c r="F3" s="1">
        <v>45406</v>
      </c>
      <c r="G3">
        <v>1786.55</v>
      </c>
      <c r="H3">
        <v>24143.48</v>
      </c>
      <c r="I3" t="str">
        <f t="shared" si="0"/>
        <v>Ahemdabad</v>
      </c>
      <c r="J3" t="str">
        <f t="shared" si="1"/>
        <v>Ahemdabad</v>
      </c>
      <c r="K3" t="str">
        <f t="shared" si="2"/>
        <v>Charge Point</v>
      </c>
      <c r="L3" s="4" t="str">
        <f t="shared" si="3"/>
        <v>Charge Point</v>
      </c>
      <c r="M3" s="4" t="str">
        <f t="shared" si="4"/>
        <v>Chademo</v>
      </c>
      <c r="N3" s="4" t="str">
        <f t="shared" si="5"/>
        <v>Chademo</v>
      </c>
      <c r="O3" s="4" t="str">
        <f t="shared" si="6"/>
        <v>Active</v>
      </c>
      <c r="P3" s="4" t="str">
        <f t="shared" si="7"/>
        <v>Active</v>
      </c>
      <c r="Q3" s="4" t="str">
        <f t="shared" si="8"/>
        <v>Ahemdabad</v>
      </c>
      <c r="R3" s="4" t="b">
        <f t="shared" si="9"/>
        <v>1</v>
      </c>
      <c r="S3" s="5" t="str">
        <f t="shared" si="10"/>
        <v>45406</v>
      </c>
      <c r="T3" s="4" t="str">
        <f t="shared" si="11"/>
        <v>Private</v>
      </c>
      <c r="U3" s="4" t="str">
        <f t="shared" si="12"/>
        <v>fast</v>
      </c>
      <c r="V3" s="4">
        <f t="shared" si="13"/>
        <v>2024</v>
      </c>
      <c r="W3" s="4" t="str">
        <f t="shared" si="14"/>
        <v>Japan</v>
      </c>
    </row>
    <row r="4" spans="1:23" x14ac:dyDescent="0.25">
      <c r="A4" t="s">
        <v>29</v>
      </c>
      <c r="B4" t="s">
        <v>30</v>
      </c>
      <c r="C4" t="s">
        <v>14</v>
      </c>
      <c r="D4" t="s">
        <v>17</v>
      </c>
      <c r="E4" t="s">
        <v>31</v>
      </c>
      <c r="F4" s="1">
        <v>45317</v>
      </c>
      <c r="G4">
        <v>2840.65</v>
      </c>
      <c r="H4">
        <v>28037.81</v>
      </c>
      <c r="I4" t="str">
        <f t="shared" si="0"/>
        <v>Hyderabad</v>
      </c>
      <c r="J4" t="str">
        <f t="shared" si="1"/>
        <v>Hyderabad</v>
      </c>
      <c r="K4" t="str">
        <f t="shared" si="2"/>
        <v>Charge Point</v>
      </c>
      <c r="L4" s="4" t="str">
        <f t="shared" si="3"/>
        <v>Charge Point</v>
      </c>
      <c r="M4" s="4" t="str">
        <f t="shared" si="4"/>
        <v>Type2 Ac</v>
      </c>
      <c r="N4" s="4" t="str">
        <f t="shared" si="5"/>
        <v>Type2 Ac</v>
      </c>
      <c r="O4" s="4" t="str">
        <f t="shared" si="6"/>
        <v>Maintenance</v>
      </c>
      <c r="P4" s="4" t="str">
        <f t="shared" si="7"/>
        <v>Maintenance</v>
      </c>
      <c r="Q4" s="4" t="str">
        <f t="shared" si="8"/>
        <v>Hyderabad</v>
      </c>
      <c r="R4" s="4" t="b">
        <f t="shared" si="9"/>
        <v>1</v>
      </c>
      <c r="S4" s="5" t="str">
        <f t="shared" si="10"/>
        <v>45317</v>
      </c>
      <c r="T4" s="4" t="str">
        <f t="shared" si="11"/>
        <v>Private</v>
      </c>
      <c r="U4" s="4" t="str">
        <f t="shared" si="12"/>
        <v>Slow</v>
      </c>
      <c r="V4" s="4">
        <f t="shared" si="13"/>
        <v>2024</v>
      </c>
      <c r="W4" s="4" t="str">
        <f t="shared" si="14"/>
        <v>Germany</v>
      </c>
    </row>
    <row r="5" spans="1:23" x14ac:dyDescent="0.25">
      <c r="A5" t="s">
        <v>34</v>
      </c>
      <c r="B5" t="s">
        <v>35</v>
      </c>
      <c r="C5" t="s">
        <v>36</v>
      </c>
      <c r="D5" t="s">
        <v>26</v>
      </c>
      <c r="E5" t="s">
        <v>24</v>
      </c>
      <c r="F5" s="1">
        <v>46051</v>
      </c>
      <c r="G5">
        <v>8446.73</v>
      </c>
      <c r="H5">
        <v>67725.52</v>
      </c>
      <c r="I5" t="str">
        <f t="shared" si="0"/>
        <v>Chennai</v>
      </c>
      <c r="J5" t="str">
        <f t="shared" si="1"/>
        <v>Chennai</v>
      </c>
      <c r="K5" t="str">
        <f t="shared" si="2"/>
        <v>Zeon Charging</v>
      </c>
      <c r="L5" s="4" t="str">
        <f t="shared" si="3"/>
        <v>Zeon Charging</v>
      </c>
      <c r="M5" s="4" t="str">
        <f t="shared" si="4"/>
        <v>Chademo</v>
      </c>
      <c r="N5" s="4" t="str">
        <f t="shared" si="5"/>
        <v>Chademo</v>
      </c>
      <c r="O5" s="4" t="str">
        <f t="shared" si="6"/>
        <v>Active</v>
      </c>
      <c r="P5" s="4" t="str">
        <f t="shared" si="7"/>
        <v>Active</v>
      </c>
      <c r="Q5" s="4" t="str">
        <f t="shared" si="8"/>
        <v>Chennai</v>
      </c>
      <c r="R5" s="4" t="b">
        <f t="shared" si="9"/>
        <v>1</v>
      </c>
      <c r="S5" s="5" t="str">
        <f t="shared" si="10"/>
        <v>46051</v>
      </c>
      <c r="T5" s="4" t="str">
        <f t="shared" si="11"/>
        <v>Private</v>
      </c>
      <c r="U5" s="4" t="str">
        <f t="shared" si="12"/>
        <v>fast</v>
      </c>
      <c r="V5" s="4">
        <f t="shared" si="13"/>
        <v>2026</v>
      </c>
      <c r="W5" s="4" t="str">
        <f t="shared" si="14"/>
        <v>Japan</v>
      </c>
    </row>
    <row r="6" spans="1:23" x14ac:dyDescent="0.25">
      <c r="A6" t="s">
        <v>39</v>
      </c>
      <c r="B6" t="s">
        <v>40</v>
      </c>
      <c r="C6" t="s">
        <v>41</v>
      </c>
      <c r="D6" t="s">
        <v>17</v>
      </c>
      <c r="E6" t="s">
        <v>31</v>
      </c>
      <c r="F6" s="1"/>
      <c r="G6">
        <v>532.26</v>
      </c>
      <c r="H6">
        <v>6963.22</v>
      </c>
      <c r="I6" t="str">
        <f t="shared" si="0"/>
        <v>Mumbai</v>
      </c>
      <c r="J6" t="str">
        <f t="shared" si="1"/>
        <v>Mumbai</v>
      </c>
      <c r="K6" t="str">
        <f t="shared" si="2"/>
        <v>Ather Grid</v>
      </c>
      <c r="L6" s="4" t="str">
        <f t="shared" si="3"/>
        <v>Ather Grid</v>
      </c>
      <c r="M6" s="4" t="str">
        <f t="shared" si="4"/>
        <v>Type2 Ac</v>
      </c>
      <c r="N6" s="4" t="str">
        <f t="shared" si="5"/>
        <v>Type2 Ac</v>
      </c>
      <c r="O6" s="4" t="str">
        <f t="shared" si="6"/>
        <v>Maintenance</v>
      </c>
      <c r="P6" s="4" t="str">
        <f t="shared" si="7"/>
        <v>Maintenance</v>
      </c>
      <c r="Q6" s="4" t="str">
        <f t="shared" si="8"/>
        <v>Mumbai</v>
      </c>
      <c r="R6" s="4" t="b">
        <f t="shared" si="9"/>
        <v>0</v>
      </c>
      <c r="S6" s="4" t="str">
        <f t="shared" si="10"/>
        <v/>
      </c>
      <c r="T6" s="4" t="str">
        <f t="shared" si="11"/>
        <v>Private</v>
      </c>
      <c r="U6" s="4" t="str">
        <f t="shared" si="12"/>
        <v>Slow</v>
      </c>
      <c r="V6" s="4">
        <f t="shared" si="13"/>
        <v>1900</v>
      </c>
      <c r="W6" s="4" t="str">
        <f t="shared" si="14"/>
        <v>Germany</v>
      </c>
    </row>
    <row r="7" spans="1:23" x14ac:dyDescent="0.25">
      <c r="A7" t="s">
        <v>42</v>
      </c>
      <c r="B7" t="s">
        <v>775</v>
      </c>
      <c r="C7" t="s">
        <v>36</v>
      </c>
      <c r="D7" t="s">
        <v>17</v>
      </c>
      <c r="E7" t="s">
        <v>769</v>
      </c>
      <c r="F7" s="1">
        <v>45542</v>
      </c>
      <c r="G7">
        <v>914.32</v>
      </c>
      <c r="H7">
        <v>12674.61</v>
      </c>
      <c r="I7" t="str">
        <f t="shared" si="0"/>
        <v xml:space="preserve"> Mumbai</v>
      </c>
      <c r="J7" t="str">
        <f t="shared" si="1"/>
        <v>Mumbai</v>
      </c>
      <c r="K7" t="str">
        <f t="shared" si="2"/>
        <v>Zeon Charging</v>
      </c>
      <c r="L7" s="4" t="str">
        <f t="shared" si="3"/>
        <v>Zeon Charging</v>
      </c>
      <c r="M7" s="4" t="str">
        <f t="shared" si="4"/>
        <v>Type2 Ac</v>
      </c>
      <c r="N7" s="4" t="str">
        <f t="shared" si="5"/>
        <v>Type2 Ac</v>
      </c>
      <c r="O7" s="4" t="str">
        <f t="shared" si="6"/>
        <v>Active</v>
      </c>
      <c r="P7" s="4" t="str">
        <f t="shared" si="7"/>
        <v>Active</v>
      </c>
      <c r="Q7" s="4" t="str">
        <f t="shared" si="8"/>
        <v xml:space="preserve"> Mumbai</v>
      </c>
      <c r="R7" s="4" t="b">
        <f t="shared" si="9"/>
        <v>1</v>
      </c>
      <c r="S7" s="5" t="str">
        <f t="shared" si="10"/>
        <v>45542</v>
      </c>
      <c r="T7" s="4" t="str">
        <f t="shared" si="11"/>
        <v>Private</v>
      </c>
      <c r="U7" s="4" t="str">
        <f t="shared" si="12"/>
        <v>Slow</v>
      </c>
      <c r="V7" s="4">
        <f t="shared" si="13"/>
        <v>2024</v>
      </c>
      <c r="W7" s="4" t="str">
        <f t="shared" si="14"/>
        <v>Germany</v>
      </c>
    </row>
    <row r="8" spans="1:23" x14ac:dyDescent="0.25">
      <c r="A8" t="s">
        <v>43</v>
      </c>
      <c r="B8" t="s">
        <v>40</v>
      </c>
      <c r="C8" t="s">
        <v>41</v>
      </c>
      <c r="D8" t="s">
        <v>17</v>
      </c>
      <c r="E8" t="s">
        <v>31</v>
      </c>
      <c r="F8" s="1">
        <v>45520</v>
      </c>
      <c r="G8">
        <v>1170.73</v>
      </c>
      <c r="H8">
        <v>14118.38</v>
      </c>
      <c r="I8" t="str">
        <f t="shared" si="0"/>
        <v>Mumbai</v>
      </c>
      <c r="J8" t="str">
        <f t="shared" si="1"/>
        <v>Mumbai</v>
      </c>
      <c r="K8" t="str">
        <f t="shared" si="2"/>
        <v>Ather Grid</v>
      </c>
      <c r="L8" s="4" t="str">
        <f t="shared" si="3"/>
        <v>Ather Grid</v>
      </c>
      <c r="M8" s="4" t="str">
        <f t="shared" si="4"/>
        <v>Type2 Ac</v>
      </c>
      <c r="N8" s="4" t="str">
        <f t="shared" si="5"/>
        <v>Type2 Ac</v>
      </c>
      <c r="O8" s="4" t="str">
        <f t="shared" si="6"/>
        <v>Maintenance</v>
      </c>
      <c r="P8" s="4" t="str">
        <f t="shared" si="7"/>
        <v>Maintenance</v>
      </c>
      <c r="Q8" s="4" t="str">
        <f t="shared" si="8"/>
        <v>Mumbai</v>
      </c>
      <c r="R8" s="4" t="b">
        <f t="shared" si="9"/>
        <v>1</v>
      </c>
      <c r="S8" s="5" t="str">
        <f t="shared" si="10"/>
        <v>45520</v>
      </c>
      <c r="T8" s="4" t="str">
        <f t="shared" si="11"/>
        <v>Private</v>
      </c>
      <c r="U8" s="4" t="str">
        <f t="shared" si="12"/>
        <v>Slow</v>
      </c>
      <c r="V8" s="4">
        <f t="shared" si="13"/>
        <v>2024</v>
      </c>
      <c r="W8" s="4" t="str">
        <f t="shared" si="14"/>
        <v>Germany</v>
      </c>
    </row>
    <row r="9" spans="1:23" x14ac:dyDescent="0.25">
      <c r="A9" t="s">
        <v>45</v>
      </c>
      <c r="B9" t="s">
        <v>46</v>
      </c>
      <c r="C9" t="s">
        <v>36</v>
      </c>
      <c r="D9" t="s">
        <v>48</v>
      </c>
      <c r="E9" t="s">
        <v>24</v>
      </c>
      <c r="F9" s="1">
        <v>45434</v>
      </c>
      <c r="G9">
        <v>6854.04</v>
      </c>
      <c r="H9">
        <v>86495.14</v>
      </c>
      <c r="I9" t="str">
        <f t="shared" si="0"/>
        <v>Kolkata</v>
      </c>
      <c r="J9" t="str">
        <f t="shared" si="1"/>
        <v>Kolkata</v>
      </c>
      <c r="K9" t="str">
        <f t="shared" si="2"/>
        <v>Zeon Charging</v>
      </c>
      <c r="L9" s="4" t="str">
        <f t="shared" si="3"/>
        <v>Zeon Charging</v>
      </c>
      <c r="M9" s="4" t="str">
        <f t="shared" si="4"/>
        <v>Bharat Dc-001</v>
      </c>
      <c r="N9" s="4" t="str">
        <f t="shared" si="5"/>
        <v>Bharat Dc-001</v>
      </c>
      <c r="O9" s="4" t="str">
        <f t="shared" si="6"/>
        <v>Active</v>
      </c>
      <c r="P9" s="4" t="str">
        <f t="shared" si="7"/>
        <v>Active</v>
      </c>
      <c r="Q9" s="4" t="str">
        <f t="shared" si="8"/>
        <v>Kolkata</v>
      </c>
      <c r="R9" s="4" t="b">
        <f t="shared" si="9"/>
        <v>1</v>
      </c>
      <c r="S9" s="5" t="str">
        <f t="shared" si="10"/>
        <v>45434</v>
      </c>
      <c r="T9" s="4" t="str">
        <f t="shared" si="11"/>
        <v>Private</v>
      </c>
      <c r="U9" s="4" t="str">
        <f t="shared" si="12"/>
        <v>fast</v>
      </c>
      <c r="V9" s="4">
        <f t="shared" si="13"/>
        <v>2024</v>
      </c>
      <c r="W9" s="4" t="str">
        <f t="shared" si="14"/>
        <v>India</v>
      </c>
    </row>
    <row r="10" spans="1:23" x14ac:dyDescent="0.25">
      <c r="A10" t="s">
        <v>50</v>
      </c>
      <c r="B10" t="s">
        <v>766</v>
      </c>
      <c r="C10" t="s">
        <v>36</v>
      </c>
      <c r="D10" t="s">
        <v>48</v>
      </c>
      <c r="E10" t="s">
        <v>24</v>
      </c>
      <c r="F10" s="1">
        <v>46046</v>
      </c>
      <c r="G10">
        <v>5442.55</v>
      </c>
      <c r="H10">
        <v>76504.97</v>
      </c>
      <c r="I10" t="str">
        <f t="shared" si="0"/>
        <v>Chennai</v>
      </c>
      <c r="J10" t="str">
        <f t="shared" si="1"/>
        <v>Chennai</v>
      </c>
      <c r="K10" t="str">
        <f t="shared" si="2"/>
        <v>Zeon Charging</v>
      </c>
      <c r="L10" s="4" t="str">
        <f t="shared" si="3"/>
        <v>Zeon Charging</v>
      </c>
      <c r="M10" s="4" t="str">
        <f t="shared" si="4"/>
        <v>Bharat Dc-001</v>
      </c>
      <c r="N10" s="4" t="str">
        <f t="shared" si="5"/>
        <v>Bharat Dc-001</v>
      </c>
      <c r="O10" s="4" t="str">
        <f t="shared" si="6"/>
        <v>Active</v>
      </c>
      <c r="P10" s="4" t="str">
        <f t="shared" si="7"/>
        <v>Active</v>
      </c>
      <c r="Q10" s="4" t="str">
        <f t="shared" si="8"/>
        <v>Chennai</v>
      </c>
      <c r="R10" s="4" t="b">
        <f t="shared" si="9"/>
        <v>1</v>
      </c>
      <c r="S10" s="5" t="str">
        <f t="shared" si="10"/>
        <v>46046</v>
      </c>
      <c r="T10" s="4" t="str">
        <f t="shared" si="11"/>
        <v>Private</v>
      </c>
      <c r="U10" s="4" t="str">
        <f t="shared" si="12"/>
        <v>fast</v>
      </c>
      <c r="V10" s="4">
        <f t="shared" si="13"/>
        <v>2026</v>
      </c>
      <c r="W10" s="4" t="str">
        <f t="shared" si="14"/>
        <v>India</v>
      </c>
    </row>
    <row r="11" spans="1:23" x14ac:dyDescent="0.25">
      <c r="A11" t="s">
        <v>52</v>
      </c>
      <c r="B11" t="s">
        <v>30</v>
      </c>
      <c r="C11" t="s">
        <v>865</v>
      </c>
      <c r="D11" t="s">
        <v>56</v>
      </c>
      <c r="E11" t="s">
        <v>54</v>
      </c>
      <c r="F11" s="1">
        <v>45396</v>
      </c>
      <c r="G11">
        <v>20.91</v>
      </c>
      <c r="H11">
        <v>232.64</v>
      </c>
      <c r="I11" t="str">
        <f t="shared" si="0"/>
        <v>Hyderabad</v>
      </c>
      <c r="J11" t="str">
        <f t="shared" si="1"/>
        <v>Hyderabad</v>
      </c>
      <c r="K11" t="str">
        <f t="shared" si="2"/>
        <v>Bpcl</v>
      </c>
      <c r="L11" s="4" t="str">
        <f t="shared" si="3"/>
        <v>Bpcl</v>
      </c>
      <c r="M11" s="4" t="str">
        <f t="shared" si="4"/>
        <v>Ccs2</v>
      </c>
      <c r="N11" s="4" t="str">
        <f t="shared" si="5"/>
        <v>Ccs2</v>
      </c>
      <c r="O11" s="4" t="str">
        <f t="shared" si="6"/>
        <v>Inactive</v>
      </c>
      <c r="P11" s="4" t="str">
        <f t="shared" si="7"/>
        <v>Inactive</v>
      </c>
      <c r="Q11" s="4" t="str">
        <f t="shared" si="8"/>
        <v>Hyderabad</v>
      </c>
      <c r="R11" s="4" t="b">
        <f t="shared" si="9"/>
        <v>1</v>
      </c>
      <c r="S11" s="5" t="str">
        <f t="shared" si="10"/>
        <v>45396</v>
      </c>
      <c r="T11" s="4" t="str">
        <f t="shared" si="11"/>
        <v>Government</v>
      </c>
      <c r="U11" s="4" t="str">
        <f t="shared" si="12"/>
        <v>Ultra Fast</v>
      </c>
      <c r="V11" s="4">
        <f t="shared" si="13"/>
        <v>2024</v>
      </c>
      <c r="W11" s="4" t="str">
        <f t="shared" si="14"/>
        <v>Europe</v>
      </c>
    </row>
    <row r="12" spans="1:23" x14ac:dyDescent="0.25">
      <c r="A12" t="s">
        <v>60</v>
      </c>
      <c r="B12" t="s">
        <v>40</v>
      </c>
      <c r="C12" t="s">
        <v>36</v>
      </c>
      <c r="D12" t="s">
        <v>56</v>
      </c>
      <c r="E12" t="s">
        <v>24</v>
      </c>
      <c r="F12" s="1">
        <v>45984</v>
      </c>
      <c r="G12">
        <v>4693.49</v>
      </c>
      <c r="H12">
        <v>53460.68</v>
      </c>
      <c r="I12" t="str">
        <f t="shared" si="0"/>
        <v>Mumbai</v>
      </c>
      <c r="J12" t="str">
        <f t="shared" si="1"/>
        <v>Mumbai</v>
      </c>
      <c r="K12" t="str">
        <f t="shared" si="2"/>
        <v>Zeon Charging</v>
      </c>
      <c r="L12" s="4" t="str">
        <f t="shared" si="3"/>
        <v>Zeon Charging</v>
      </c>
      <c r="M12" s="4" t="str">
        <f t="shared" si="4"/>
        <v>Ccs2</v>
      </c>
      <c r="N12" s="4" t="str">
        <f t="shared" si="5"/>
        <v>Ccs2</v>
      </c>
      <c r="O12" s="4" t="str">
        <f t="shared" si="6"/>
        <v>Active</v>
      </c>
      <c r="P12" s="4" t="str">
        <f t="shared" si="7"/>
        <v>Active</v>
      </c>
      <c r="Q12" s="4" t="str">
        <f t="shared" si="8"/>
        <v>Mumbai</v>
      </c>
      <c r="R12" s="4" t="b">
        <f t="shared" si="9"/>
        <v>1</v>
      </c>
      <c r="S12" s="5" t="str">
        <f t="shared" si="10"/>
        <v>45984</v>
      </c>
      <c r="T12" s="4" t="str">
        <f t="shared" si="11"/>
        <v>Private</v>
      </c>
      <c r="U12" s="4" t="str">
        <f t="shared" si="12"/>
        <v>Ultra Fast</v>
      </c>
      <c r="V12" s="4">
        <f t="shared" si="13"/>
        <v>2025</v>
      </c>
      <c r="W12" s="4" t="str">
        <f t="shared" si="14"/>
        <v>Europe</v>
      </c>
    </row>
    <row r="13" spans="1:23" x14ac:dyDescent="0.25">
      <c r="A13" t="s">
        <v>62</v>
      </c>
      <c r="B13" t="s">
        <v>23</v>
      </c>
      <c r="C13" t="s">
        <v>63</v>
      </c>
      <c r="D13" t="s">
        <v>26</v>
      </c>
      <c r="E13" t="s">
        <v>24</v>
      </c>
      <c r="F13" s="1">
        <v>46050</v>
      </c>
      <c r="G13">
        <v>11230.51</v>
      </c>
      <c r="H13">
        <v>115978.37</v>
      </c>
      <c r="I13" t="str">
        <f t="shared" si="0"/>
        <v>Ahemdabad</v>
      </c>
      <c r="J13" t="str">
        <f t="shared" si="1"/>
        <v>Ahemdabad</v>
      </c>
      <c r="K13" t="str">
        <f t="shared" si="2"/>
        <v>Tata Power</v>
      </c>
      <c r="L13" s="4" t="str">
        <f t="shared" si="3"/>
        <v>Tata Power</v>
      </c>
      <c r="M13" s="4" t="str">
        <f t="shared" si="4"/>
        <v>Chademo</v>
      </c>
      <c r="N13" s="4" t="str">
        <f t="shared" si="5"/>
        <v>Chademo</v>
      </c>
      <c r="O13" s="4" t="str">
        <f t="shared" si="6"/>
        <v>Active</v>
      </c>
      <c r="P13" s="4" t="str">
        <f t="shared" si="7"/>
        <v>Active</v>
      </c>
      <c r="Q13" s="4" t="str">
        <f t="shared" si="8"/>
        <v>Ahemdabad</v>
      </c>
      <c r="R13" s="4" t="b">
        <f t="shared" si="9"/>
        <v>1</v>
      </c>
      <c r="S13" s="5" t="str">
        <f t="shared" si="10"/>
        <v>46050</v>
      </c>
      <c r="T13" s="4" t="str">
        <f t="shared" si="11"/>
        <v>Government</v>
      </c>
      <c r="U13" s="4" t="str">
        <f t="shared" si="12"/>
        <v>fast</v>
      </c>
      <c r="V13" s="4">
        <f t="shared" si="13"/>
        <v>2026</v>
      </c>
      <c r="W13" s="4" t="str">
        <f t="shared" si="14"/>
        <v>Japan</v>
      </c>
    </row>
    <row r="14" spans="1:23" x14ac:dyDescent="0.25">
      <c r="A14" t="s">
        <v>65</v>
      </c>
      <c r="B14" t="s">
        <v>66</v>
      </c>
      <c r="C14" t="s">
        <v>764</v>
      </c>
      <c r="D14" t="s">
        <v>48</v>
      </c>
      <c r="E14" t="s">
        <v>24</v>
      </c>
      <c r="F14" s="1">
        <v>45850</v>
      </c>
      <c r="G14">
        <v>11680.26</v>
      </c>
      <c r="H14">
        <v>155815.94</v>
      </c>
      <c r="I14" t="str">
        <f t="shared" si="0"/>
        <v>Pune</v>
      </c>
      <c r="J14" t="str">
        <f t="shared" si="1"/>
        <v>Pune</v>
      </c>
      <c r="K14" t="str">
        <f t="shared" si="2"/>
        <v>Bpcl</v>
      </c>
      <c r="L14" s="4" t="str">
        <f t="shared" si="3"/>
        <v>Bpcl</v>
      </c>
      <c r="M14" s="4" t="str">
        <f t="shared" si="4"/>
        <v>Bharat Dc-001</v>
      </c>
      <c r="N14" s="4" t="str">
        <f t="shared" si="5"/>
        <v>Bharat Dc-001</v>
      </c>
      <c r="O14" s="4" t="str">
        <f t="shared" si="6"/>
        <v>Active</v>
      </c>
      <c r="P14" s="4" t="str">
        <f t="shared" si="7"/>
        <v>Active</v>
      </c>
      <c r="Q14" s="4" t="str">
        <f t="shared" si="8"/>
        <v>Pune</v>
      </c>
      <c r="R14" s="4" t="b">
        <f t="shared" si="9"/>
        <v>1</v>
      </c>
      <c r="S14" s="5" t="str">
        <f t="shared" si="10"/>
        <v>45850</v>
      </c>
      <c r="T14" s="4" t="str">
        <f t="shared" si="11"/>
        <v>Government</v>
      </c>
      <c r="U14" s="4" t="str">
        <f t="shared" si="12"/>
        <v>fast</v>
      </c>
      <c r="V14" s="4">
        <f t="shared" si="13"/>
        <v>2025</v>
      </c>
      <c r="W14" s="4" t="str">
        <f t="shared" si="14"/>
        <v>India</v>
      </c>
    </row>
    <row r="15" spans="1:23" x14ac:dyDescent="0.25">
      <c r="A15" t="s">
        <v>67</v>
      </c>
      <c r="C15" t="s">
        <v>36</v>
      </c>
      <c r="D15" t="s">
        <v>26</v>
      </c>
      <c r="E15" t="s">
        <v>24</v>
      </c>
      <c r="F15" s="1">
        <v>45381</v>
      </c>
      <c r="G15">
        <v>958.79</v>
      </c>
      <c r="H15">
        <v>10201.98</v>
      </c>
      <c r="I15" t="str">
        <f t="shared" si="0"/>
        <v/>
      </c>
      <c r="J15" t="str">
        <f t="shared" si="1"/>
        <v/>
      </c>
      <c r="K15" t="str">
        <f t="shared" si="2"/>
        <v>Zeon Charging</v>
      </c>
      <c r="L15" s="4" t="str">
        <f t="shared" si="3"/>
        <v>Zeon Charging</v>
      </c>
      <c r="M15" s="4" t="str">
        <f t="shared" si="4"/>
        <v>Chademo</v>
      </c>
      <c r="N15" s="4" t="str">
        <f t="shared" si="5"/>
        <v>Chademo</v>
      </c>
      <c r="O15" s="4" t="str">
        <f t="shared" si="6"/>
        <v>Active</v>
      </c>
      <c r="P15" s="4" t="str">
        <f t="shared" si="7"/>
        <v>Active</v>
      </c>
      <c r="Q15" s="4" t="str">
        <f t="shared" si="8"/>
        <v/>
      </c>
      <c r="R15" s="4" t="b">
        <f t="shared" si="9"/>
        <v>1</v>
      </c>
      <c r="S15" s="5" t="str">
        <f t="shared" si="10"/>
        <v>45381</v>
      </c>
      <c r="T15" s="4" t="str">
        <f t="shared" si="11"/>
        <v>Private</v>
      </c>
      <c r="U15" s="4" t="str">
        <f t="shared" si="12"/>
        <v>fast</v>
      </c>
      <c r="V15" s="4">
        <f t="shared" si="13"/>
        <v>2024</v>
      </c>
      <c r="W15" s="4" t="str">
        <f t="shared" si="14"/>
        <v>Japan</v>
      </c>
    </row>
    <row r="16" spans="1:23" x14ac:dyDescent="0.25">
      <c r="A16" t="s">
        <v>69</v>
      </c>
      <c r="B16" t="s">
        <v>70</v>
      </c>
      <c r="C16" t="s">
        <v>14</v>
      </c>
      <c r="D16" t="s">
        <v>56</v>
      </c>
      <c r="E16" t="s">
        <v>24</v>
      </c>
      <c r="F16" s="1">
        <v>45896</v>
      </c>
      <c r="H16">
        <v>67053.03</v>
      </c>
      <c r="I16" t="str">
        <f t="shared" si="0"/>
        <v>Delhi</v>
      </c>
      <c r="J16" t="str">
        <f t="shared" si="1"/>
        <v>Delhi</v>
      </c>
      <c r="K16" t="str">
        <f t="shared" si="2"/>
        <v>Charge Point</v>
      </c>
      <c r="L16" s="4" t="str">
        <f t="shared" si="3"/>
        <v>Charge Point</v>
      </c>
      <c r="M16" s="4" t="str">
        <f t="shared" si="4"/>
        <v>Ccs2</v>
      </c>
      <c r="N16" s="4" t="str">
        <f t="shared" si="5"/>
        <v>Ccs2</v>
      </c>
      <c r="O16" s="4" t="str">
        <f t="shared" si="6"/>
        <v>Active</v>
      </c>
      <c r="P16" s="4" t="str">
        <f t="shared" si="7"/>
        <v>Active</v>
      </c>
      <c r="Q16" s="4" t="str">
        <f t="shared" si="8"/>
        <v>Delhi</v>
      </c>
      <c r="R16" s="4" t="b">
        <f t="shared" si="9"/>
        <v>1</v>
      </c>
      <c r="S16" s="5" t="str">
        <f t="shared" si="10"/>
        <v>45896</v>
      </c>
      <c r="T16" s="4" t="str">
        <f t="shared" si="11"/>
        <v>Private</v>
      </c>
      <c r="U16" s="4" t="str">
        <f t="shared" si="12"/>
        <v>Ultra Fast</v>
      </c>
      <c r="V16" s="4">
        <f t="shared" si="13"/>
        <v>2025</v>
      </c>
      <c r="W16" s="4" t="str">
        <f t="shared" si="14"/>
        <v>Europe</v>
      </c>
    </row>
    <row r="17" spans="1:23" x14ac:dyDescent="0.25">
      <c r="A17" t="s">
        <v>72</v>
      </c>
      <c r="B17" t="s">
        <v>787</v>
      </c>
      <c r="C17" t="s">
        <v>63</v>
      </c>
      <c r="D17" t="s">
        <v>26</v>
      </c>
      <c r="E17" t="s">
        <v>24</v>
      </c>
      <c r="F17" s="1">
        <v>45724</v>
      </c>
      <c r="G17">
        <v>8343.77</v>
      </c>
      <c r="H17">
        <v>117540.46</v>
      </c>
      <c r="I17" t="str">
        <f t="shared" si="0"/>
        <v xml:space="preserve">Delhi </v>
      </c>
      <c r="J17" t="str">
        <f t="shared" si="1"/>
        <v>Delhi</v>
      </c>
      <c r="K17" t="str">
        <f t="shared" si="2"/>
        <v>Tata Power</v>
      </c>
      <c r="L17" s="4" t="str">
        <f t="shared" si="3"/>
        <v>Tata Power</v>
      </c>
      <c r="M17" s="4" t="str">
        <f t="shared" si="4"/>
        <v>Chademo</v>
      </c>
      <c r="N17" s="4" t="str">
        <f t="shared" si="5"/>
        <v>Chademo</v>
      </c>
      <c r="O17" s="4" t="str">
        <f t="shared" si="6"/>
        <v>Active</v>
      </c>
      <c r="P17" s="4" t="str">
        <f t="shared" si="7"/>
        <v>Active</v>
      </c>
      <c r="Q17" s="4" t="str">
        <f t="shared" si="8"/>
        <v xml:space="preserve">Delhi </v>
      </c>
      <c r="R17" s="4" t="b">
        <f t="shared" si="9"/>
        <v>1</v>
      </c>
      <c r="S17" s="5" t="str">
        <f t="shared" si="10"/>
        <v>45724</v>
      </c>
      <c r="T17" s="4" t="str">
        <f t="shared" si="11"/>
        <v>Government</v>
      </c>
      <c r="U17" s="4" t="str">
        <f t="shared" si="12"/>
        <v>fast</v>
      </c>
      <c r="V17" s="4">
        <f t="shared" si="13"/>
        <v>2025</v>
      </c>
      <c r="W17" s="4" t="str">
        <f t="shared" si="14"/>
        <v>Japan</v>
      </c>
    </row>
    <row r="18" spans="1:23" x14ac:dyDescent="0.25">
      <c r="A18" t="s">
        <v>73</v>
      </c>
      <c r="B18" t="s">
        <v>70</v>
      </c>
      <c r="C18" t="s">
        <v>63</v>
      </c>
      <c r="D18" t="s">
        <v>56</v>
      </c>
      <c r="E18" t="s">
        <v>24</v>
      </c>
      <c r="F18" s="1">
        <v>45324</v>
      </c>
      <c r="G18">
        <v>8169.73</v>
      </c>
      <c r="H18">
        <v>121446.49</v>
      </c>
      <c r="I18" t="str">
        <f t="shared" si="0"/>
        <v>Delhi</v>
      </c>
      <c r="J18" t="str">
        <f t="shared" si="1"/>
        <v>Delhi</v>
      </c>
      <c r="K18" t="str">
        <f t="shared" si="2"/>
        <v>Tata Power</v>
      </c>
      <c r="L18" s="4" t="str">
        <f t="shared" si="3"/>
        <v>Tata Power</v>
      </c>
      <c r="M18" s="4" t="str">
        <f t="shared" si="4"/>
        <v>Ccs2</v>
      </c>
      <c r="N18" s="4" t="str">
        <f t="shared" si="5"/>
        <v>Ccs2</v>
      </c>
      <c r="O18" s="4" t="str">
        <f t="shared" si="6"/>
        <v>Active</v>
      </c>
      <c r="P18" s="4" t="str">
        <f t="shared" si="7"/>
        <v>Active</v>
      </c>
      <c r="Q18" s="4" t="str">
        <f t="shared" si="8"/>
        <v>Delhi</v>
      </c>
      <c r="R18" s="4" t="b">
        <f t="shared" si="9"/>
        <v>1</v>
      </c>
      <c r="S18" s="5" t="str">
        <f t="shared" si="10"/>
        <v>45324</v>
      </c>
      <c r="T18" s="4" t="str">
        <f t="shared" si="11"/>
        <v>Government</v>
      </c>
      <c r="U18" s="4" t="str">
        <f t="shared" si="12"/>
        <v>Ultra Fast</v>
      </c>
      <c r="V18" s="4">
        <f t="shared" si="13"/>
        <v>2024</v>
      </c>
      <c r="W18" s="4" t="str">
        <f t="shared" si="14"/>
        <v>Europe</v>
      </c>
    </row>
    <row r="19" spans="1:23" x14ac:dyDescent="0.25">
      <c r="A19" t="s">
        <v>74</v>
      </c>
      <c r="B19" t="s">
        <v>35</v>
      </c>
      <c r="C19" t="s">
        <v>783</v>
      </c>
      <c r="D19" t="s">
        <v>48</v>
      </c>
      <c r="E19" t="s">
        <v>24</v>
      </c>
      <c r="F19" s="1">
        <v>45322</v>
      </c>
      <c r="G19">
        <v>4567.3</v>
      </c>
      <c r="H19">
        <v>44173.279999999999</v>
      </c>
      <c r="I19" t="str">
        <f t="shared" si="0"/>
        <v>Chennai</v>
      </c>
      <c r="J19" t="str">
        <f t="shared" si="1"/>
        <v>Chennai</v>
      </c>
      <c r="K19" t="str">
        <f t="shared" si="2"/>
        <v>Tata Power</v>
      </c>
      <c r="L19" s="4" t="str">
        <f t="shared" si="3"/>
        <v>Tata Power</v>
      </c>
      <c r="M19" s="4" t="str">
        <f t="shared" si="4"/>
        <v>Bharat Dc-001</v>
      </c>
      <c r="N19" s="4" t="str">
        <f t="shared" si="5"/>
        <v>Bharat Dc-001</v>
      </c>
      <c r="O19" s="4" t="str">
        <f t="shared" si="6"/>
        <v>Active</v>
      </c>
      <c r="P19" s="4" t="str">
        <f t="shared" si="7"/>
        <v>Active</v>
      </c>
      <c r="Q19" s="4" t="str">
        <f t="shared" si="8"/>
        <v>Chennai</v>
      </c>
      <c r="R19" s="4" t="b">
        <f t="shared" si="9"/>
        <v>1</v>
      </c>
      <c r="S19" s="5" t="str">
        <f t="shared" si="10"/>
        <v>45322</v>
      </c>
      <c r="T19" s="4" t="str">
        <f t="shared" si="11"/>
        <v>Government</v>
      </c>
      <c r="U19" s="4" t="str">
        <f t="shared" si="12"/>
        <v>fast</v>
      </c>
      <c r="V19" s="4">
        <f t="shared" si="13"/>
        <v>2024</v>
      </c>
      <c r="W19" s="4" t="str">
        <f t="shared" si="14"/>
        <v>India</v>
      </c>
    </row>
    <row r="20" spans="1:23" x14ac:dyDescent="0.25">
      <c r="A20" t="s">
        <v>76</v>
      </c>
      <c r="B20" t="s">
        <v>13</v>
      </c>
      <c r="C20" t="s">
        <v>764</v>
      </c>
      <c r="D20" t="s">
        <v>17</v>
      </c>
      <c r="E20" t="s">
        <v>31</v>
      </c>
      <c r="F20" s="1">
        <v>45387</v>
      </c>
      <c r="G20">
        <v>1723.66</v>
      </c>
      <c r="H20">
        <v>18410.060000000001</v>
      </c>
      <c r="I20" t="str">
        <f t="shared" si="0"/>
        <v>Bengaluru</v>
      </c>
      <c r="J20" t="str">
        <f t="shared" si="1"/>
        <v>Bengaluru</v>
      </c>
      <c r="K20" t="str">
        <f t="shared" si="2"/>
        <v>Bpcl</v>
      </c>
      <c r="L20" s="4" t="str">
        <f t="shared" si="3"/>
        <v>Bpcl</v>
      </c>
      <c r="M20" s="4" t="str">
        <f t="shared" si="4"/>
        <v>Type2 Ac</v>
      </c>
      <c r="N20" s="4" t="str">
        <f t="shared" si="5"/>
        <v>Type2 Ac</v>
      </c>
      <c r="O20" s="4" t="str">
        <f t="shared" si="6"/>
        <v>Maintenance</v>
      </c>
      <c r="P20" s="4" t="str">
        <f t="shared" si="7"/>
        <v>Maintenance</v>
      </c>
      <c r="Q20" s="4" t="str">
        <f t="shared" si="8"/>
        <v>Bengaluru</v>
      </c>
      <c r="R20" s="4" t="b">
        <f t="shared" si="9"/>
        <v>1</v>
      </c>
      <c r="S20" s="5" t="str">
        <f t="shared" si="10"/>
        <v>45387</v>
      </c>
      <c r="T20" s="4" t="str">
        <f t="shared" si="11"/>
        <v>Government</v>
      </c>
      <c r="U20" s="4" t="str">
        <f t="shared" si="12"/>
        <v>Slow</v>
      </c>
      <c r="V20" s="4">
        <f t="shared" si="13"/>
        <v>2024</v>
      </c>
      <c r="W20" s="4" t="str">
        <f t="shared" si="14"/>
        <v>Germany</v>
      </c>
    </row>
    <row r="21" spans="1:23" x14ac:dyDescent="0.25">
      <c r="A21" t="s">
        <v>77</v>
      </c>
      <c r="B21" t="s">
        <v>70</v>
      </c>
      <c r="C21" t="s">
        <v>36</v>
      </c>
      <c r="D21" t="s">
        <v>48</v>
      </c>
      <c r="E21" t="s">
        <v>24</v>
      </c>
      <c r="F21" s="1">
        <v>45515</v>
      </c>
      <c r="G21">
        <v>10559.2</v>
      </c>
      <c r="H21">
        <v>147745.29</v>
      </c>
      <c r="I21" t="str">
        <f t="shared" si="0"/>
        <v>Delhi</v>
      </c>
      <c r="J21" t="str">
        <f t="shared" si="1"/>
        <v>Delhi</v>
      </c>
      <c r="K21" t="str">
        <f t="shared" si="2"/>
        <v>Zeon Charging</v>
      </c>
      <c r="L21" s="4" t="str">
        <f t="shared" si="3"/>
        <v>Zeon Charging</v>
      </c>
      <c r="M21" s="4" t="str">
        <f t="shared" si="4"/>
        <v>Bharat Dc-001</v>
      </c>
      <c r="N21" s="4" t="str">
        <f t="shared" si="5"/>
        <v>Bharat Dc-001</v>
      </c>
      <c r="O21" s="4" t="str">
        <f t="shared" si="6"/>
        <v>Active</v>
      </c>
      <c r="P21" s="4" t="str">
        <f t="shared" si="7"/>
        <v>Active</v>
      </c>
      <c r="Q21" s="4" t="str">
        <f t="shared" si="8"/>
        <v>Delhi</v>
      </c>
      <c r="R21" s="4" t="b">
        <f t="shared" si="9"/>
        <v>1</v>
      </c>
      <c r="S21" s="5" t="str">
        <f t="shared" si="10"/>
        <v>45515</v>
      </c>
      <c r="T21" s="4" t="str">
        <f t="shared" si="11"/>
        <v>Private</v>
      </c>
      <c r="U21" s="4" t="str">
        <f t="shared" si="12"/>
        <v>fast</v>
      </c>
      <c r="V21" s="4">
        <f t="shared" si="13"/>
        <v>2024</v>
      </c>
      <c r="W21" s="4" t="str">
        <f t="shared" si="14"/>
        <v>India</v>
      </c>
    </row>
    <row r="22" spans="1:23" x14ac:dyDescent="0.25">
      <c r="A22" t="s">
        <v>78</v>
      </c>
      <c r="B22" t="s">
        <v>35</v>
      </c>
      <c r="C22" t="s">
        <v>36</v>
      </c>
      <c r="D22" t="s">
        <v>26</v>
      </c>
      <c r="E22" t="s">
        <v>24</v>
      </c>
      <c r="F22" s="1">
        <v>45530</v>
      </c>
      <c r="G22">
        <v>11699.13</v>
      </c>
      <c r="H22">
        <v>127233.02</v>
      </c>
      <c r="I22" t="str">
        <f t="shared" si="0"/>
        <v>Chennai</v>
      </c>
      <c r="J22" t="str">
        <f t="shared" si="1"/>
        <v>Chennai</v>
      </c>
      <c r="K22" t="str">
        <f t="shared" si="2"/>
        <v>Zeon Charging</v>
      </c>
      <c r="L22" s="4" t="str">
        <f t="shared" si="3"/>
        <v>Zeon Charging</v>
      </c>
      <c r="M22" s="4" t="str">
        <f t="shared" si="4"/>
        <v>Chademo</v>
      </c>
      <c r="N22" s="4" t="str">
        <f t="shared" si="5"/>
        <v>Chademo</v>
      </c>
      <c r="O22" s="4" t="str">
        <f t="shared" si="6"/>
        <v>Active</v>
      </c>
      <c r="P22" s="4" t="str">
        <f t="shared" si="7"/>
        <v>Active</v>
      </c>
      <c r="Q22" s="4" t="str">
        <f t="shared" si="8"/>
        <v>Chennai</v>
      </c>
      <c r="R22" s="4" t="b">
        <f t="shared" si="9"/>
        <v>1</v>
      </c>
      <c r="S22" s="5" t="str">
        <f t="shared" si="10"/>
        <v>45530</v>
      </c>
      <c r="T22" s="4" t="str">
        <f t="shared" si="11"/>
        <v>Private</v>
      </c>
      <c r="U22" s="4" t="str">
        <f t="shared" si="12"/>
        <v>fast</v>
      </c>
      <c r="V22" s="4">
        <f t="shared" si="13"/>
        <v>2024</v>
      </c>
      <c r="W22" s="4" t="str">
        <f t="shared" si="14"/>
        <v>Japan</v>
      </c>
    </row>
    <row r="23" spans="1:23" x14ac:dyDescent="0.25">
      <c r="A23" t="s">
        <v>80</v>
      </c>
      <c r="B23" t="s">
        <v>40</v>
      </c>
      <c r="C23" t="s">
        <v>14</v>
      </c>
      <c r="D23" t="s">
        <v>26</v>
      </c>
      <c r="E23" t="s">
        <v>24</v>
      </c>
      <c r="F23" s="1">
        <v>45809</v>
      </c>
      <c r="G23">
        <v>9118.99</v>
      </c>
      <c r="H23">
        <v>93262.05</v>
      </c>
      <c r="I23" t="str">
        <f t="shared" si="0"/>
        <v>Mumbai</v>
      </c>
      <c r="J23" t="str">
        <f t="shared" si="1"/>
        <v>Mumbai</v>
      </c>
      <c r="K23" t="str">
        <f t="shared" si="2"/>
        <v>Charge Point</v>
      </c>
      <c r="L23" s="4" t="str">
        <f t="shared" si="3"/>
        <v>Charge Point</v>
      </c>
      <c r="M23" s="4" t="str">
        <f t="shared" si="4"/>
        <v>Chademo</v>
      </c>
      <c r="N23" s="4" t="str">
        <f t="shared" si="5"/>
        <v>Chademo</v>
      </c>
      <c r="O23" s="4" t="str">
        <f t="shared" si="6"/>
        <v>Active</v>
      </c>
      <c r="P23" s="4" t="str">
        <f t="shared" si="7"/>
        <v>Active</v>
      </c>
      <c r="Q23" s="4" t="str">
        <f t="shared" si="8"/>
        <v>Mumbai</v>
      </c>
      <c r="R23" s="4" t="b">
        <f t="shared" si="9"/>
        <v>1</v>
      </c>
      <c r="S23" s="5" t="str">
        <f t="shared" si="10"/>
        <v>45809</v>
      </c>
      <c r="T23" s="4" t="str">
        <f t="shared" si="11"/>
        <v>Private</v>
      </c>
      <c r="U23" s="4" t="str">
        <f t="shared" si="12"/>
        <v>fast</v>
      </c>
      <c r="V23" s="4">
        <f t="shared" si="13"/>
        <v>2025</v>
      </c>
      <c r="W23" s="4" t="str">
        <f t="shared" si="14"/>
        <v>Japan</v>
      </c>
    </row>
    <row r="24" spans="1:23" x14ac:dyDescent="0.25">
      <c r="A24" t="s">
        <v>81</v>
      </c>
      <c r="B24" t="s">
        <v>70</v>
      </c>
      <c r="C24" t="s">
        <v>14</v>
      </c>
      <c r="D24" t="s">
        <v>48</v>
      </c>
      <c r="E24" t="s">
        <v>24</v>
      </c>
      <c r="F24" s="1">
        <v>45908</v>
      </c>
      <c r="H24">
        <v>126073.72</v>
      </c>
      <c r="I24" t="str">
        <f t="shared" si="0"/>
        <v>Delhi</v>
      </c>
      <c r="J24" t="str">
        <f t="shared" si="1"/>
        <v>Delhi</v>
      </c>
      <c r="K24" t="str">
        <f t="shared" si="2"/>
        <v>Charge Point</v>
      </c>
      <c r="L24" s="4" t="str">
        <f t="shared" si="3"/>
        <v>Charge Point</v>
      </c>
      <c r="M24" s="4" t="str">
        <f t="shared" si="4"/>
        <v>Bharat Dc-001</v>
      </c>
      <c r="N24" s="4" t="str">
        <f t="shared" si="5"/>
        <v>Bharat Dc-001</v>
      </c>
      <c r="O24" s="4" t="str">
        <f t="shared" si="6"/>
        <v>Active</v>
      </c>
      <c r="P24" s="4" t="str">
        <f t="shared" si="7"/>
        <v>Active</v>
      </c>
      <c r="Q24" s="4" t="str">
        <f t="shared" si="8"/>
        <v>Delhi</v>
      </c>
      <c r="R24" s="4" t="b">
        <f t="shared" si="9"/>
        <v>1</v>
      </c>
      <c r="S24" s="5" t="str">
        <f t="shared" si="10"/>
        <v>45908</v>
      </c>
      <c r="T24" s="4" t="str">
        <f t="shared" si="11"/>
        <v>Private</v>
      </c>
      <c r="U24" s="4" t="str">
        <f t="shared" si="12"/>
        <v>fast</v>
      </c>
      <c r="V24" s="4">
        <f t="shared" si="13"/>
        <v>2025</v>
      </c>
      <c r="W24" s="4" t="str">
        <f t="shared" si="14"/>
        <v>India</v>
      </c>
    </row>
    <row r="25" spans="1:23" x14ac:dyDescent="0.25">
      <c r="A25" t="s">
        <v>82</v>
      </c>
      <c r="C25" t="s">
        <v>777</v>
      </c>
      <c r="D25" t="s">
        <v>48</v>
      </c>
      <c r="E25" t="s">
        <v>31</v>
      </c>
      <c r="F25" s="1">
        <v>45319</v>
      </c>
      <c r="G25">
        <v>786.54</v>
      </c>
      <c r="H25">
        <v>11321.47</v>
      </c>
      <c r="I25" t="str">
        <f t="shared" si="0"/>
        <v/>
      </c>
      <c r="J25" t="str">
        <f t="shared" si="1"/>
        <v/>
      </c>
      <c r="K25" t="str">
        <f t="shared" si="2"/>
        <v>Tata Power</v>
      </c>
      <c r="L25" s="4" t="str">
        <f t="shared" si="3"/>
        <v>Tata Power</v>
      </c>
      <c r="M25" s="4" t="str">
        <f t="shared" si="4"/>
        <v>Bharat Dc-001</v>
      </c>
      <c r="N25" s="4" t="str">
        <f t="shared" si="5"/>
        <v>Bharat Dc-001</v>
      </c>
      <c r="O25" s="4" t="str">
        <f t="shared" si="6"/>
        <v>Maintenance</v>
      </c>
      <c r="P25" s="4" t="str">
        <f t="shared" si="7"/>
        <v>Maintenance</v>
      </c>
      <c r="Q25" s="4" t="str">
        <f t="shared" si="8"/>
        <v/>
      </c>
      <c r="R25" s="4" t="b">
        <f t="shared" si="9"/>
        <v>1</v>
      </c>
      <c r="S25" s="5" t="str">
        <f t="shared" si="10"/>
        <v>45319</v>
      </c>
      <c r="T25" s="4" t="str">
        <f t="shared" si="11"/>
        <v>Government</v>
      </c>
      <c r="U25" s="4" t="str">
        <f t="shared" si="12"/>
        <v>fast</v>
      </c>
      <c r="V25" s="4">
        <f t="shared" si="13"/>
        <v>2024</v>
      </c>
      <c r="W25" s="4" t="str">
        <f t="shared" si="14"/>
        <v>India</v>
      </c>
    </row>
    <row r="26" spans="1:23" x14ac:dyDescent="0.25">
      <c r="A26" t="s">
        <v>84</v>
      </c>
      <c r="B26" t="s">
        <v>13</v>
      </c>
      <c r="C26" t="s">
        <v>14</v>
      </c>
      <c r="D26" t="s">
        <v>56</v>
      </c>
      <c r="E26" t="s">
        <v>24</v>
      </c>
      <c r="F26" s="1">
        <v>45866</v>
      </c>
      <c r="G26">
        <v>2368.77</v>
      </c>
      <c r="H26">
        <v>25271.5</v>
      </c>
      <c r="I26" t="str">
        <f t="shared" si="0"/>
        <v>Bengaluru</v>
      </c>
      <c r="J26" t="str">
        <f t="shared" si="1"/>
        <v>Bengaluru</v>
      </c>
      <c r="K26" t="str">
        <f t="shared" si="2"/>
        <v>Charge Point</v>
      </c>
      <c r="L26" s="4" t="str">
        <f t="shared" si="3"/>
        <v>Charge Point</v>
      </c>
      <c r="M26" s="4" t="str">
        <f t="shared" si="4"/>
        <v>Ccs2</v>
      </c>
      <c r="N26" s="4" t="str">
        <f t="shared" si="5"/>
        <v>Ccs2</v>
      </c>
      <c r="O26" s="4" t="str">
        <f t="shared" si="6"/>
        <v>Active</v>
      </c>
      <c r="P26" s="4" t="str">
        <f t="shared" si="7"/>
        <v>Active</v>
      </c>
      <c r="Q26" s="4" t="str">
        <f t="shared" si="8"/>
        <v>Bengaluru</v>
      </c>
      <c r="R26" s="4" t="b">
        <f t="shared" si="9"/>
        <v>1</v>
      </c>
      <c r="S26" s="5" t="str">
        <f t="shared" si="10"/>
        <v>45866</v>
      </c>
      <c r="T26" s="4" t="str">
        <f t="shared" si="11"/>
        <v>Private</v>
      </c>
      <c r="U26" s="4" t="str">
        <f t="shared" si="12"/>
        <v>Ultra Fast</v>
      </c>
      <c r="V26" s="4">
        <f t="shared" si="13"/>
        <v>2025</v>
      </c>
      <c r="W26" s="4" t="str">
        <f t="shared" si="14"/>
        <v>Europe</v>
      </c>
    </row>
    <row r="27" spans="1:23" x14ac:dyDescent="0.25">
      <c r="A27" t="s">
        <v>86</v>
      </c>
      <c r="B27" t="s">
        <v>772</v>
      </c>
      <c r="C27" t="s">
        <v>764</v>
      </c>
      <c r="D27" t="s">
        <v>26</v>
      </c>
      <c r="E27" t="s">
        <v>24</v>
      </c>
      <c r="F27" s="1">
        <v>45495</v>
      </c>
      <c r="G27">
        <v>9698.7000000000007</v>
      </c>
      <c r="H27">
        <v>144693.92000000001</v>
      </c>
      <c r="I27" t="str">
        <f t="shared" si="0"/>
        <v xml:space="preserve">Pune </v>
      </c>
      <c r="J27" t="str">
        <f t="shared" si="1"/>
        <v>Pune</v>
      </c>
      <c r="K27" t="str">
        <f t="shared" si="2"/>
        <v>Bpcl</v>
      </c>
      <c r="L27" s="4" t="str">
        <f t="shared" si="3"/>
        <v>Bpcl</v>
      </c>
      <c r="M27" s="4" t="str">
        <f t="shared" si="4"/>
        <v>Chademo</v>
      </c>
      <c r="N27" s="4" t="str">
        <f t="shared" si="5"/>
        <v>Chademo</v>
      </c>
      <c r="O27" s="4" t="str">
        <f t="shared" si="6"/>
        <v>Active</v>
      </c>
      <c r="P27" s="4" t="str">
        <f t="shared" si="7"/>
        <v>Active</v>
      </c>
      <c r="Q27" s="4" t="str">
        <f t="shared" si="8"/>
        <v xml:space="preserve">Pune </v>
      </c>
      <c r="R27" s="4" t="b">
        <f t="shared" si="9"/>
        <v>1</v>
      </c>
      <c r="S27" s="5" t="str">
        <f t="shared" si="10"/>
        <v>45495</v>
      </c>
      <c r="T27" s="4" t="str">
        <f t="shared" si="11"/>
        <v>Government</v>
      </c>
      <c r="U27" s="4" t="str">
        <f t="shared" si="12"/>
        <v>fast</v>
      </c>
      <c r="V27" s="4">
        <f t="shared" si="13"/>
        <v>2024</v>
      </c>
      <c r="W27" s="4" t="str">
        <f t="shared" si="14"/>
        <v>Japan</v>
      </c>
    </row>
    <row r="28" spans="1:23" x14ac:dyDescent="0.25">
      <c r="A28" t="s">
        <v>88</v>
      </c>
      <c r="B28" t="s">
        <v>70</v>
      </c>
      <c r="C28" t="s">
        <v>36</v>
      </c>
      <c r="D28" t="s">
        <v>26</v>
      </c>
      <c r="E28" t="s">
        <v>54</v>
      </c>
      <c r="F28" s="1">
        <v>46025</v>
      </c>
      <c r="G28">
        <v>88.53</v>
      </c>
      <c r="H28">
        <v>1199.29</v>
      </c>
      <c r="I28" t="str">
        <f t="shared" si="0"/>
        <v>Delhi</v>
      </c>
      <c r="J28" t="str">
        <f t="shared" si="1"/>
        <v>Delhi</v>
      </c>
      <c r="K28" t="str">
        <f t="shared" si="2"/>
        <v>Zeon Charging</v>
      </c>
      <c r="L28" s="4" t="str">
        <f t="shared" si="3"/>
        <v>Zeon Charging</v>
      </c>
      <c r="M28" s="4" t="str">
        <f t="shared" si="4"/>
        <v>Chademo</v>
      </c>
      <c r="N28" s="4" t="str">
        <f t="shared" si="5"/>
        <v>Chademo</v>
      </c>
      <c r="O28" s="4" t="str">
        <f t="shared" si="6"/>
        <v>Inactive</v>
      </c>
      <c r="P28" s="4" t="str">
        <f t="shared" si="7"/>
        <v>Inactive</v>
      </c>
      <c r="Q28" s="4" t="str">
        <f t="shared" si="8"/>
        <v>Delhi</v>
      </c>
      <c r="R28" s="4" t="b">
        <f t="shared" si="9"/>
        <v>1</v>
      </c>
      <c r="S28" s="5" t="str">
        <f t="shared" si="10"/>
        <v>46025</v>
      </c>
      <c r="T28" s="4" t="str">
        <f t="shared" si="11"/>
        <v>Private</v>
      </c>
      <c r="U28" s="4" t="str">
        <f t="shared" si="12"/>
        <v>fast</v>
      </c>
      <c r="V28" s="4">
        <f t="shared" si="13"/>
        <v>2026</v>
      </c>
      <c r="W28" s="4" t="str">
        <f t="shared" si="14"/>
        <v>Japan</v>
      </c>
    </row>
    <row r="29" spans="1:23" x14ac:dyDescent="0.25">
      <c r="A29" t="s">
        <v>89</v>
      </c>
      <c r="B29" t="s">
        <v>35</v>
      </c>
      <c r="C29" t="s">
        <v>63</v>
      </c>
      <c r="D29" t="s">
        <v>48</v>
      </c>
      <c r="E29" t="s">
        <v>54</v>
      </c>
      <c r="F29" s="1">
        <v>45957</v>
      </c>
      <c r="G29">
        <v>206.15</v>
      </c>
      <c r="H29">
        <v>2590.1</v>
      </c>
      <c r="I29" t="str">
        <f t="shared" si="0"/>
        <v>Chennai</v>
      </c>
      <c r="J29" t="str">
        <f t="shared" si="1"/>
        <v>Chennai</v>
      </c>
      <c r="K29" t="str">
        <f t="shared" si="2"/>
        <v>Tata Power</v>
      </c>
      <c r="L29" s="4" t="str">
        <f t="shared" si="3"/>
        <v>Tata Power</v>
      </c>
      <c r="M29" s="4" t="str">
        <f t="shared" si="4"/>
        <v>Bharat Dc-001</v>
      </c>
      <c r="N29" s="4" t="str">
        <f t="shared" si="5"/>
        <v>Bharat Dc-001</v>
      </c>
      <c r="O29" s="4" t="str">
        <f t="shared" si="6"/>
        <v>Inactive</v>
      </c>
      <c r="P29" s="4" t="str">
        <f t="shared" si="7"/>
        <v>Inactive</v>
      </c>
      <c r="Q29" s="4" t="str">
        <f t="shared" si="8"/>
        <v>Chennai</v>
      </c>
      <c r="R29" s="4" t="b">
        <f t="shared" si="9"/>
        <v>1</v>
      </c>
      <c r="S29" s="5" t="str">
        <f t="shared" si="10"/>
        <v>45957</v>
      </c>
      <c r="T29" s="4" t="str">
        <f t="shared" si="11"/>
        <v>Government</v>
      </c>
      <c r="U29" s="4" t="str">
        <f t="shared" si="12"/>
        <v>fast</v>
      </c>
      <c r="V29" s="4">
        <f t="shared" si="13"/>
        <v>2025</v>
      </c>
      <c r="W29" s="4" t="str">
        <f t="shared" si="14"/>
        <v>India</v>
      </c>
    </row>
    <row r="30" spans="1:23" x14ac:dyDescent="0.25">
      <c r="A30" t="s">
        <v>91</v>
      </c>
      <c r="B30" t="s">
        <v>35</v>
      </c>
      <c r="C30" t="s">
        <v>14</v>
      </c>
      <c r="D30" t="s">
        <v>17</v>
      </c>
      <c r="E30" t="s">
        <v>24</v>
      </c>
      <c r="F30" s="1">
        <v>46010</v>
      </c>
      <c r="G30">
        <v>2562.65</v>
      </c>
      <c r="H30">
        <v>23229.75</v>
      </c>
      <c r="I30" t="str">
        <f t="shared" si="0"/>
        <v>Chennai</v>
      </c>
      <c r="J30" t="str">
        <f t="shared" si="1"/>
        <v>Chennai</v>
      </c>
      <c r="K30" t="str">
        <f t="shared" si="2"/>
        <v>Charge Point</v>
      </c>
      <c r="L30" s="4" t="str">
        <f t="shared" si="3"/>
        <v>Charge Point</v>
      </c>
      <c r="M30" s="4" t="str">
        <f t="shared" si="4"/>
        <v>Type2 Ac</v>
      </c>
      <c r="N30" s="4" t="str">
        <f t="shared" si="5"/>
        <v>Type2 Ac</v>
      </c>
      <c r="O30" s="4" t="str">
        <f t="shared" si="6"/>
        <v>Active</v>
      </c>
      <c r="P30" s="4" t="str">
        <f t="shared" si="7"/>
        <v>Active</v>
      </c>
      <c r="Q30" s="4" t="str">
        <f t="shared" si="8"/>
        <v>Chennai</v>
      </c>
      <c r="R30" s="4" t="b">
        <f t="shared" si="9"/>
        <v>1</v>
      </c>
      <c r="S30" s="5" t="str">
        <f t="shared" si="10"/>
        <v>46010</v>
      </c>
      <c r="T30" s="4" t="str">
        <f t="shared" si="11"/>
        <v>Private</v>
      </c>
      <c r="U30" s="4" t="str">
        <f t="shared" si="12"/>
        <v>Slow</v>
      </c>
      <c r="V30" s="4">
        <f t="shared" si="13"/>
        <v>2025</v>
      </c>
      <c r="W30" s="4" t="str">
        <f t="shared" si="14"/>
        <v>Germany</v>
      </c>
    </row>
    <row r="31" spans="1:23" x14ac:dyDescent="0.25">
      <c r="A31" t="s">
        <v>93</v>
      </c>
      <c r="B31" t="s">
        <v>40</v>
      </c>
      <c r="C31" t="s">
        <v>764</v>
      </c>
      <c r="D31" t="s">
        <v>26</v>
      </c>
      <c r="E31" t="s">
        <v>54</v>
      </c>
      <c r="F31" s="1">
        <v>45850</v>
      </c>
      <c r="G31">
        <v>462.24</v>
      </c>
      <c r="H31">
        <v>6819.78</v>
      </c>
      <c r="I31" t="str">
        <f t="shared" si="0"/>
        <v>Mumbai</v>
      </c>
      <c r="J31" t="str">
        <f t="shared" si="1"/>
        <v>Mumbai</v>
      </c>
      <c r="K31" t="str">
        <f t="shared" si="2"/>
        <v>Bpcl</v>
      </c>
      <c r="L31" s="4" t="str">
        <f t="shared" si="3"/>
        <v>Bpcl</v>
      </c>
      <c r="M31" s="4" t="str">
        <f t="shared" si="4"/>
        <v>Chademo</v>
      </c>
      <c r="N31" s="4" t="str">
        <f t="shared" si="5"/>
        <v>Chademo</v>
      </c>
      <c r="O31" s="4" t="str">
        <f t="shared" si="6"/>
        <v>Inactive</v>
      </c>
      <c r="P31" s="4" t="str">
        <f t="shared" si="7"/>
        <v>Inactive</v>
      </c>
      <c r="Q31" s="4" t="str">
        <f t="shared" si="8"/>
        <v>Mumbai</v>
      </c>
      <c r="R31" s="4" t="b">
        <f t="shared" si="9"/>
        <v>1</v>
      </c>
      <c r="S31" s="5" t="str">
        <f t="shared" si="10"/>
        <v>45850</v>
      </c>
      <c r="T31" s="4" t="str">
        <f t="shared" si="11"/>
        <v>Government</v>
      </c>
      <c r="U31" s="4" t="str">
        <f t="shared" si="12"/>
        <v>fast</v>
      </c>
      <c r="V31" s="4">
        <f t="shared" si="13"/>
        <v>2025</v>
      </c>
      <c r="W31" s="4" t="str">
        <f t="shared" si="14"/>
        <v>Japan</v>
      </c>
    </row>
    <row r="32" spans="1:23" x14ac:dyDescent="0.25">
      <c r="A32" t="s">
        <v>94</v>
      </c>
      <c r="B32" t="s">
        <v>35</v>
      </c>
      <c r="C32" t="s">
        <v>95</v>
      </c>
      <c r="D32" t="s">
        <v>17</v>
      </c>
      <c r="E32" t="s">
        <v>15</v>
      </c>
      <c r="F32" s="1"/>
      <c r="G32">
        <v>156.47999999999999</v>
      </c>
      <c r="H32">
        <v>1390.13</v>
      </c>
      <c r="I32" t="str">
        <f t="shared" si="0"/>
        <v>Chennai</v>
      </c>
      <c r="J32" t="str">
        <f t="shared" si="1"/>
        <v>Chennai</v>
      </c>
      <c r="K32" t="str">
        <f t="shared" si="2"/>
        <v>Bharat Petroleum</v>
      </c>
      <c r="L32" s="4" t="str">
        <f t="shared" si="3"/>
        <v>Bharat Petroleum</v>
      </c>
      <c r="M32" s="4" t="str">
        <f t="shared" si="4"/>
        <v>Type2 Ac</v>
      </c>
      <c r="N32" s="4" t="str">
        <f t="shared" si="5"/>
        <v>Type2 Ac</v>
      </c>
      <c r="O32" s="4" t="str">
        <f t="shared" si="6"/>
        <v>Decommissioned</v>
      </c>
      <c r="P32" s="4" t="str">
        <f t="shared" si="7"/>
        <v>Decommissioned</v>
      </c>
      <c r="Q32" s="4" t="str">
        <f t="shared" si="8"/>
        <v>Chennai</v>
      </c>
      <c r="R32" s="4" t="b">
        <f t="shared" si="9"/>
        <v>0</v>
      </c>
      <c r="S32" s="4" t="str">
        <f t="shared" si="10"/>
        <v/>
      </c>
      <c r="T32" s="4" t="str">
        <f t="shared" si="11"/>
        <v>Private</v>
      </c>
      <c r="U32" s="4" t="str">
        <f t="shared" si="12"/>
        <v>Slow</v>
      </c>
      <c r="V32" s="4">
        <f t="shared" si="13"/>
        <v>1900</v>
      </c>
      <c r="W32" s="4" t="str">
        <f t="shared" si="14"/>
        <v>Germany</v>
      </c>
    </row>
    <row r="33" spans="1:23" x14ac:dyDescent="0.25">
      <c r="A33" t="s">
        <v>96</v>
      </c>
      <c r="B33" t="s">
        <v>40</v>
      </c>
      <c r="C33" t="s">
        <v>14</v>
      </c>
      <c r="D33" t="s">
        <v>48</v>
      </c>
      <c r="E33" t="s">
        <v>24</v>
      </c>
      <c r="F33" s="1">
        <v>45517</v>
      </c>
      <c r="G33">
        <v>5234.7</v>
      </c>
      <c r="H33">
        <v>77250.960000000006</v>
      </c>
      <c r="I33" t="str">
        <f t="shared" si="0"/>
        <v>Mumbai</v>
      </c>
      <c r="J33" t="str">
        <f t="shared" si="1"/>
        <v>Mumbai</v>
      </c>
      <c r="K33" t="str">
        <f t="shared" si="2"/>
        <v>Charge Point</v>
      </c>
      <c r="L33" s="4" t="str">
        <f t="shared" si="3"/>
        <v>Charge Point</v>
      </c>
      <c r="M33" s="4" t="str">
        <f t="shared" si="4"/>
        <v>Bharat Dc-001</v>
      </c>
      <c r="N33" s="4" t="str">
        <f t="shared" si="5"/>
        <v>Bharat Dc-001</v>
      </c>
      <c r="O33" s="4" t="str">
        <f t="shared" si="6"/>
        <v>Active</v>
      </c>
      <c r="P33" s="4" t="str">
        <f t="shared" si="7"/>
        <v>Active</v>
      </c>
      <c r="Q33" s="4" t="str">
        <f t="shared" si="8"/>
        <v>Mumbai</v>
      </c>
      <c r="R33" s="4" t="b">
        <f t="shared" si="9"/>
        <v>1</v>
      </c>
      <c r="S33" s="5" t="str">
        <f t="shared" si="10"/>
        <v>45517</v>
      </c>
      <c r="T33" s="4" t="str">
        <f t="shared" si="11"/>
        <v>Private</v>
      </c>
      <c r="U33" s="4" t="str">
        <f t="shared" si="12"/>
        <v>fast</v>
      </c>
      <c r="V33" s="4">
        <f t="shared" si="13"/>
        <v>2024</v>
      </c>
      <c r="W33" s="4" t="str">
        <f t="shared" si="14"/>
        <v>India</v>
      </c>
    </row>
    <row r="34" spans="1:23" x14ac:dyDescent="0.25">
      <c r="A34" t="s">
        <v>98</v>
      </c>
      <c r="B34" t="s">
        <v>775</v>
      </c>
      <c r="C34" t="s">
        <v>765</v>
      </c>
      <c r="D34" t="s">
        <v>48</v>
      </c>
      <c r="E34" t="s">
        <v>54</v>
      </c>
      <c r="F34" s="1">
        <v>45751</v>
      </c>
      <c r="G34">
        <v>334.95</v>
      </c>
      <c r="H34">
        <v>3458.01</v>
      </c>
      <c r="I34" t="str">
        <f t="shared" si="0"/>
        <v xml:space="preserve"> Mumbai</v>
      </c>
      <c r="J34" t="str">
        <f t="shared" si="1"/>
        <v>Mumbai</v>
      </c>
      <c r="K34" t="str">
        <f t="shared" si="2"/>
        <v>Zeon Charging</v>
      </c>
      <c r="L34" s="4" t="str">
        <f t="shared" si="3"/>
        <v>Zeon Charging</v>
      </c>
      <c r="M34" s="4" t="str">
        <f t="shared" si="4"/>
        <v>Bharat Dc-001</v>
      </c>
      <c r="N34" s="4" t="str">
        <f t="shared" si="5"/>
        <v>Bharat Dc-001</v>
      </c>
      <c r="O34" s="4" t="str">
        <f t="shared" si="6"/>
        <v>Inactive</v>
      </c>
      <c r="P34" s="4" t="str">
        <f t="shared" si="7"/>
        <v>Inactive</v>
      </c>
      <c r="Q34" s="4" t="str">
        <f t="shared" si="8"/>
        <v xml:space="preserve"> Mumbai</v>
      </c>
      <c r="R34" s="4" t="b">
        <f t="shared" si="9"/>
        <v>1</v>
      </c>
      <c r="S34" s="5" t="str">
        <f t="shared" si="10"/>
        <v>45751</v>
      </c>
      <c r="T34" s="4" t="str">
        <f t="shared" si="11"/>
        <v>Private</v>
      </c>
      <c r="U34" s="4" t="str">
        <f t="shared" si="12"/>
        <v>fast</v>
      </c>
      <c r="V34" s="4">
        <f t="shared" si="13"/>
        <v>2025</v>
      </c>
      <c r="W34" s="4" t="str">
        <f t="shared" si="14"/>
        <v>India</v>
      </c>
    </row>
    <row r="35" spans="1:23" x14ac:dyDescent="0.25">
      <c r="A35" t="s">
        <v>99</v>
      </c>
      <c r="B35" t="s">
        <v>23</v>
      </c>
      <c r="D35" t="s">
        <v>56</v>
      </c>
      <c r="E35" t="s">
        <v>54</v>
      </c>
      <c r="F35" s="1">
        <v>45895</v>
      </c>
      <c r="G35">
        <v>367.53</v>
      </c>
      <c r="H35">
        <v>3198.45</v>
      </c>
      <c r="I35" t="str">
        <f t="shared" si="0"/>
        <v>Ahemdabad</v>
      </c>
      <c r="J35" t="str">
        <f t="shared" si="1"/>
        <v>Ahemdabad</v>
      </c>
      <c r="K35" t="str">
        <f t="shared" si="2"/>
        <v/>
      </c>
      <c r="L35" s="4" t="str">
        <f t="shared" si="3"/>
        <v/>
      </c>
      <c r="M35" s="4" t="str">
        <f t="shared" si="4"/>
        <v>Ccs2</v>
      </c>
      <c r="N35" s="4" t="str">
        <f t="shared" si="5"/>
        <v>Ccs2</v>
      </c>
      <c r="O35" s="4" t="str">
        <f t="shared" si="6"/>
        <v>Inactive</v>
      </c>
      <c r="P35" s="4" t="str">
        <f t="shared" si="7"/>
        <v>Inactive</v>
      </c>
      <c r="Q35" s="4" t="str">
        <f t="shared" si="8"/>
        <v>Ahemdabad</v>
      </c>
      <c r="R35" s="4" t="b">
        <f t="shared" si="9"/>
        <v>1</v>
      </c>
      <c r="S35" s="5" t="str">
        <f t="shared" si="10"/>
        <v>45895</v>
      </c>
      <c r="T35" s="4" t="str">
        <f t="shared" si="11"/>
        <v>Private</v>
      </c>
      <c r="U35" s="4" t="str">
        <f t="shared" si="12"/>
        <v>Ultra Fast</v>
      </c>
      <c r="V35" s="4">
        <f t="shared" si="13"/>
        <v>2025</v>
      </c>
      <c r="W35" s="4" t="str">
        <f t="shared" si="14"/>
        <v>Europe</v>
      </c>
    </row>
    <row r="36" spans="1:23" x14ac:dyDescent="0.25">
      <c r="A36" t="s">
        <v>101</v>
      </c>
      <c r="B36" t="s">
        <v>23</v>
      </c>
      <c r="C36" t="s">
        <v>63</v>
      </c>
      <c r="D36" t="s">
        <v>26</v>
      </c>
      <c r="E36" t="s">
        <v>24</v>
      </c>
      <c r="F36" s="1">
        <v>45576</v>
      </c>
      <c r="G36">
        <v>3353.92</v>
      </c>
      <c r="H36">
        <v>46670.720000000001</v>
      </c>
      <c r="I36" t="str">
        <f t="shared" si="0"/>
        <v>Ahemdabad</v>
      </c>
      <c r="J36" t="str">
        <f t="shared" si="1"/>
        <v>Ahemdabad</v>
      </c>
      <c r="K36" t="str">
        <f t="shared" si="2"/>
        <v>Tata Power</v>
      </c>
      <c r="L36" s="4" t="str">
        <f t="shared" si="3"/>
        <v>Tata Power</v>
      </c>
      <c r="M36" s="4" t="str">
        <f t="shared" si="4"/>
        <v>Chademo</v>
      </c>
      <c r="N36" s="4" t="str">
        <f t="shared" si="5"/>
        <v>Chademo</v>
      </c>
      <c r="O36" s="4" t="str">
        <f t="shared" si="6"/>
        <v>Active</v>
      </c>
      <c r="P36" s="4" t="str">
        <f t="shared" si="7"/>
        <v>Active</v>
      </c>
      <c r="Q36" s="4" t="str">
        <f t="shared" si="8"/>
        <v>Ahemdabad</v>
      </c>
      <c r="R36" s="4" t="b">
        <f t="shared" si="9"/>
        <v>1</v>
      </c>
      <c r="S36" s="5" t="str">
        <f t="shared" si="10"/>
        <v>45576</v>
      </c>
      <c r="T36" s="4" t="str">
        <f t="shared" si="11"/>
        <v>Government</v>
      </c>
      <c r="U36" s="4" t="str">
        <f t="shared" si="12"/>
        <v>fast</v>
      </c>
      <c r="V36" s="4">
        <f t="shared" si="13"/>
        <v>2024</v>
      </c>
      <c r="W36" s="4" t="str">
        <f t="shared" si="14"/>
        <v>Japan</v>
      </c>
    </row>
    <row r="37" spans="1:23" x14ac:dyDescent="0.25">
      <c r="A37" t="s">
        <v>102</v>
      </c>
      <c r="B37" t="s">
        <v>771</v>
      </c>
      <c r="C37" t="s">
        <v>14</v>
      </c>
      <c r="D37" t="s">
        <v>17</v>
      </c>
      <c r="E37" t="s">
        <v>24</v>
      </c>
      <c r="F37" s="1">
        <v>46120</v>
      </c>
      <c r="G37">
        <v>2330.7800000000002</v>
      </c>
      <c r="H37">
        <v>20273.080000000002</v>
      </c>
      <c r="I37" t="str">
        <f t="shared" si="0"/>
        <v>Pune</v>
      </c>
      <c r="J37" t="str">
        <f t="shared" si="1"/>
        <v>Pune</v>
      </c>
      <c r="K37" t="str">
        <f t="shared" si="2"/>
        <v>Charge Point</v>
      </c>
      <c r="L37" s="4" t="str">
        <f t="shared" si="3"/>
        <v>Charge Point</v>
      </c>
      <c r="M37" s="4" t="str">
        <f t="shared" si="4"/>
        <v>Type2 Ac</v>
      </c>
      <c r="N37" s="4" t="str">
        <f t="shared" si="5"/>
        <v>Type2 Ac</v>
      </c>
      <c r="O37" s="4" t="str">
        <f t="shared" si="6"/>
        <v>Active</v>
      </c>
      <c r="P37" s="4" t="str">
        <f t="shared" si="7"/>
        <v>Active</v>
      </c>
      <c r="Q37" s="4" t="str">
        <f t="shared" si="8"/>
        <v>Pune</v>
      </c>
      <c r="R37" s="4" t="b">
        <f t="shared" si="9"/>
        <v>1</v>
      </c>
      <c r="S37" s="5" t="str">
        <f t="shared" si="10"/>
        <v>46120</v>
      </c>
      <c r="T37" s="4" t="str">
        <f t="shared" si="11"/>
        <v>Private</v>
      </c>
      <c r="U37" s="4" t="str">
        <f t="shared" si="12"/>
        <v>Slow</v>
      </c>
      <c r="V37" s="4">
        <f t="shared" si="13"/>
        <v>2026</v>
      </c>
      <c r="W37" s="4" t="str">
        <f t="shared" si="14"/>
        <v>Germany</v>
      </c>
    </row>
    <row r="38" spans="1:23" x14ac:dyDescent="0.25">
      <c r="A38" t="s">
        <v>103</v>
      </c>
      <c r="B38" t="s">
        <v>70</v>
      </c>
      <c r="C38" t="s">
        <v>764</v>
      </c>
      <c r="D38" t="s">
        <v>56</v>
      </c>
      <c r="E38" t="s">
        <v>24</v>
      </c>
      <c r="F38" s="1">
        <v>45298</v>
      </c>
      <c r="G38">
        <v>8564.7000000000007</v>
      </c>
      <c r="H38">
        <v>123101.22</v>
      </c>
      <c r="I38" t="str">
        <f t="shared" si="0"/>
        <v>Delhi</v>
      </c>
      <c r="J38" t="str">
        <f t="shared" si="1"/>
        <v>Delhi</v>
      </c>
      <c r="K38" t="str">
        <f t="shared" si="2"/>
        <v>Bpcl</v>
      </c>
      <c r="L38" s="4" t="str">
        <f t="shared" si="3"/>
        <v>Bpcl</v>
      </c>
      <c r="M38" s="4" t="str">
        <f t="shared" si="4"/>
        <v>Ccs2</v>
      </c>
      <c r="N38" s="4" t="str">
        <f t="shared" si="5"/>
        <v>Ccs2</v>
      </c>
      <c r="O38" s="4" t="str">
        <f t="shared" si="6"/>
        <v>Active</v>
      </c>
      <c r="P38" s="4" t="str">
        <f t="shared" si="7"/>
        <v>Active</v>
      </c>
      <c r="Q38" s="4" t="str">
        <f t="shared" si="8"/>
        <v>Delhi</v>
      </c>
      <c r="R38" s="4" t="b">
        <f t="shared" si="9"/>
        <v>1</v>
      </c>
      <c r="S38" s="5" t="str">
        <f t="shared" si="10"/>
        <v>45298</v>
      </c>
      <c r="T38" s="4" t="str">
        <f t="shared" si="11"/>
        <v>Government</v>
      </c>
      <c r="U38" s="4" t="str">
        <f t="shared" si="12"/>
        <v>Ultra Fast</v>
      </c>
      <c r="V38" s="4">
        <f t="shared" si="13"/>
        <v>2024</v>
      </c>
      <c r="W38" s="4" t="str">
        <f t="shared" si="14"/>
        <v>Europe</v>
      </c>
    </row>
    <row r="39" spans="1:23" x14ac:dyDescent="0.25">
      <c r="A39" t="s">
        <v>104</v>
      </c>
      <c r="B39" t="s">
        <v>40</v>
      </c>
      <c r="C39" t="s">
        <v>14</v>
      </c>
      <c r="D39" t="s">
        <v>26</v>
      </c>
      <c r="E39" t="s">
        <v>31</v>
      </c>
      <c r="F39" s="1">
        <v>46069</v>
      </c>
      <c r="G39">
        <v>1209.3699999999999</v>
      </c>
      <c r="H39">
        <v>9804.89</v>
      </c>
      <c r="I39" t="str">
        <f t="shared" si="0"/>
        <v>Mumbai</v>
      </c>
      <c r="J39" t="str">
        <f t="shared" si="1"/>
        <v>Mumbai</v>
      </c>
      <c r="K39" t="str">
        <f t="shared" si="2"/>
        <v>Charge Point</v>
      </c>
      <c r="L39" s="4" t="str">
        <f t="shared" si="3"/>
        <v>Charge Point</v>
      </c>
      <c r="M39" s="4" t="str">
        <f t="shared" si="4"/>
        <v>Chademo</v>
      </c>
      <c r="N39" s="4" t="str">
        <f t="shared" si="5"/>
        <v>Chademo</v>
      </c>
      <c r="O39" s="4" t="str">
        <f t="shared" si="6"/>
        <v>Maintenance</v>
      </c>
      <c r="P39" s="4" t="str">
        <f t="shared" si="7"/>
        <v>Maintenance</v>
      </c>
      <c r="Q39" s="4" t="str">
        <f t="shared" si="8"/>
        <v>Mumbai</v>
      </c>
      <c r="R39" s="4" t="b">
        <f t="shared" si="9"/>
        <v>1</v>
      </c>
      <c r="S39" s="5" t="str">
        <f t="shared" si="10"/>
        <v>46069</v>
      </c>
      <c r="T39" s="4" t="str">
        <f t="shared" si="11"/>
        <v>Private</v>
      </c>
      <c r="U39" s="4" t="str">
        <f t="shared" si="12"/>
        <v>fast</v>
      </c>
      <c r="V39" s="4">
        <f t="shared" si="13"/>
        <v>2026</v>
      </c>
      <c r="W39" s="4" t="str">
        <f t="shared" si="14"/>
        <v>Japan</v>
      </c>
    </row>
    <row r="40" spans="1:23" x14ac:dyDescent="0.25">
      <c r="A40" t="s">
        <v>106</v>
      </c>
      <c r="B40" t="s">
        <v>30</v>
      </c>
      <c r="C40" t="s">
        <v>36</v>
      </c>
      <c r="D40" t="s">
        <v>56</v>
      </c>
      <c r="E40" t="s">
        <v>15</v>
      </c>
      <c r="F40" s="1">
        <v>46117</v>
      </c>
      <c r="G40">
        <v>7.74</v>
      </c>
      <c r="H40">
        <v>69.73</v>
      </c>
      <c r="I40" t="str">
        <f t="shared" si="0"/>
        <v>Hyderabad</v>
      </c>
      <c r="J40" t="str">
        <f t="shared" si="1"/>
        <v>Hyderabad</v>
      </c>
      <c r="K40" t="str">
        <f t="shared" si="2"/>
        <v>Zeon Charging</v>
      </c>
      <c r="L40" s="4" t="str">
        <f t="shared" si="3"/>
        <v>Zeon Charging</v>
      </c>
      <c r="M40" s="4" t="str">
        <f t="shared" si="4"/>
        <v>Ccs2</v>
      </c>
      <c r="N40" s="4" t="str">
        <f t="shared" si="5"/>
        <v>Ccs2</v>
      </c>
      <c r="O40" s="4" t="str">
        <f t="shared" si="6"/>
        <v>Decommissioned</v>
      </c>
      <c r="P40" s="4" t="str">
        <f t="shared" si="7"/>
        <v>Decommissioned</v>
      </c>
      <c r="Q40" s="4" t="str">
        <f t="shared" si="8"/>
        <v>Hyderabad</v>
      </c>
      <c r="R40" s="4" t="b">
        <f t="shared" si="9"/>
        <v>1</v>
      </c>
      <c r="S40" s="5" t="str">
        <f t="shared" si="10"/>
        <v>46117</v>
      </c>
      <c r="T40" s="4" t="str">
        <f t="shared" si="11"/>
        <v>Private</v>
      </c>
      <c r="U40" s="4" t="str">
        <f t="shared" si="12"/>
        <v>Ultra Fast</v>
      </c>
      <c r="V40" s="4">
        <f t="shared" si="13"/>
        <v>2026</v>
      </c>
      <c r="W40" s="4" t="str">
        <f t="shared" si="14"/>
        <v>Europe</v>
      </c>
    </row>
    <row r="41" spans="1:23" x14ac:dyDescent="0.25">
      <c r="A41" t="s">
        <v>107</v>
      </c>
      <c r="B41" t="s">
        <v>13</v>
      </c>
      <c r="C41" t="s">
        <v>41</v>
      </c>
      <c r="D41" t="s">
        <v>48</v>
      </c>
      <c r="E41" t="s">
        <v>54</v>
      </c>
      <c r="F41" s="1">
        <v>45455</v>
      </c>
      <c r="G41">
        <v>235.35</v>
      </c>
      <c r="H41">
        <v>3317.62</v>
      </c>
      <c r="I41" t="str">
        <f t="shared" si="0"/>
        <v>Bengaluru</v>
      </c>
      <c r="J41" t="str">
        <f t="shared" si="1"/>
        <v>Bengaluru</v>
      </c>
      <c r="K41" t="str">
        <f t="shared" si="2"/>
        <v>Ather Grid</v>
      </c>
      <c r="L41" s="4" t="str">
        <f t="shared" si="3"/>
        <v>Ather Grid</v>
      </c>
      <c r="M41" s="4" t="str">
        <f t="shared" si="4"/>
        <v>Bharat Dc-001</v>
      </c>
      <c r="N41" s="4" t="str">
        <f t="shared" si="5"/>
        <v>Bharat Dc-001</v>
      </c>
      <c r="O41" s="4" t="str">
        <f t="shared" si="6"/>
        <v>Inactive</v>
      </c>
      <c r="P41" s="4" t="str">
        <f t="shared" si="7"/>
        <v>Inactive</v>
      </c>
      <c r="Q41" s="4" t="str">
        <f t="shared" si="8"/>
        <v>Bengaluru</v>
      </c>
      <c r="R41" s="4" t="b">
        <f t="shared" si="9"/>
        <v>1</v>
      </c>
      <c r="S41" s="5" t="str">
        <f t="shared" si="10"/>
        <v>45455</v>
      </c>
      <c r="T41" s="4" t="str">
        <f t="shared" si="11"/>
        <v>Private</v>
      </c>
      <c r="U41" s="4" t="str">
        <f t="shared" si="12"/>
        <v>fast</v>
      </c>
      <c r="V41" s="4">
        <f t="shared" si="13"/>
        <v>2024</v>
      </c>
      <c r="W41" s="4" t="str">
        <f t="shared" si="14"/>
        <v>India</v>
      </c>
    </row>
    <row r="42" spans="1:23" x14ac:dyDescent="0.25">
      <c r="A42" t="s">
        <v>108</v>
      </c>
      <c r="B42" t="s">
        <v>776</v>
      </c>
      <c r="C42" t="s">
        <v>14</v>
      </c>
      <c r="D42" t="s">
        <v>26</v>
      </c>
      <c r="E42" t="s">
        <v>24</v>
      </c>
      <c r="F42" s="1">
        <v>46006</v>
      </c>
      <c r="G42">
        <v>2795.09</v>
      </c>
      <c r="H42">
        <v>41338.54</v>
      </c>
      <c r="I42" t="str">
        <f t="shared" si="0"/>
        <v>Mumbai</v>
      </c>
      <c r="J42" t="str">
        <f t="shared" si="1"/>
        <v>Mumbai</v>
      </c>
      <c r="K42" t="str">
        <f t="shared" si="2"/>
        <v>Charge Point</v>
      </c>
      <c r="L42" s="4" t="str">
        <f t="shared" si="3"/>
        <v>Charge Point</v>
      </c>
      <c r="M42" s="4" t="str">
        <f t="shared" si="4"/>
        <v>Chademo</v>
      </c>
      <c r="N42" s="4" t="str">
        <f t="shared" si="5"/>
        <v>Chademo</v>
      </c>
      <c r="O42" s="4" t="str">
        <f t="shared" si="6"/>
        <v>Active</v>
      </c>
      <c r="P42" s="4" t="str">
        <f t="shared" si="7"/>
        <v>Active</v>
      </c>
      <c r="Q42" s="4" t="str">
        <f t="shared" si="8"/>
        <v>Mumbai</v>
      </c>
      <c r="R42" s="4" t="b">
        <f t="shared" si="9"/>
        <v>1</v>
      </c>
      <c r="S42" s="5" t="str">
        <f t="shared" si="10"/>
        <v>46006</v>
      </c>
      <c r="T42" s="4" t="str">
        <f t="shared" si="11"/>
        <v>Private</v>
      </c>
      <c r="U42" s="4" t="str">
        <f t="shared" si="12"/>
        <v>fast</v>
      </c>
      <c r="V42" s="4">
        <f t="shared" si="13"/>
        <v>2025</v>
      </c>
      <c r="W42" s="4" t="str">
        <f t="shared" si="14"/>
        <v>Japan</v>
      </c>
    </row>
    <row r="43" spans="1:23" x14ac:dyDescent="0.25">
      <c r="A43" t="s">
        <v>110</v>
      </c>
      <c r="B43" t="s">
        <v>13</v>
      </c>
      <c r="C43" t="s">
        <v>36</v>
      </c>
      <c r="D43" t="s">
        <v>56</v>
      </c>
      <c r="E43" t="s">
        <v>24</v>
      </c>
      <c r="F43" s="1">
        <v>45872</v>
      </c>
      <c r="G43">
        <v>11062.2</v>
      </c>
      <c r="H43">
        <v>94291.96</v>
      </c>
      <c r="I43" t="str">
        <f t="shared" si="0"/>
        <v>Bengaluru</v>
      </c>
      <c r="J43" t="str">
        <f t="shared" si="1"/>
        <v>Bengaluru</v>
      </c>
      <c r="K43" t="str">
        <f t="shared" si="2"/>
        <v>Zeon Charging</v>
      </c>
      <c r="L43" s="4" t="str">
        <f t="shared" si="3"/>
        <v>Zeon Charging</v>
      </c>
      <c r="M43" s="4" t="str">
        <f t="shared" si="4"/>
        <v>Ccs2</v>
      </c>
      <c r="N43" s="4" t="str">
        <f t="shared" si="5"/>
        <v>Ccs2</v>
      </c>
      <c r="O43" s="4" t="str">
        <f t="shared" si="6"/>
        <v>Active</v>
      </c>
      <c r="P43" s="4" t="str">
        <f t="shared" si="7"/>
        <v>Active</v>
      </c>
      <c r="Q43" s="4" t="str">
        <f t="shared" si="8"/>
        <v>Bengaluru</v>
      </c>
      <c r="R43" s="4" t="b">
        <f t="shared" si="9"/>
        <v>1</v>
      </c>
      <c r="S43" s="5" t="str">
        <f t="shared" si="10"/>
        <v>45872</v>
      </c>
      <c r="T43" s="4" t="str">
        <f t="shared" si="11"/>
        <v>Private</v>
      </c>
      <c r="U43" s="4" t="str">
        <f t="shared" si="12"/>
        <v>Ultra Fast</v>
      </c>
      <c r="V43" s="4">
        <f t="shared" si="13"/>
        <v>2025</v>
      </c>
      <c r="W43" s="4" t="str">
        <f t="shared" si="14"/>
        <v>Europe</v>
      </c>
    </row>
    <row r="44" spans="1:23" x14ac:dyDescent="0.25">
      <c r="A44" t="s">
        <v>111</v>
      </c>
      <c r="B44" t="s">
        <v>40</v>
      </c>
      <c r="C44" t="s">
        <v>36</v>
      </c>
      <c r="D44" t="s">
        <v>56</v>
      </c>
      <c r="E44" t="s">
        <v>24</v>
      </c>
      <c r="F44" s="1">
        <v>45640</v>
      </c>
      <c r="G44">
        <v>4521.07</v>
      </c>
      <c r="H44">
        <v>60901.87</v>
      </c>
      <c r="I44" t="str">
        <f t="shared" si="0"/>
        <v>Mumbai</v>
      </c>
      <c r="J44" t="str">
        <f t="shared" si="1"/>
        <v>Mumbai</v>
      </c>
      <c r="K44" t="str">
        <f t="shared" si="2"/>
        <v>Zeon Charging</v>
      </c>
      <c r="L44" s="4" t="str">
        <f t="shared" si="3"/>
        <v>Zeon Charging</v>
      </c>
      <c r="M44" s="4" t="str">
        <f t="shared" si="4"/>
        <v>Ccs2</v>
      </c>
      <c r="N44" s="4" t="str">
        <f t="shared" si="5"/>
        <v>Ccs2</v>
      </c>
      <c r="O44" s="4" t="str">
        <f t="shared" si="6"/>
        <v>Active</v>
      </c>
      <c r="P44" s="4" t="str">
        <f t="shared" si="7"/>
        <v>Active</v>
      </c>
      <c r="Q44" s="4" t="str">
        <f t="shared" si="8"/>
        <v>Mumbai</v>
      </c>
      <c r="R44" s="4" t="b">
        <f t="shared" si="9"/>
        <v>1</v>
      </c>
      <c r="S44" s="5" t="str">
        <f t="shared" si="10"/>
        <v>45640</v>
      </c>
      <c r="T44" s="4" t="str">
        <f t="shared" si="11"/>
        <v>Private</v>
      </c>
      <c r="U44" s="4" t="str">
        <f t="shared" si="12"/>
        <v>Ultra Fast</v>
      </c>
      <c r="V44" s="4">
        <f t="shared" si="13"/>
        <v>2024</v>
      </c>
      <c r="W44" s="4" t="str">
        <f t="shared" si="14"/>
        <v>Europe</v>
      </c>
    </row>
    <row r="45" spans="1:23" x14ac:dyDescent="0.25">
      <c r="A45" t="s">
        <v>113</v>
      </c>
      <c r="B45" t="s">
        <v>46</v>
      </c>
      <c r="C45" t="s">
        <v>764</v>
      </c>
      <c r="D45" t="s">
        <v>17</v>
      </c>
      <c r="E45" t="s">
        <v>24</v>
      </c>
      <c r="F45" s="1">
        <v>45576</v>
      </c>
      <c r="G45">
        <v>9936.17</v>
      </c>
      <c r="H45">
        <v>97922.54</v>
      </c>
      <c r="I45" t="str">
        <f t="shared" si="0"/>
        <v>Kolkata</v>
      </c>
      <c r="J45" t="str">
        <f t="shared" si="1"/>
        <v>Kolkata</v>
      </c>
      <c r="K45" t="str">
        <f t="shared" si="2"/>
        <v>Bpcl</v>
      </c>
      <c r="L45" s="4" t="str">
        <f t="shared" si="3"/>
        <v>Bpcl</v>
      </c>
      <c r="M45" s="4" t="str">
        <f t="shared" si="4"/>
        <v>Type2 Ac</v>
      </c>
      <c r="N45" s="4" t="str">
        <f t="shared" si="5"/>
        <v>Type2 Ac</v>
      </c>
      <c r="O45" s="4" t="str">
        <f t="shared" si="6"/>
        <v>Active</v>
      </c>
      <c r="P45" s="4" t="str">
        <f t="shared" si="7"/>
        <v>Active</v>
      </c>
      <c r="Q45" s="4" t="str">
        <f t="shared" si="8"/>
        <v>Kolkata</v>
      </c>
      <c r="R45" s="4" t="b">
        <f t="shared" si="9"/>
        <v>1</v>
      </c>
      <c r="S45" s="5" t="str">
        <f t="shared" si="10"/>
        <v>45576</v>
      </c>
      <c r="T45" s="4" t="str">
        <f t="shared" si="11"/>
        <v>Government</v>
      </c>
      <c r="U45" s="4" t="str">
        <f t="shared" si="12"/>
        <v>Slow</v>
      </c>
      <c r="V45" s="4">
        <f t="shared" si="13"/>
        <v>2024</v>
      </c>
      <c r="W45" s="4" t="str">
        <f t="shared" si="14"/>
        <v>Germany</v>
      </c>
    </row>
    <row r="46" spans="1:23" x14ac:dyDescent="0.25">
      <c r="A46" t="s">
        <v>114</v>
      </c>
      <c r="B46" t="s">
        <v>70</v>
      </c>
      <c r="C46" t="s">
        <v>36</v>
      </c>
      <c r="D46" t="s">
        <v>56</v>
      </c>
      <c r="E46" t="s">
        <v>24</v>
      </c>
      <c r="F46" s="1">
        <v>45451</v>
      </c>
      <c r="G46">
        <v>10520.21</v>
      </c>
      <c r="H46">
        <v>130059.42</v>
      </c>
      <c r="I46" t="str">
        <f t="shared" si="0"/>
        <v>Delhi</v>
      </c>
      <c r="J46" t="str">
        <f t="shared" si="1"/>
        <v>Delhi</v>
      </c>
      <c r="K46" t="str">
        <f t="shared" si="2"/>
        <v>Zeon Charging</v>
      </c>
      <c r="L46" s="4" t="str">
        <f t="shared" si="3"/>
        <v>Zeon Charging</v>
      </c>
      <c r="M46" s="4" t="str">
        <f t="shared" si="4"/>
        <v>Ccs2</v>
      </c>
      <c r="N46" s="4" t="str">
        <f t="shared" si="5"/>
        <v>Ccs2</v>
      </c>
      <c r="O46" s="4" t="str">
        <f t="shared" si="6"/>
        <v>Active</v>
      </c>
      <c r="P46" s="4" t="str">
        <f t="shared" si="7"/>
        <v>Active</v>
      </c>
      <c r="Q46" s="4" t="str">
        <f t="shared" si="8"/>
        <v>Delhi</v>
      </c>
      <c r="R46" s="4" t="b">
        <f t="shared" si="9"/>
        <v>1</v>
      </c>
      <c r="S46" s="5" t="str">
        <f t="shared" si="10"/>
        <v>45451</v>
      </c>
      <c r="T46" s="4" t="str">
        <f t="shared" si="11"/>
        <v>Private</v>
      </c>
      <c r="U46" s="4" t="str">
        <f t="shared" si="12"/>
        <v>Ultra Fast</v>
      </c>
      <c r="V46" s="4">
        <f t="shared" si="13"/>
        <v>2024</v>
      </c>
      <c r="W46" s="4" t="str">
        <f t="shared" si="14"/>
        <v>Europe</v>
      </c>
    </row>
    <row r="47" spans="1:23" x14ac:dyDescent="0.25">
      <c r="A47" t="s">
        <v>115</v>
      </c>
      <c r="B47" t="s">
        <v>30</v>
      </c>
      <c r="C47" t="s">
        <v>36</v>
      </c>
      <c r="D47" t="s">
        <v>26</v>
      </c>
      <c r="E47" t="s">
        <v>31</v>
      </c>
      <c r="F47" s="1">
        <v>45512</v>
      </c>
      <c r="I47" t="str">
        <f t="shared" si="0"/>
        <v>Hyderabad</v>
      </c>
      <c r="J47" t="str">
        <f t="shared" si="1"/>
        <v>Hyderabad</v>
      </c>
      <c r="K47" t="str">
        <f t="shared" si="2"/>
        <v>Zeon Charging</v>
      </c>
      <c r="L47" s="4" t="str">
        <f t="shared" si="3"/>
        <v>Zeon Charging</v>
      </c>
      <c r="M47" s="4" t="str">
        <f t="shared" si="4"/>
        <v>Chademo</v>
      </c>
      <c r="N47" s="4" t="str">
        <f t="shared" si="5"/>
        <v>Chademo</v>
      </c>
      <c r="O47" s="4" t="str">
        <f t="shared" si="6"/>
        <v>Maintenance</v>
      </c>
      <c r="P47" s="4" t="str">
        <f t="shared" si="7"/>
        <v>Maintenance</v>
      </c>
      <c r="Q47" s="4" t="str">
        <f t="shared" si="8"/>
        <v>Hyderabad</v>
      </c>
      <c r="R47" s="4" t="b">
        <f t="shared" si="9"/>
        <v>1</v>
      </c>
      <c r="S47" s="5" t="str">
        <f t="shared" si="10"/>
        <v>45512</v>
      </c>
      <c r="T47" s="4" t="str">
        <f t="shared" si="11"/>
        <v>Private</v>
      </c>
      <c r="U47" s="4" t="str">
        <f t="shared" si="12"/>
        <v>fast</v>
      </c>
      <c r="V47" s="4">
        <f t="shared" si="13"/>
        <v>2024</v>
      </c>
      <c r="W47" s="4" t="str">
        <f t="shared" si="14"/>
        <v>Japan</v>
      </c>
    </row>
    <row r="48" spans="1:23" x14ac:dyDescent="0.25">
      <c r="A48" t="s">
        <v>116</v>
      </c>
      <c r="B48" t="s">
        <v>784</v>
      </c>
      <c r="C48" t="s">
        <v>36</v>
      </c>
      <c r="D48" t="s">
        <v>26</v>
      </c>
      <c r="E48" t="s">
        <v>24</v>
      </c>
      <c r="F48" s="1">
        <v>46073</v>
      </c>
      <c r="G48">
        <v>8090.38</v>
      </c>
      <c r="H48">
        <v>69271.509999999995</v>
      </c>
      <c r="I48" t="str">
        <f t="shared" si="0"/>
        <v>Delhi</v>
      </c>
      <c r="J48" t="str">
        <f t="shared" si="1"/>
        <v>Delhi</v>
      </c>
      <c r="K48" t="str">
        <f t="shared" si="2"/>
        <v>Zeon Charging</v>
      </c>
      <c r="L48" s="4" t="str">
        <f t="shared" si="3"/>
        <v>Zeon Charging</v>
      </c>
      <c r="M48" s="4" t="str">
        <f t="shared" si="4"/>
        <v>Chademo</v>
      </c>
      <c r="N48" s="4" t="str">
        <f t="shared" si="5"/>
        <v>Chademo</v>
      </c>
      <c r="O48" s="4" t="str">
        <f t="shared" si="6"/>
        <v>Active</v>
      </c>
      <c r="P48" s="4" t="str">
        <f t="shared" si="7"/>
        <v>Active</v>
      </c>
      <c r="Q48" s="4" t="str">
        <f t="shared" si="8"/>
        <v>Delhi</v>
      </c>
      <c r="R48" s="4" t="b">
        <f t="shared" si="9"/>
        <v>1</v>
      </c>
      <c r="S48" s="5" t="str">
        <f t="shared" si="10"/>
        <v>46073</v>
      </c>
      <c r="T48" s="4" t="str">
        <f t="shared" si="11"/>
        <v>Private</v>
      </c>
      <c r="U48" s="4" t="str">
        <f t="shared" si="12"/>
        <v>fast</v>
      </c>
      <c r="V48" s="4">
        <f t="shared" si="13"/>
        <v>2026</v>
      </c>
      <c r="W48" s="4" t="str">
        <f t="shared" si="14"/>
        <v>Japan</v>
      </c>
    </row>
    <row r="49" spans="1:23" x14ac:dyDescent="0.25">
      <c r="A49" t="s">
        <v>118</v>
      </c>
      <c r="B49" t="s">
        <v>35</v>
      </c>
      <c r="C49" t="s">
        <v>36</v>
      </c>
      <c r="D49" t="s">
        <v>17</v>
      </c>
      <c r="E49" t="s">
        <v>31</v>
      </c>
      <c r="F49" s="1">
        <v>45636</v>
      </c>
      <c r="G49">
        <v>1255.55</v>
      </c>
      <c r="H49">
        <v>12932.11</v>
      </c>
      <c r="I49" t="str">
        <f t="shared" si="0"/>
        <v>Chennai</v>
      </c>
      <c r="J49" t="str">
        <f t="shared" si="1"/>
        <v>Chennai</v>
      </c>
      <c r="K49" t="str">
        <f t="shared" si="2"/>
        <v>Zeon Charging</v>
      </c>
      <c r="L49" s="4" t="str">
        <f t="shared" si="3"/>
        <v>Zeon Charging</v>
      </c>
      <c r="M49" s="4" t="str">
        <f t="shared" si="4"/>
        <v>Type2 Ac</v>
      </c>
      <c r="N49" s="4" t="str">
        <f t="shared" si="5"/>
        <v>Type2 Ac</v>
      </c>
      <c r="O49" s="4" t="str">
        <f t="shared" si="6"/>
        <v>Maintenance</v>
      </c>
      <c r="P49" s="4" t="str">
        <f t="shared" si="7"/>
        <v>Maintenance</v>
      </c>
      <c r="Q49" s="4" t="str">
        <f t="shared" si="8"/>
        <v>Chennai</v>
      </c>
      <c r="R49" s="4" t="b">
        <f t="shared" si="9"/>
        <v>1</v>
      </c>
      <c r="S49" s="5" t="str">
        <f t="shared" si="10"/>
        <v>45636</v>
      </c>
      <c r="T49" s="4" t="str">
        <f t="shared" si="11"/>
        <v>Private</v>
      </c>
      <c r="U49" s="4" t="str">
        <f t="shared" si="12"/>
        <v>Slow</v>
      </c>
      <c r="V49" s="4">
        <f t="shared" si="13"/>
        <v>2024</v>
      </c>
      <c r="W49" s="4" t="str">
        <f t="shared" si="14"/>
        <v>Germany</v>
      </c>
    </row>
    <row r="50" spans="1:23" x14ac:dyDescent="0.25">
      <c r="A50" t="s">
        <v>119</v>
      </c>
      <c r="B50" t="s">
        <v>35</v>
      </c>
      <c r="C50" t="s">
        <v>63</v>
      </c>
      <c r="D50" t="s">
        <v>26</v>
      </c>
      <c r="E50" t="s">
        <v>24</v>
      </c>
      <c r="F50" s="1">
        <v>45396</v>
      </c>
      <c r="G50">
        <v>3703.94</v>
      </c>
      <c r="I50" t="str">
        <f t="shared" si="0"/>
        <v>Chennai</v>
      </c>
      <c r="J50" t="str">
        <f t="shared" si="1"/>
        <v>Chennai</v>
      </c>
      <c r="K50" t="str">
        <f t="shared" si="2"/>
        <v>Tata Power</v>
      </c>
      <c r="L50" s="4" t="str">
        <f t="shared" si="3"/>
        <v>Tata Power</v>
      </c>
      <c r="M50" s="4" t="str">
        <f t="shared" si="4"/>
        <v>Chademo</v>
      </c>
      <c r="N50" s="4" t="str">
        <f t="shared" si="5"/>
        <v>Chademo</v>
      </c>
      <c r="O50" s="4" t="str">
        <f t="shared" si="6"/>
        <v>Active</v>
      </c>
      <c r="P50" s="4" t="str">
        <f t="shared" si="7"/>
        <v>Active</v>
      </c>
      <c r="Q50" s="4" t="str">
        <f t="shared" si="8"/>
        <v>Chennai</v>
      </c>
      <c r="R50" s="4" t="b">
        <f t="shared" si="9"/>
        <v>1</v>
      </c>
      <c r="S50" s="5" t="str">
        <f t="shared" si="10"/>
        <v>45396</v>
      </c>
      <c r="T50" s="4" t="str">
        <f t="shared" si="11"/>
        <v>Government</v>
      </c>
      <c r="U50" s="4" t="str">
        <f t="shared" si="12"/>
        <v>fast</v>
      </c>
      <c r="V50" s="4">
        <f t="shared" si="13"/>
        <v>2024</v>
      </c>
      <c r="W50" s="4" t="str">
        <f t="shared" si="14"/>
        <v>Japan</v>
      </c>
    </row>
    <row r="51" spans="1:23" x14ac:dyDescent="0.25">
      <c r="A51" t="s">
        <v>120</v>
      </c>
      <c r="B51" t="s">
        <v>70</v>
      </c>
      <c r="C51" t="s">
        <v>63</v>
      </c>
      <c r="D51" t="s">
        <v>48</v>
      </c>
      <c r="E51" t="s">
        <v>24</v>
      </c>
      <c r="F51" s="1">
        <v>45386</v>
      </c>
      <c r="G51">
        <v>1298.3399999999999</v>
      </c>
      <c r="H51">
        <v>15236.48</v>
      </c>
      <c r="I51" t="str">
        <f t="shared" si="0"/>
        <v>Delhi</v>
      </c>
      <c r="J51" t="str">
        <f t="shared" si="1"/>
        <v>Delhi</v>
      </c>
      <c r="K51" t="str">
        <f t="shared" si="2"/>
        <v>Tata Power</v>
      </c>
      <c r="L51" s="4" t="str">
        <f t="shared" si="3"/>
        <v>Tata Power</v>
      </c>
      <c r="M51" s="4" t="str">
        <f t="shared" si="4"/>
        <v>Bharat Dc-001</v>
      </c>
      <c r="N51" s="4" t="str">
        <f t="shared" si="5"/>
        <v>Bharat Dc-001</v>
      </c>
      <c r="O51" s="4" t="str">
        <f t="shared" si="6"/>
        <v>Active</v>
      </c>
      <c r="P51" s="4" t="str">
        <f t="shared" si="7"/>
        <v>Active</v>
      </c>
      <c r="Q51" s="4" t="str">
        <f t="shared" si="8"/>
        <v>Delhi</v>
      </c>
      <c r="R51" s="4" t="b">
        <f t="shared" si="9"/>
        <v>1</v>
      </c>
      <c r="S51" s="5" t="str">
        <f t="shared" si="10"/>
        <v>45386</v>
      </c>
      <c r="T51" s="4" t="str">
        <f t="shared" si="11"/>
        <v>Government</v>
      </c>
      <c r="U51" s="4" t="str">
        <f t="shared" si="12"/>
        <v>fast</v>
      </c>
      <c r="V51" s="4">
        <f t="shared" si="13"/>
        <v>2024</v>
      </c>
      <c r="W51" s="4" t="str">
        <f t="shared" si="14"/>
        <v>India</v>
      </c>
    </row>
    <row r="52" spans="1:23" x14ac:dyDescent="0.25">
      <c r="A52" t="s">
        <v>121</v>
      </c>
      <c r="B52" t="s">
        <v>23</v>
      </c>
      <c r="C52" t="s">
        <v>764</v>
      </c>
      <c r="D52" t="s">
        <v>26</v>
      </c>
      <c r="E52" t="s">
        <v>24</v>
      </c>
      <c r="F52" s="1">
        <v>45681</v>
      </c>
      <c r="G52">
        <v>9393.26</v>
      </c>
      <c r="H52">
        <v>137883.45000000001</v>
      </c>
      <c r="I52" t="str">
        <f t="shared" si="0"/>
        <v>Ahemdabad</v>
      </c>
      <c r="J52" t="str">
        <f t="shared" si="1"/>
        <v>Ahemdabad</v>
      </c>
      <c r="K52" t="str">
        <f t="shared" si="2"/>
        <v>Bpcl</v>
      </c>
      <c r="L52" s="4" t="str">
        <f t="shared" si="3"/>
        <v>Bpcl</v>
      </c>
      <c r="M52" s="4" t="str">
        <f t="shared" si="4"/>
        <v>Chademo</v>
      </c>
      <c r="N52" s="4" t="str">
        <f t="shared" si="5"/>
        <v>Chademo</v>
      </c>
      <c r="O52" s="4" t="str">
        <f t="shared" si="6"/>
        <v>Active</v>
      </c>
      <c r="P52" s="4" t="str">
        <f t="shared" si="7"/>
        <v>Active</v>
      </c>
      <c r="Q52" s="4" t="str">
        <f t="shared" si="8"/>
        <v>Ahemdabad</v>
      </c>
      <c r="R52" s="4" t="b">
        <f t="shared" si="9"/>
        <v>1</v>
      </c>
      <c r="S52" s="5" t="str">
        <f t="shared" si="10"/>
        <v>45681</v>
      </c>
      <c r="T52" s="4" t="str">
        <f t="shared" si="11"/>
        <v>Government</v>
      </c>
      <c r="U52" s="4" t="str">
        <f t="shared" si="12"/>
        <v>fast</v>
      </c>
      <c r="V52" s="4">
        <f t="shared" si="13"/>
        <v>2025</v>
      </c>
      <c r="W52" s="4" t="str">
        <f t="shared" si="14"/>
        <v>Japan</v>
      </c>
    </row>
    <row r="53" spans="1:23" x14ac:dyDescent="0.25">
      <c r="A53" t="s">
        <v>123</v>
      </c>
      <c r="B53" t="s">
        <v>66</v>
      </c>
      <c r="C53" t="s">
        <v>14</v>
      </c>
      <c r="D53" t="s">
        <v>26</v>
      </c>
      <c r="E53" t="s">
        <v>24</v>
      </c>
      <c r="F53" s="1">
        <v>45391</v>
      </c>
      <c r="G53">
        <v>4538.18</v>
      </c>
      <c r="H53">
        <v>56217.13</v>
      </c>
      <c r="I53" t="str">
        <f t="shared" si="0"/>
        <v>Pune</v>
      </c>
      <c r="J53" t="str">
        <f t="shared" si="1"/>
        <v>Pune</v>
      </c>
      <c r="K53" t="str">
        <f t="shared" si="2"/>
        <v>Charge Point</v>
      </c>
      <c r="L53" s="4" t="str">
        <f t="shared" si="3"/>
        <v>Charge Point</v>
      </c>
      <c r="M53" s="4" t="str">
        <f t="shared" si="4"/>
        <v>Chademo</v>
      </c>
      <c r="N53" s="4" t="str">
        <f t="shared" si="5"/>
        <v>Chademo</v>
      </c>
      <c r="O53" s="4" t="str">
        <f t="shared" si="6"/>
        <v>Active</v>
      </c>
      <c r="P53" s="4" t="str">
        <f t="shared" si="7"/>
        <v>Active</v>
      </c>
      <c r="Q53" s="4" t="str">
        <f t="shared" si="8"/>
        <v>Pune</v>
      </c>
      <c r="R53" s="4" t="b">
        <f t="shared" si="9"/>
        <v>1</v>
      </c>
      <c r="S53" s="5" t="str">
        <f t="shared" si="10"/>
        <v>45391</v>
      </c>
      <c r="T53" s="4" t="str">
        <f t="shared" si="11"/>
        <v>Private</v>
      </c>
      <c r="U53" s="4" t="str">
        <f t="shared" si="12"/>
        <v>fast</v>
      </c>
      <c r="V53" s="4">
        <f t="shared" si="13"/>
        <v>2024</v>
      </c>
      <c r="W53" s="4" t="str">
        <f t="shared" si="14"/>
        <v>Japan</v>
      </c>
    </row>
    <row r="54" spans="1:23" x14ac:dyDescent="0.25">
      <c r="A54" t="s">
        <v>124</v>
      </c>
      <c r="B54" t="s">
        <v>23</v>
      </c>
      <c r="C54" t="s">
        <v>36</v>
      </c>
      <c r="D54" t="s">
        <v>56</v>
      </c>
      <c r="E54" t="s">
        <v>15</v>
      </c>
      <c r="F54" s="1">
        <v>45659</v>
      </c>
      <c r="G54">
        <v>101.88</v>
      </c>
      <c r="H54">
        <v>1447.93</v>
      </c>
      <c r="I54" t="str">
        <f t="shared" si="0"/>
        <v>Ahemdabad</v>
      </c>
      <c r="J54" t="str">
        <f t="shared" si="1"/>
        <v>Ahemdabad</v>
      </c>
      <c r="K54" t="str">
        <f t="shared" si="2"/>
        <v>Zeon Charging</v>
      </c>
      <c r="L54" s="4" t="str">
        <f t="shared" si="3"/>
        <v>Zeon Charging</v>
      </c>
      <c r="M54" s="4" t="str">
        <f t="shared" si="4"/>
        <v>Ccs2</v>
      </c>
      <c r="N54" s="4" t="str">
        <f t="shared" si="5"/>
        <v>Ccs2</v>
      </c>
      <c r="O54" s="4" t="str">
        <f t="shared" si="6"/>
        <v>Decommissioned</v>
      </c>
      <c r="P54" s="4" t="str">
        <f t="shared" si="7"/>
        <v>Decommissioned</v>
      </c>
      <c r="Q54" s="4" t="str">
        <f t="shared" si="8"/>
        <v>Ahemdabad</v>
      </c>
      <c r="R54" s="4" t="b">
        <f t="shared" si="9"/>
        <v>1</v>
      </c>
      <c r="S54" s="5" t="str">
        <f t="shared" si="10"/>
        <v>45659</v>
      </c>
      <c r="T54" s="4" t="str">
        <f t="shared" si="11"/>
        <v>Private</v>
      </c>
      <c r="U54" s="4" t="str">
        <f t="shared" si="12"/>
        <v>Ultra Fast</v>
      </c>
      <c r="V54" s="4">
        <f t="shared" si="13"/>
        <v>2025</v>
      </c>
      <c r="W54" s="4" t="str">
        <f t="shared" si="14"/>
        <v>Europe</v>
      </c>
    </row>
    <row r="55" spans="1:23" x14ac:dyDescent="0.25">
      <c r="A55" t="s">
        <v>125</v>
      </c>
      <c r="B55" t="s">
        <v>46</v>
      </c>
      <c r="C55" t="s">
        <v>14</v>
      </c>
      <c r="D55" t="s">
        <v>56</v>
      </c>
      <c r="E55" t="s">
        <v>24</v>
      </c>
      <c r="F55" s="1">
        <v>46159</v>
      </c>
      <c r="G55">
        <v>8314.4599999999991</v>
      </c>
      <c r="H55">
        <v>94914.82</v>
      </c>
      <c r="I55" t="str">
        <f t="shared" si="0"/>
        <v>Kolkata</v>
      </c>
      <c r="J55" t="str">
        <f t="shared" si="1"/>
        <v>Kolkata</v>
      </c>
      <c r="K55" t="str">
        <f t="shared" si="2"/>
        <v>Charge Point</v>
      </c>
      <c r="L55" s="4" t="str">
        <f t="shared" si="3"/>
        <v>Charge Point</v>
      </c>
      <c r="M55" s="4" t="str">
        <f t="shared" si="4"/>
        <v>Ccs2</v>
      </c>
      <c r="N55" s="4" t="str">
        <f t="shared" si="5"/>
        <v>Ccs2</v>
      </c>
      <c r="O55" s="4" t="str">
        <f t="shared" si="6"/>
        <v>Active</v>
      </c>
      <c r="P55" s="4" t="str">
        <f t="shared" si="7"/>
        <v>Active</v>
      </c>
      <c r="Q55" s="4" t="str">
        <f t="shared" si="8"/>
        <v>Kolkata</v>
      </c>
      <c r="R55" s="4" t="b">
        <f t="shared" si="9"/>
        <v>1</v>
      </c>
      <c r="S55" s="5" t="str">
        <f t="shared" si="10"/>
        <v>46159</v>
      </c>
      <c r="T55" s="4" t="str">
        <f t="shared" si="11"/>
        <v>Private</v>
      </c>
      <c r="U55" s="4" t="str">
        <f t="shared" si="12"/>
        <v>Ultra Fast</v>
      </c>
      <c r="V55" s="4">
        <f t="shared" si="13"/>
        <v>2026</v>
      </c>
      <c r="W55" s="4" t="str">
        <f t="shared" si="14"/>
        <v>Europe</v>
      </c>
    </row>
    <row r="56" spans="1:23" x14ac:dyDescent="0.25">
      <c r="A56" t="s">
        <v>127</v>
      </c>
      <c r="B56" t="s">
        <v>35</v>
      </c>
      <c r="C56" t="s">
        <v>14</v>
      </c>
      <c r="D56" t="s">
        <v>26</v>
      </c>
      <c r="E56" t="s">
        <v>31</v>
      </c>
      <c r="F56" s="1">
        <v>45644</v>
      </c>
      <c r="G56">
        <v>2546.62</v>
      </c>
      <c r="H56">
        <v>30017.3</v>
      </c>
      <c r="I56" t="str">
        <f t="shared" si="0"/>
        <v>Chennai</v>
      </c>
      <c r="J56" t="str">
        <f t="shared" si="1"/>
        <v>Chennai</v>
      </c>
      <c r="K56" t="str">
        <f t="shared" si="2"/>
        <v>Charge Point</v>
      </c>
      <c r="L56" s="4" t="str">
        <f t="shared" si="3"/>
        <v>Charge Point</v>
      </c>
      <c r="M56" s="4" t="str">
        <f t="shared" si="4"/>
        <v>Chademo</v>
      </c>
      <c r="N56" s="4" t="str">
        <f t="shared" si="5"/>
        <v>Chademo</v>
      </c>
      <c r="O56" s="4" t="str">
        <f t="shared" si="6"/>
        <v>Maintenance</v>
      </c>
      <c r="P56" s="4" t="str">
        <f t="shared" si="7"/>
        <v>Maintenance</v>
      </c>
      <c r="Q56" s="4" t="str">
        <f t="shared" si="8"/>
        <v>Chennai</v>
      </c>
      <c r="R56" s="4" t="b">
        <f t="shared" si="9"/>
        <v>1</v>
      </c>
      <c r="S56" s="5" t="str">
        <f t="shared" si="10"/>
        <v>45644</v>
      </c>
      <c r="T56" s="4" t="str">
        <f t="shared" si="11"/>
        <v>Private</v>
      </c>
      <c r="U56" s="4" t="str">
        <f t="shared" si="12"/>
        <v>fast</v>
      </c>
      <c r="V56" s="4">
        <f t="shared" si="13"/>
        <v>2024</v>
      </c>
      <c r="W56" s="4" t="str">
        <f t="shared" si="14"/>
        <v>Japan</v>
      </c>
    </row>
    <row r="57" spans="1:23" x14ac:dyDescent="0.25">
      <c r="A57" t="s">
        <v>129</v>
      </c>
      <c r="B57" t="s">
        <v>46</v>
      </c>
      <c r="C57" t="s">
        <v>764</v>
      </c>
      <c r="D57" t="s">
        <v>17</v>
      </c>
      <c r="E57" t="s">
        <v>24</v>
      </c>
      <c r="F57" s="1">
        <v>45910</v>
      </c>
      <c r="G57">
        <v>4308.22</v>
      </c>
      <c r="H57">
        <v>53086.82</v>
      </c>
      <c r="I57" t="str">
        <f t="shared" si="0"/>
        <v>Kolkata</v>
      </c>
      <c r="J57" t="str">
        <f t="shared" si="1"/>
        <v>Kolkata</v>
      </c>
      <c r="K57" t="str">
        <f t="shared" si="2"/>
        <v>Bpcl</v>
      </c>
      <c r="L57" s="4" t="str">
        <f t="shared" si="3"/>
        <v>Bpcl</v>
      </c>
      <c r="M57" s="4" t="str">
        <f t="shared" si="4"/>
        <v>Type2 Ac</v>
      </c>
      <c r="N57" s="4" t="str">
        <f t="shared" si="5"/>
        <v>Type2 Ac</v>
      </c>
      <c r="O57" s="4" t="str">
        <f t="shared" si="6"/>
        <v>Active</v>
      </c>
      <c r="P57" s="4" t="str">
        <f t="shared" si="7"/>
        <v>Active</v>
      </c>
      <c r="Q57" s="4" t="str">
        <f t="shared" si="8"/>
        <v>Kolkata</v>
      </c>
      <c r="R57" s="4" t="b">
        <f t="shared" si="9"/>
        <v>1</v>
      </c>
      <c r="S57" s="5" t="str">
        <f t="shared" si="10"/>
        <v>45910</v>
      </c>
      <c r="T57" s="4" t="str">
        <f t="shared" si="11"/>
        <v>Government</v>
      </c>
      <c r="U57" s="4" t="str">
        <f t="shared" si="12"/>
        <v>Slow</v>
      </c>
      <c r="V57" s="4">
        <f t="shared" si="13"/>
        <v>2025</v>
      </c>
      <c r="W57" s="4" t="str">
        <f t="shared" si="14"/>
        <v>Germany</v>
      </c>
    </row>
    <row r="58" spans="1:23" x14ac:dyDescent="0.25">
      <c r="A58" t="s">
        <v>130</v>
      </c>
      <c r="B58" t="s">
        <v>40</v>
      </c>
      <c r="C58" t="s">
        <v>36</v>
      </c>
      <c r="D58" t="s">
        <v>56</v>
      </c>
      <c r="E58" t="s">
        <v>31</v>
      </c>
      <c r="F58" s="1">
        <v>45562</v>
      </c>
      <c r="G58">
        <v>180.04</v>
      </c>
      <c r="H58">
        <v>1736.2</v>
      </c>
      <c r="I58" t="str">
        <f t="shared" si="0"/>
        <v>Mumbai</v>
      </c>
      <c r="J58" t="str">
        <f t="shared" si="1"/>
        <v>Mumbai</v>
      </c>
      <c r="K58" t="str">
        <f t="shared" si="2"/>
        <v>Zeon Charging</v>
      </c>
      <c r="L58" s="4" t="str">
        <f t="shared" si="3"/>
        <v>Zeon Charging</v>
      </c>
      <c r="M58" s="4" t="str">
        <f t="shared" si="4"/>
        <v>Ccs2</v>
      </c>
      <c r="N58" s="4" t="str">
        <f t="shared" si="5"/>
        <v>Ccs2</v>
      </c>
      <c r="O58" s="4" t="str">
        <f t="shared" si="6"/>
        <v>Maintenance</v>
      </c>
      <c r="P58" s="4" t="str">
        <f t="shared" si="7"/>
        <v>Maintenance</v>
      </c>
      <c r="Q58" s="4" t="str">
        <f t="shared" si="8"/>
        <v>Mumbai</v>
      </c>
      <c r="R58" s="4" t="b">
        <f t="shared" si="9"/>
        <v>1</v>
      </c>
      <c r="S58" s="5" t="str">
        <f t="shared" si="10"/>
        <v>45562</v>
      </c>
      <c r="T58" s="4" t="str">
        <f t="shared" si="11"/>
        <v>Private</v>
      </c>
      <c r="U58" s="4" t="str">
        <f t="shared" si="12"/>
        <v>Ultra Fast</v>
      </c>
      <c r="V58" s="4">
        <f t="shared" si="13"/>
        <v>2024</v>
      </c>
      <c r="W58" s="4" t="str">
        <f t="shared" si="14"/>
        <v>Europe</v>
      </c>
    </row>
    <row r="59" spans="1:23" x14ac:dyDescent="0.25">
      <c r="A59" t="s">
        <v>132</v>
      </c>
      <c r="B59" t="s">
        <v>70</v>
      </c>
      <c r="C59" t="s">
        <v>36</v>
      </c>
      <c r="D59" t="s">
        <v>17</v>
      </c>
      <c r="E59" t="s">
        <v>24</v>
      </c>
      <c r="F59" s="1">
        <v>46118</v>
      </c>
      <c r="G59">
        <v>10585.94</v>
      </c>
      <c r="H59">
        <v>135402.60999999999</v>
      </c>
      <c r="I59" t="str">
        <f t="shared" si="0"/>
        <v>Delhi</v>
      </c>
      <c r="J59" t="str">
        <f t="shared" si="1"/>
        <v>Delhi</v>
      </c>
      <c r="K59" t="str">
        <f t="shared" si="2"/>
        <v>Zeon Charging</v>
      </c>
      <c r="L59" s="4" t="str">
        <f t="shared" si="3"/>
        <v>Zeon Charging</v>
      </c>
      <c r="M59" s="4" t="str">
        <f t="shared" si="4"/>
        <v>Type2 Ac</v>
      </c>
      <c r="N59" s="4" t="str">
        <f t="shared" si="5"/>
        <v>Type2 Ac</v>
      </c>
      <c r="O59" s="4" t="str">
        <f t="shared" si="6"/>
        <v>Active</v>
      </c>
      <c r="P59" s="4" t="str">
        <f t="shared" si="7"/>
        <v>Active</v>
      </c>
      <c r="Q59" s="4" t="str">
        <f t="shared" si="8"/>
        <v>Delhi</v>
      </c>
      <c r="R59" s="4" t="b">
        <f t="shared" si="9"/>
        <v>1</v>
      </c>
      <c r="S59" s="5" t="str">
        <f t="shared" si="10"/>
        <v>46118</v>
      </c>
      <c r="T59" s="4" t="str">
        <f t="shared" si="11"/>
        <v>Private</v>
      </c>
      <c r="U59" s="4" t="str">
        <f t="shared" si="12"/>
        <v>Slow</v>
      </c>
      <c r="V59" s="4">
        <f t="shared" si="13"/>
        <v>2026</v>
      </c>
      <c r="W59" s="4" t="str">
        <f t="shared" si="14"/>
        <v>Germany</v>
      </c>
    </row>
    <row r="60" spans="1:23" x14ac:dyDescent="0.25">
      <c r="A60" t="s">
        <v>133</v>
      </c>
      <c r="B60" t="s">
        <v>40</v>
      </c>
      <c r="C60" t="s">
        <v>41</v>
      </c>
      <c r="D60" t="s">
        <v>26</v>
      </c>
      <c r="E60" t="s">
        <v>31</v>
      </c>
      <c r="F60" s="1">
        <v>45336</v>
      </c>
      <c r="G60">
        <v>857.52</v>
      </c>
      <c r="H60">
        <v>8585.19</v>
      </c>
      <c r="I60" t="str">
        <f t="shared" si="0"/>
        <v>Mumbai</v>
      </c>
      <c r="J60" t="str">
        <f t="shared" si="1"/>
        <v>Mumbai</v>
      </c>
      <c r="K60" t="str">
        <f t="shared" si="2"/>
        <v>Ather Grid</v>
      </c>
      <c r="L60" s="4" t="str">
        <f t="shared" si="3"/>
        <v>Ather Grid</v>
      </c>
      <c r="M60" s="4" t="str">
        <f t="shared" si="4"/>
        <v>Chademo</v>
      </c>
      <c r="N60" s="4" t="str">
        <f t="shared" si="5"/>
        <v>Chademo</v>
      </c>
      <c r="O60" s="4" t="str">
        <f t="shared" si="6"/>
        <v>Maintenance</v>
      </c>
      <c r="P60" s="4" t="str">
        <f t="shared" si="7"/>
        <v>Maintenance</v>
      </c>
      <c r="Q60" s="4" t="str">
        <f t="shared" si="8"/>
        <v>Mumbai</v>
      </c>
      <c r="R60" s="4" t="b">
        <f t="shared" si="9"/>
        <v>1</v>
      </c>
      <c r="S60" s="5" t="str">
        <f t="shared" si="10"/>
        <v>45336</v>
      </c>
      <c r="T60" s="4" t="str">
        <f t="shared" si="11"/>
        <v>Private</v>
      </c>
      <c r="U60" s="4" t="str">
        <f t="shared" si="12"/>
        <v>fast</v>
      </c>
      <c r="V60" s="4">
        <f t="shared" si="13"/>
        <v>2024</v>
      </c>
      <c r="W60" s="4" t="str">
        <f t="shared" si="14"/>
        <v>Japan</v>
      </c>
    </row>
    <row r="61" spans="1:23" x14ac:dyDescent="0.25">
      <c r="A61" t="s">
        <v>135</v>
      </c>
      <c r="B61" t="s">
        <v>70</v>
      </c>
      <c r="C61" t="s">
        <v>14</v>
      </c>
      <c r="D61" t="s">
        <v>26</v>
      </c>
      <c r="E61" t="s">
        <v>54</v>
      </c>
      <c r="F61" s="1">
        <v>46039</v>
      </c>
      <c r="G61">
        <v>290.29000000000002</v>
      </c>
      <c r="H61">
        <v>2784.58</v>
      </c>
      <c r="I61" t="str">
        <f t="shared" si="0"/>
        <v>Delhi</v>
      </c>
      <c r="J61" t="str">
        <f t="shared" si="1"/>
        <v>Delhi</v>
      </c>
      <c r="K61" t="str">
        <f t="shared" si="2"/>
        <v>Charge Point</v>
      </c>
      <c r="L61" s="4" t="str">
        <f t="shared" si="3"/>
        <v>Charge Point</v>
      </c>
      <c r="M61" s="4" t="str">
        <f t="shared" si="4"/>
        <v>Chademo</v>
      </c>
      <c r="N61" s="4" t="str">
        <f t="shared" si="5"/>
        <v>Chademo</v>
      </c>
      <c r="O61" s="4" t="str">
        <f t="shared" si="6"/>
        <v>Inactive</v>
      </c>
      <c r="P61" s="4" t="str">
        <f t="shared" si="7"/>
        <v>Inactive</v>
      </c>
      <c r="Q61" s="4" t="str">
        <f t="shared" si="8"/>
        <v>Delhi</v>
      </c>
      <c r="R61" s="4" t="b">
        <f t="shared" si="9"/>
        <v>1</v>
      </c>
      <c r="S61" s="5" t="str">
        <f t="shared" si="10"/>
        <v>46039</v>
      </c>
      <c r="T61" s="4" t="str">
        <f t="shared" si="11"/>
        <v>Private</v>
      </c>
      <c r="U61" s="4" t="str">
        <f t="shared" si="12"/>
        <v>fast</v>
      </c>
      <c r="V61" s="4">
        <f t="shared" si="13"/>
        <v>2026</v>
      </c>
      <c r="W61" s="4" t="str">
        <f t="shared" si="14"/>
        <v>Japan</v>
      </c>
    </row>
    <row r="62" spans="1:23" x14ac:dyDescent="0.25">
      <c r="A62" t="s">
        <v>137</v>
      </c>
      <c r="B62" t="s">
        <v>13</v>
      </c>
      <c r="C62" t="s">
        <v>14</v>
      </c>
      <c r="D62" t="s">
        <v>48</v>
      </c>
      <c r="E62" t="s">
        <v>24</v>
      </c>
      <c r="F62" s="1">
        <v>45762</v>
      </c>
      <c r="G62">
        <v>11810.83</v>
      </c>
      <c r="H62">
        <v>101958.82</v>
      </c>
      <c r="I62" t="str">
        <f t="shared" si="0"/>
        <v>Bengaluru</v>
      </c>
      <c r="J62" t="str">
        <f t="shared" si="1"/>
        <v>Bengaluru</v>
      </c>
      <c r="K62" t="str">
        <f t="shared" si="2"/>
        <v>Charge Point</v>
      </c>
      <c r="L62" s="4" t="str">
        <f t="shared" si="3"/>
        <v>Charge Point</v>
      </c>
      <c r="M62" s="4" t="str">
        <f t="shared" si="4"/>
        <v>Bharat Dc-001</v>
      </c>
      <c r="N62" s="4" t="str">
        <f t="shared" si="5"/>
        <v>Bharat Dc-001</v>
      </c>
      <c r="O62" s="4" t="str">
        <f t="shared" si="6"/>
        <v>Active</v>
      </c>
      <c r="P62" s="4" t="str">
        <f t="shared" si="7"/>
        <v>Active</v>
      </c>
      <c r="Q62" s="4" t="str">
        <f t="shared" si="8"/>
        <v>Bengaluru</v>
      </c>
      <c r="R62" s="4" t="b">
        <f t="shared" si="9"/>
        <v>1</v>
      </c>
      <c r="S62" s="5" t="str">
        <f t="shared" si="10"/>
        <v>45762</v>
      </c>
      <c r="T62" s="4" t="str">
        <f t="shared" si="11"/>
        <v>Private</v>
      </c>
      <c r="U62" s="4" t="str">
        <f t="shared" si="12"/>
        <v>fast</v>
      </c>
      <c r="V62" s="4">
        <f t="shared" si="13"/>
        <v>2025</v>
      </c>
      <c r="W62" s="4" t="str">
        <f t="shared" si="14"/>
        <v>India</v>
      </c>
    </row>
    <row r="63" spans="1:23" x14ac:dyDescent="0.25">
      <c r="A63" t="s">
        <v>139</v>
      </c>
      <c r="B63" t="s">
        <v>70</v>
      </c>
      <c r="C63" t="s">
        <v>63</v>
      </c>
      <c r="D63" t="s">
        <v>56</v>
      </c>
      <c r="E63" t="s">
        <v>24</v>
      </c>
      <c r="F63" s="1">
        <v>45841</v>
      </c>
      <c r="G63">
        <v>939.96</v>
      </c>
      <c r="H63">
        <v>13956.87</v>
      </c>
      <c r="I63" t="str">
        <f t="shared" si="0"/>
        <v>Delhi</v>
      </c>
      <c r="J63" t="str">
        <f t="shared" si="1"/>
        <v>Delhi</v>
      </c>
      <c r="K63" t="str">
        <f t="shared" si="2"/>
        <v>Tata Power</v>
      </c>
      <c r="L63" s="4" t="str">
        <f t="shared" si="3"/>
        <v>Tata Power</v>
      </c>
      <c r="M63" s="4" t="str">
        <f t="shared" si="4"/>
        <v>Ccs2</v>
      </c>
      <c r="N63" s="4" t="str">
        <f t="shared" si="5"/>
        <v>Ccs2</v>
      </c>
      <c r="O63" s="4" t="str">
        <f t="shared" si="6"/>
        <v>Active</v>
      </c>
      <c r="P63" s="4" t="str">
        <f t="shared" si="7"/>
        <v>Active</v>
      </c>
      <c r="Q63" s="4" t="str">
        <f t="shared" si="8"/>
        <v>Delhi</v>
      </c>
      <c r="R63" s="4" t="b">
        <f t="shared" si="9"/>
        <v>1</v>
      </c>
      <c r="S63" s="5" t="str">
        <f t="shared" si="10"/>
        <v>45841</v>
      </c>
      <c r="T63" s="4" t="str">
        <f t="shared" si="11"/>
        <v>Government</v>
      </c>
      <c r="U63" s="4" t="str">
        <f t="shared" si="12"/>
        <v>Ultra Fast</v>
      </c>
      <c r="V63" s="4">
        <f t="shared" si="13"/>
        <v>2025</v>
      </c>
      <c r="W63" s="4" t="str">
        <f t="shared" si="14"/>
        <v>Europe</v>
      </c>
    </row>
    <row r="64" spans="1:23" x14ac:dyDescent="0.25">
      <c r="A64" t="s">
        <v>140</v>
      </c>
      <c r="B64" t="s">
        <v>66</v>
      </c>
      <c r="C64" t="s">
        <v>41</v>
      </c>
      <c r="D64" t="s">
        <v>26</v>
      </c>
      <c r="E64" t="s">
        <v>31</v>
      </c>
      <c r="F64" s="1">
        <v>45419</v>
      </c>
      <c r="G64">
        <v>1830.06</v>
      </c>
      <c r="H64">
        <v>24381.14</v>
      </c>
      <c r="I64" t="str">
        <f t="shared" si="0"/>
        <v>Pune</v>
      </c>
      <c r="J64" t="str">
        <f t="shared" si="1"/>
        <v>Pune</v>
      </c>
      <c r="K64" t="str">
        <f t="shared" si="2"/>
        <v>Ather Grid</v>
      </c>
      <c r="L64" s="4" t="str">
        <f t="shared" si="3"/>
        <v>Ather Grid</v>
      </c>
      <c r="M64" s="4" t="str">
        <f t="shared" si="4"/>
        <v>Chademo</v>
      </c>
      <c r="N64" s="4" t="str">
        <f t="shared" si="5"/>
        <v>Chademo</v>
      </c>
      <c r="O64" s="4" t="str">
        <f t="shared" si="6"/>
        <v>Maintenance</v>
      </c>
      <c r="P64" s="4" t="str">
        <f t="shared" si="7"/>
        <v>Maintenance</v>
      </c>
      <c r="Q64" s="4" t="str">
        <f t="shared" si="8"/>
        <v>Pune</v>
      </c>
      <c r="R64" s="4" t="b">
        <f t="shared" si="9"/>
        <v>1</v>
      </c>
      <c r="S64" s="5" t="str">
        <f t="shared" si="10"/>
        <v>45419</v>
      </c>
      <c r="T64" s="4" t="str">
        <f t="shared" si="11"/>
        <v>Private</v>
      </c>
      <c r="U64" s="4" t="str">
        <f t="shared" si="12"/>
        <v>fast</v>
      </c>
      <c r="V64" s="4">
        <f t="shared" si="13"/>
        <v>2024</v>
      </c>
      <c r="W64" s="4" t="str">
        <f t="shared" si="14"/>
        <v>Japan</v>
      </c>
    </row>
    <row r="65" spans="1:23" x14ac:dyDescent="0.25">
      <c r="A65" t="s">
        <v>141</v>
      </c>
      <c r="B65" t="s">
        <v>70</v>
      </c>
      <c r="C65" t="s">
        <v>63</v>
      </c>
      <c r="D65" t="s">
        <v>48</v>
      </c>
      <c r="E65" t="s">
        <v>15</v>
      </c>
      <c r="F65" s="1">
        <v>45679</v>
      </c>
      <c r="G65">
        <v>69.14</v>
      </c>
      <c r="H65">
        <v>893.79</v>
      </c>
      <c r="I65" t="str">
        <f t="shared" si="0"/>
        <v>Delhi</v>
      </c>
      <c r="J65" t="str">
        <f t="shared" si="1"/>
        <v>Delhi</v>
      </c>
      <c r="K65" t="str">
        <f t="shared" si="2"/>
        <v>Tata Power</v>
      </c>
      <c r="L65" s="4" t="str">
        <f t="shared" si="3"/>
        <v>Tata Power</v>
      </c>
      <c r="M65" s="4" t="str">
        <f t="shared" si="4"/>
        <v>Bharat Dc-001</v>
      </c>
      <c r="N65" s="4" t="str">
        <f t="shared" si="5"/>
        <v>Bharat Dc-001</v>
      </c>
      <c r="O65" s="4" t="str">
        <f t="shared" si="6"/>
        <v>Decommissioned</v>
      </c>
      <c r="P65" s="4" t="str">
        <f t="shared" si="7"/>
        <v>Decommissioned</v>
      </c>
      <c r="Q65" s="4" t="str">
        <f t="shared" si="8"/>
        <v>Delhi</v>
      </c>
      <c r="R65" s="4" t="b">
        <f t="shared" si="9"/>
        <v>1</v>
      </c>
      <c r="S65" s="5" t="str">
        <f t="shared" si="10"/>
        <v>45679</v>
      </c>
      <c r="T65" s="4" t="str">
        <f t="shared" si="11"/>
        <v>Government</v>
      </c>
      <c r="U65" s="4" t="str">
        <f t="shared" si="12"/>
        <v>fast</v>
      </c>
      <c r="V65" s="4">
        <f t="shared" si="13"/>
        <v>2025</v>
      </c>
      <c r="W65" s="4" t="str">
        <f t="shared" si="14"/>
        <v>India</v>
      </c>
    </row>
    <row r="66" spans="1:23" x14ac:dyDescent="0.25">
      <c r="A66" t="s">
        <v>143</v>
      </c>
      <c r="B66" t="s">
        <v>70</v>
      </c>
      <c r="C66" t="s">
        <v>63</v>
      </c>
      <c r="D66" t="s">
        <v>56</v>
      </c>
      <c r="E66" t="s">
        <v>24</v>
      </c>
      <c r="F66" s="1">
        <v>45372</v>
      </c>
      <c r="G66">
        <v>9543.92</v>
      </c>
      <c r="H66">
        <v>83065.990000000005</v>
      </c>
      <c r="I66" t="str">
        <f t="shared" ref="I66:I129" si="15">PROPER(B66)</f>
        <v>Delhi</v>
      </c>
      <c r="J66" t="str">
        <f t="shared" ref="J66:J129" si="16">TRIM(I66)</f>
        <v>Delhi</v>
      </c>
      <c r="K66" t="str">
        <f t="shared" ref="K66:K129" si="17">PROPER(C66)</f>
        <v>Tata Power</v>
      </c>
      <c r="L66" s="4" t="str">
        <f t="shared" ref="L66:L129" si="18">TRIM(K66)</f>
        <v>Tata Power</v>
      </c>
      <c r="M66" s="4" t="str">
        <f t="shared" ref="M66:M129" si="19">PROPER(D66)</f>
        <v>Ccs2</v>
      </c>
      <c r="N66" s="4" t="str">
        <f t="shared" ref="N66:N129" si="20">TRIM(M66)</f>
        <v>Ccs2</v>
      </c>
      <c r="O66" s="4" t="str">
        <f t="shared" ref="O66:O129" si="21">PROPER(E66)</f>
        <v>Active</v>
      </c>
      <c r="P66" s="4" t="str">
        <f t="shared" ref="P66:P129" si="22">TRIM(O66)</f>
        <v>Active</v>
      </c>
      <c r="Q66" s="4" t="str">
        <f t="shared" ref="Q66:Q129" si="23">IF(TRIM(I65)=" ","Mumbai",I66)</f>
        <v>Delhi</v>
      </c>
      <c r="R66" s="4" t="b">
        <f t="shared" ref="R66:R129" si="24">ISNUMBER(F66)</f>
        <v>1</v>
      </c>
      <c r="S66" s="5" t="str">
        <f t="shared" ref="S66:S129" si="25">TRIM(F66)</f>
        <v>45372</v>
      </c>
      <c r="T66" s="4" t="str">
        <f t="shared" ref="T66:T129" si="26">IF(L66="Tata Power","Government",IF(L66="Bpcl","Government","Private"))</f>
        <v>Government</v>
      </c>
      <c r="U66" s="4" t="str">
        <f t="shared" ref="U66:U129" si="27">IF(N66="Type2 Ac","Slow",IF(N66="Ccs2","Ultra Fast","fast"))</f>
        <v>Ultra Fast</v>
      </c>
      <c r="V66" s="4">
        <f t="shared" ref="V66:V129" si="28">YEAR(F66)</f>
        <v>2024</v>
      </c>
      <c r="W66" s="4" t="str">
        <f t="shared" ref="W66:W129" si="29">IF(N66="Type2 Ac","Germany",IF(N66="Chademo","Japan",IF(N66="Ccs2","Europe","India")))</f>
        <v>Europe</v>
      </c>
    </row>
    <row r="67" spans="1:23" x14ac:dyDescent="0.25">
      <c r="A67" t="s">
        <v>145</v>
      </c>
      <c r="B67" t="s">
        <v>35</v>
      </c>
      <c r="C67" t="s">
        <v>63</v>
      </c>
      <c r="D67" t="s">
        <v>26</v>
      </c>
      <c r="E67" t="s">
        <v>54</v>
      </c>
      <c r="F67" s="1">
        <v>45857</v>
      </c>
      <c r="G67">
        <v>218.2</v>
      </c>
      <c r="H67">
        <v>1999.71</v>
      </c>
      <c r="I67" t="str">
        <f t="shared" si="15"/>
        <v>Chennai</v>
      </c>
      <c r="J67" t="str">
        <f t="shared" si="16"/>
        <v>Chennai</v>
      </c>
      <c r="K67" t="str">
        <f t="shared" si="17"/>
        <v>Tata Power</v>
      </c>
      <c r="L67" s="4" t="str">
        <f t="shared" si="18"/>
        <v>Tata Power</v>
      </c>
      <c r="M67" s="4" t="str">
        <f t="shared" si="19"/>
        <v>Chademo</v>
      </c>
      <c r="N67" s="4" t="str">
        <f t="shared" si="20"/>
        <v>Chademo</v>
      </c>
      <c r="O67" s="4" t="str">
        <f t="shared" si="21"/>
        <v>Inactive</v>
      </c>
      <c r="P67" s="4" t="str">
        <f t="shared" si="22"/>
        <v>Inactive</v>
      </c>
      <c r="Q67" s="4" t="str">
        <f t="shared" si="23"/>
        <v>Chennai</v>
      </c>
      <c r="R67" s="4" t="b">
        <f t="shared" si="24"/>
        <v>1</v>
      </c>
      <c r="S67" s="5" t="str">
        <f t="shared" si="25"/>
        <v>45857</v>
      </c>
      <c r="T67" s="4" t="str">
        <f t="shared" si="26"/>
        <v>Government</v>
      </c>
      <c r="U67" s="4" t="str">
        <f t="shared" si="27"/>
        <v>fast</v>
      </c>
      <c r="V67" s="4">
        <f t="shared" si="28"/>
        <v>2025</v>
      </c>
      <c r="W67" s="4" t="str">
        <f t="shared" si="29"/>
        <v>Japan</v>
      </c>
    </row>
    <row r="68" spans="1:23" x14ac:dyDescent="0.25">
      <c r="A68" t="s">
        <v>147</v>
      </c>
      <c r="B68" t="s">
        <v>40</v>
      </c>
      <c r="C68" t="s">
        <v>764</v>
      </c>
      <c r="D68" t="s">
        <v>26</v>
      </c>
      <c r="E68" t="s">
        <v>31</v>
      </c>
      <c r="F68" s="1">
        <v>45592</v>
      </c>
      <c r="H68">
        <v>29827.19</v>
      </c>
      <c r="I68" t="str">
        <f t="shared" si="15"/>
        <v>Mumbai</v>
      </c>
      <c r="J68" t="str">
        <f t="shared" si="16"/>
        <v>Mumbai</v>
      </c>
      <c r="K68" t="str">
        <f t="shared" si="17"/>
        <v>Bpcl</v>
      </c>
      <c r="L68" s="4" t="str">
        <f t="shared" si="18"/>
        <v>Bpcl</v>
      </c>
      <c r="M68" s="4" t="str">
        <f t="shared" si="19"/>
        <v>Chademo</v>
      </c>
      <c r="N68" s="4" t="str">
        <f t="shared" si="20"/>
        <v>Chademo</v>
      </c>
      <c r="O68" s="4" t="str">
        <f t="shared" si="21"/>
        <v>Maintenance</v>
      </c>
      <c r="P68" s="4" t="str">
        <f t="shared" si="22"/>
        <v>Maintenance</v>
      </c>
      <c r="Q68" s="4" t="str">
        <f t="shared" si="23"/>
        <v>Mumbai</v>
      </c>
      <c r="R68" s="4" t="b">
        <f t="shared" si="24"/>
        <v>1</v>
      </c>
      <c r="S68" s="5" t="str">
        <f t="shared" si="25"/>
        <v>45592</v>
      </c>
      <c r="T68" s="4" t="str">
        <f t="shared" si="26"/>
        <v>Government</v>
      </c>
      <c r="U68" s="4" t="str">
        <f t="shared" si="27"/>
        <v>fast</v>
      </c>
      <c r="V68" s="4">
        <f t="shared" si="28"/>
        <v>2024</v>
      </c>
      <c r="W68" s="4" t="str">
        <f t="shared" si="29"/>
        <v>Japan</v>
      </c>
    </row>
    <row r="69" spans="1:23" x14ac:dyDescent="0.25">
      <c r="A69" t="s">
        <v>149</v>
      </c>
      <c r="B69" t="s">
        <v>66</v>
      </c>
      <c r="C69" t="s">
        <v>764</v>
      </c>
      <c r="D69" t="s">
        <v>56</v>
      </c>
      <c r="E69" t="s">
        <v>31</v>
      </c>
      <c r="F69" s="1">
        <v>46141</v>
      </c>
      <c r="G69">
        <v>435.37</v>
      </c>
      <c r="H69">
        <v>3571.18</v>
      </c>
      <c r="I69" t="str">
        <f t="shared" si="15"/>
        <v>Pune</v>
      </c>
      <c r="J69" t="str">
        <f t="shared" si="16"/>
        <v>Pune</v>
      </c>
      <c r="K69" t="str">
        <f t="shared" si="17"/>
        <v>Bpcl</v>
      </c>
      <c r="L69" s="4" t="str">
        <f t="shared" si="18"/>
        <v>Bpcl</v>
      </c>
      <c r="M69" s="4" t="str">
        <f t="shared" si="19"/>
        <v>Ccs2</v>
      </c>
      <c r="N69" s="4" t="str">
        <f t="shared" si="20"/>
        <v>Ccs2</v>
      </c>
      <c r="O69" s="4" t="str">
        <f t="shared" si="21"/>
        <v>Maintenance</v>
      </c>
      <c r="P69" s="4" t="str">
        <f t="shared" si="22"/>
        <v>Maintenance</v>
      </c>
      <c r="Q69" s="4" t="str">
        <f t="shared" si="23"/>
        <v>Pune</v>
      </c>
      <c r="R69" s="4" t="b">
        <f t="shared" si="24"/>
        <v>1</v>
      </c>
      <c r="S69" s="5" t="str">
        <f t="shared" si="25"/>
        <v>46141</v>
      </c>
      <c r="T69" s="4" t="str">
        <f t="shared" si="26"/>
        <v>Government</v>
      </c>
      <c r="U69" s="4" t="str">
        <f t="shared" si="27"/>
        <v>Ultra Fast</v>
      </c>
      <c r="V69" s="4">
        <f t="shared" si="28"/>
        <v>2026</v>
      </c>
      <c r="W69" s="4" t="str">
        <f t="shared" si="29"/>
        <v>Europe</v>
      </c>
    </row>
    <row r="70" spans="1:23" x14ac:dyDescent="0.25">
      <c r="A70" t="s">
        <v>151</v>
      </c>
      <c r="B70" t="s">
        <v>40</v>
      </c>
      <c r="C70" t="s">
        <v>63</v>
      </c>
      <c r="D70" t="s">
        <v>56</v>
      </c>
      <c r="E70" t="s">
        <v>15</v>
      </c>
      <c r="F70" s="1">
        <v>45935</v>
      </c>
      <c r="G70">
        <v>179.9</v>
      </c>
      <c r="H70">
        <v>1847.69</v>
      </c>
      <c r="I70" t="str">
        <f t="shared" si="15"/>
        <v>Mumbai</v>
      </c>
      <c r="J70" t="str">
        <f t="shared" si="16"/>
        <v>Mumbai</v>
      </c>
      <c r="K70" t="str">
        <f t="shared" si="17"/>
        <v>Tata Power</v>
      </c>
      <c r="L70" s="4" t="str">
        <f t="shared" si="18"/>
        <v>Tata Power</v>
      </c>
      <c r="M70" s="4" t="str">
        <f t="shared" si="19"/>
        <v>Ccs2</v>
      </c>
      <c r="N70" s="4" t="str">
        <f t="shared" si="20"/>
        <v>Ccs2</v>
      </c>
      <c r="O70" s="4" t="str">
        <f t="shared" si="21"/>
        <v>Decommissioned</v>
      </c>
      <c r="P70" s="4" t="str">
        <f t="shared" si="22"/>
        <v>Decommissioned</v>
      </c>
      <c r="Q70" s="4" t="str">
        <f t="shared" si="23"/>
        <v>Mumbai</v>
      </c>
      <c r="R70" s="4" t="b">
        <f t="shared" si="24"/>
        <v>1</v>
      </c>
      <c r="S70" s="5" t="str">
        <f t="shared" si="25"/>
        <v>45935</v>
      </c>
      <c r="T70" s="4" t="str">
        <f t="shared" si="26"/>
        <v>Government</v>
      </c>
      <c r="U70" s="4" t="str">
        <f t="shared" si="27"/>
        <v>Ultra Fast</v>
      </c>
      <c r="V70" s="4">
        <f t="shared" si="28"/>
        <v>2025</v>
      </c>
      <c r="W70" s="4" t="str">
        <f t="shared" si="29"/>
        <v>Europe</v>
      </c>
    </row>
    <row r="71" spans="1:23" x14ac:dyDescent="0.25">
      <c r="A71" t="s">
        <v>152</v>
      </c>
      <c r="B71" t="s">
        <v>23</v>
      </c>
      <c r="C71" t="s">
        <v>41</v>
      </c>
      <c r="D71" t="s">
        <v>56</v>
      </c>
      <c r="E71" t="s">
        <v>54</v>
      </c>
      <c r="F71" s="1">
        <v>45925</v>
      </c>
      <c r="G71">
        <v>95.04</v>
      </c>
      <c r="H71">
        <v>797.66</v>
      </c>
      <c r="I71" t="str">
        <f t="shared" si="15"/>
        <v>Ahemdabad</v>
      </c>
      <c r="J71" t="str">
        <f t="shared" si="16"/>
        <v>Ahemdabad</v>
      </c>
      <c r="K71" t="str">
        <f t="shared" si="17"/>
        <v>Ather Grid</v>
      </c>
      <c r="L71" s="4" t="str">
        <f t="shared" si="18"/>
        <v>Ather Grid</v>
      </c>
      <c r="M71" s="4" t="str">
        <f t="shared" si="19"/>
        <v>Ccs2</v>
      </c>
      <c r="N71" s="4" t="str">
        <f t="shared" si="20"/>
        <v>Ccs2</v>
      </c>
      <c r="O71" s="4" t="str">
        <f t="shared" si="21"/>
        <v>Inactive</v>
      </c>
      <c r="P71" s="4" t="str">
        <f t="shared" si="22"/>
        <v>Inactive</v>
      </c>
      <c r="Q71" s="4" t="str">
        <f t="shared" si="23"/>
        <v>Ahemdabad</v>
      </c>
      <c r="R71" s="4" t="b">
        <f t="shared" si="24"/>
        <v>1</v>
      </c>
      <c r="S71" s="5" t="str">
        <f t="shared" si="25"/>
        <v>45925</v>
      </c>
      <c r="T71" s="4" t="str">
        <f t="shared" si="26"/>
        <v>Private</v>
      </c>
      <c r="U71" s="4" t="str">
        <f t="shared" si="27"/>
        <v>Ultra Fast</v>
      </c>
      <c r="V71" s="4">
        <f t="shared" si="28"/>
        <v>2025</v>
      </c>
      <c r="W71" s="4" t="str">
        <f t="shared" si="29"/>
        <v>Europe</v>
      </c>
    </row>
    <row r="72" spans="1:23" x14ac:dyDescent="0.25">
      <c r="A72" t="s">
        <v>154</v>
      </c>
      <c r="B72" t="s">
        <v>66</v>
      </c>
      <c r="C72" t="s">
        <v>14</v>
      </c>
      <c r="D72" t="s">
        <v>26</v>
      </c>
      <c r="E72" t="s">
        <v>24</v>
      </c>
      <c r="F72" s="1">
        <v>45662</v>
      </c>
      <c r="G72">
        <v>1010.45</v>
      </c>
      <c r="H72">
        <v>10619.06</v>
      </c>
      <c r="I72" t="str">
        <f t="shared" si="15"/>
        <v>Pune</v>
      </c>
      <c r="J72" t="str">
        <f t="shared" si="16"/>
        <v>Pune</v>
      </c>
      <c r="K72" t="str">
        <f t="shared" si="17"/>
        <v>Charge Point</v>
      </c>
      <c r="L72" s="4" t="str">
        <f t="shared" si="18"/>
        <v>Charge Point</v>
      </c>
      <c r="M72" s="4" t="str">
        <f t="shared" si="19"/>
        <v>Chademo</v>
      </c>
      <c r="N72" s="4" t="str">
        <f t="shared" si="20"/>
        <v>Chademo</v>
      </c>
      <c r="O72" s="4" t="str">
        <f t="shared" si="21"/>
        <v>Active</v>
      </c>
      <c r="P72" s="4" t="str">
        <f t="shared" si="22"/>
        <v>Active</v>
      </c>
      <c r="Q72" s="4" t="str">
        <f t="shared" si="23"/>
        <v>Pune</v>
      </c>
      <c r="R72" s="4" t="b">
        <f t="shared" si="24"/>
        <v>1</v>
      </c>
      <c r="S72" s="5" t="str">
        <f t="shared" si="25"/>
        <v>45662</v>
      </c>
      <c r="T72" s="4" t="str">
        <f t="shared" si="26"/>
        <v>Private</v>
      </c>
      <c r="U72" s="4" t="str">
        <f t="shared" si="27"/>
        <v>fast</v>
      </c>
      <c r="V72" s="4">
        <f t="shared" si="28"/>
        <v>2025</v>
      </c>
      <c r="W72" s="4" t="str">
        <f t="shared" si="29"/>
        <v>Japan</v>
      </c>
    </row>
    <row r="73" spans="1:23" x14ac:dyDescent="0.25">
      <c r="A73" t="s">
        <v>155</v>
      </c>
      <c r="B73" t="s">
        <v>70</v>
      </c>
      <c r="C73" t="s">
        <v>41</v>
      </c>
      <c r="D73" t="s">
        <v>26</v>
      </c>
      <c r="E73" t="s">
        <v>24</v>
      </c>
      <c r="F73" s="1">
        <v>45883</v>
      </c>
      <c r="G73">
        <v>5514.66</v>
      </c>
      <c r="H73">
        <v>60742.92</v>
      </c>
      <c r="I73" t="str">
        <f t="shared" si="15"/>
        <v>Delhi</v>
      </c>
      <c r="J73" t="str">
        <f t="shared" si="16"/>
        <v>Delhi</v>
      </c>
      <c r="K73" t="str">
        <f t="shared" si="17"/>
        <v>Ather Grid</v>
      </c>
      <c r="L73" s="4" t="str">
        <f t="shared" si="18"/>
        <v>Ather Grid</v>
      </c>
      <c r="M73" s="4" t="str">
        <f t="shared" si="19"/>
        <v>Chademo</v>
      </c>
      <c r="N73" s="4" t="str">
        <f t="shared" si="20"/>
        <v>Chademo</v>
      </c>
      <c r="O73" s="4" t="str">
        <f t="shared" si="21"/>
        <v>Active</v>
      </c>
      <c r="P73" s="4" t="str">
        <f t="shared" si="22"/>
        <v>Active</v>
      </c>
      <c r="Q73" s="4" t="str">
        <f t="shared" si="23"/>
        <v>Delhi</v>
      </c>
      <c r="R73" s="4" t="b">
        <f t="shared" si="24"/>
        <v>1</v>
      </c>
      <c r="S73" s="5" t="str">
        <f t="shared" si="25"/>
        <v>45883</v>
      </c>
      <c r="T73" s="4" t="str">
        <f t="shared" si="26"/>
        <v>Private</v>
      </c>
      <c r="U73" s="4" t="str">
        <f t="shared" si="27"/>
        <v>fast</v>
      </c>
      <c r="V73" s="4">
        <f t="shared" si="28"/>
        <v>2025</v>
      </c>
      <c r="W73" s="4" t="str">
        <f t="shared" si="29"/>
        <v>Japan</v>
      </c>
    </row>
    <row r="74" spans="1:23" x14ac:dyDescent="0.25">
      <c r="A74" t="s">
        <v>157</v>
      </c>
      <c r="B74" t="s">
        <v>40</v>
      </c>
      <c r="C74" t="s">
        <v>36</v>
      </c>
      <c r="D74" t="s">
        <v>48</v>
      </c>
      <c r="E74" t="s">
        <v>24</v>
      </c>
      <c r="F74" s="1">
        <v>45488</v>
      </c>
      <c r="G74">
        <v>6479.08</v>
      </c>
      <c r="H74">
        <v>62907.86</v>
      </c>
      <c r="I74" t="str">
        <f t="shared" si="15"/>
        <v>Mumbai</v>
      </c>
      <c r="J74" t="str">
        <f t="shared" si="16"/>
        <v>Mumbai</v>
      </c>
      <c r="K74" t="str">
        <f t="shared" si="17"/>
        <v>Zeon Charging</v>
      </c>
      <c r="L74" s="4" t="str">
        <f t="shared" si="18"/>
        <v>Zeon Charging</v>
      </c>
      <c r="M74" s="4" t="str">
        <f t="shared" si="19"/>
        <v>Bharat Dc-001</v>
      </c>
      <c r="N74" s="4" t="str">
        <f t="shared" si="20"/>
        <v>Bharat Dc-001</v>
      </c>
      <c r="O74" s="4" t="str">
        <f t="shared" si="21"/>
        <v>Active</v>
      </c>
      <c r="P74" s="4" t="str">
        <f t="shared" si="22"/>
        <v>Active</v>
      </c>
      <c r="Q74" s="4" t="str">
        <f t="shared" si="23"/>
        <v>Mumbai</v>
      </c>
      <c r="R74" s="4" t="b">
        <f t="shared" si="24"/>
        <v>1</v>
      </c>
      <c r="S74" s="5" t="str">
        <f t="shared" si="25"/>
        <v>45488</v>
      </c>
      <c r="T74" s="4" t="str">
        <f t="shared" si="26"/>
        <v>Private</v>
      </c>
      <c r="U74" s="4" t="str">
        <f t="shared" si="27"/>
        <v>fast</v>
      </c>
      <c r="V74" s="4">
        <f t="shared" si="28"/>
        <v>2024</v>
      </c>
      <c r="W74" s="4" t="str">
        <f t="shared" si="29"/>
        <v>India</v>
      </c>
    </row>
    <row r="75" spans="1:23" x14ac:dyDescent="0.25">
      <c r="A75" t="s">
        <v>159</v>
      </c>
      <c r="B75" t="s">
        <v>66</v>
      </c>
      <c r="C75" t="s">
        <v>764</v>
      </c>
      <c r="D75" t="s">
        <v>17</v>
      </c>
      <c r="E75" t="s">
        <v>54</v>
      </c>
      <c r="F75" s="1">
        <v>46013</v>
      </c>
      <c r="G75">
        <v>403.26</v>
      </c>
      <c r="H75">
        <v>4389.2299999999996</v>
      </c>
      <c r="I75" t="str">
        <f t="shared" si="15"/>
        <v>Pune</v>
      </c>
      <c r="J75" t="str">
        <f t="shared" si="16"/>
        <v>Pune</v>
      </c>
      <c r="K75" t="str">
        <f t="shared" si="17"/>
        <v>Bpcl</v>
      </c>
      <c r="L75" s="4" t="str">
        <f t="shared" si="18"/>
        <v>Bpcl</v>
      </c>
      <c r="M75" s="4" t="str">
        <f t="shared" si="19"/>
        <v>Type2 Ac</v>
      </c>
      <c r="N75" s="4" t="str">
        <f t="shared" si="20"/>
        <v>Type2 Ac</v>
      </c>
      <c r="O75" s="4" t="str">
        <f t="shared" si="21"/>
        <v>Inactive</v>
      </c>
      <c r="P75" s="4" t="str">
        <f t="shared" si="22"/>
        <v>Inactive</v>
      </c>
      <c r="Q75" s="4" t="str">
        <f t="shared" si="23"/>
        <v>Pune</v>
      </c>
      <c r="R75" s="4" t="b">
        <f t="shared" si="24"/>
        <v>1</v>
      </c>
      <c r="S75" s="5" t="str">
        <f t="shared" si="25"/>
        <v>46013</v>
      </c>
      <c r="T75" s="4" t="str">
        <f t="shared" si="26"/>
        <v>Government</v>
      </c>
      <c r="U75" s="4" t="str">
        <f t="shared" si="27"/>
        <v>Slow</v>
      </c>
      <c r="V75" s="4">
        <f t="shared" si="28"/>
        <v>2025</v>
      </c>
      <c r="W75" s="4" t="str">
        <f t="shared" si="29"/>
        <v>Germany</v>
      </c>
    </row>
    <row r="76" spans="1:23" x14ac:dyDescent="0.25">
      <c r="A76" t="s">
        <v>161</v>
      </c>
      <c r="B76" t="s">
        <v>30</v>
      </c>
      <c r="C76" t="s">
        <v>14</v>
      </c>
      <c r="D76" t="s">
        <v>56</v>
      </c>
      <c r="F76" s="1">
        <v>45363</v>
      </c>
      <c r="G76">
        <v>343.43</v>
      </c>
      <c r="H76">
        <v>4386.49</v>
      </c>
      <c r="I76" t="str">
        <f t="shared" si="15"/>
        <v>Hyderabad</v>
      </c>
      <c r="J76" t="str">
        <f t="shared" si="16"/>
        <v>Hyderabad</v>
      </c>
      <c r="K76" t="str">
        <f t="shared" si="17"/>
        <v>Charge Point</v>
      </c>
      <c r="L76" s="4" t="str">
        <f t="shared" si="18"/>
        <v>Charge Point</v>
      </c>
      <c r="M76" s="4" t="str">
        <f t="shared" si="19"/>
        <v>Ccs2</v>
      </c>
      <c r="N76" s="4" t="str">
        <f t="shared" si="20"/>
        <v>Ccs2</v>
      </c>
      <c r="O76" s="4" t="str">
        <f t="shared" si="21"/>
        <v/>
      </c>
      <c r="P76" s="4" t="str">
        <f t="shared" si="22"/>
        <v/>
      </c>
      <c r="Q76" s="4" t="str">
        <f t="shared" si="23"/>
        <v>Hyderabad</v>
      </c>
      <c r="R76" s="4" t="b">
        <f t="shared" si="24"/>
        <v>1</v>
      </c>
      <c r="S76" s="5" t="str">
        <f t="shared" si="25"/>
        <v>45363</v>
      </c>
      <c r="T76" s="4" t="str">
        <f t="shared" si="26"/>
        <v>Private</v>
      </c>
      <c r="U76" s="4" t="str">
        <f t="shared" si="27"/>
        <v>Ultra Fast</v>
      </c>
      <c r="V76" s="4">
        <f t="shared" si="28"/>
        <v>2024</v>
      </c>
      <c r="W76" s="4" t="str">
        <f t="shared" si="29"/>
        <v>Europe</v>
      </c>
    </row>
    <row r="77" spans="1:23" x14ac:dyDescent="0.25">
      <c r="A77" t="s">
        <v>162</v>
      </c>
      <c r="B77" t="s">
        <v>30</v>
      </c>
      <c r="C77" t="s">
        <v>14</v>
      </c>
      <c r="D77" t="s">
        <v>26</v>
      </c>
      <c r="E77" t="s">
        <v>24</v>
      </c>
      <c r="F77" s="1">
        <v>45338</v>
      </c>
      <c r="G77">
        <v>11313.03</v>
      </c>
      <c r="H77">
        <v>104763.16</v>
      </c>
      <c r="I77" t="str">
        <f t="shared" si="15"/>
        <v>Hyderabad</v>
      </c>
      <c r="J77" t="str">
        <f t="shared" si="16"/>
        <v>Hyderabad</v>
      </c>
      <c r="K77" t="str">
        <f t="shared" si="17"/>
        <v>Charge Point</v>
      </c>
      <c r="L77" s="4" t="str">
        <f t="shared" si="18"/>
        <v>Charge Point</v>
      </c>
      <c r="M77" s="4" t="str">
        <f t="shared" si="19"/>
        <v>Chademo</v>
      </c>
      <c r="N77" s="4" t="str">
        <f t="shared" si="20"/>
        <v>Chademo</v>
      </c>
      <c r="O77" s="4" t="str">
        <f t="shared" si="21"/>
        <v>Active</v>
      </c>
      <c r="P77" s="4" t="str">
        <f t="shared" si="22"/>
        <v>Active</v>
      </c>
      <c r="Q77" s="4" t="str">
        <f t="shared" si="23"/>
        <v>Hyderabad</v>
      </c>
      <c r="R77" s="4" t="b">
        <f t="shared" si="24"/>
        <v>1</v>
      </c>
      <c r="S77" s="5" t="str">
        <f t="shared" si="25"/>
        <v>45338</v>
      </c>
      <c r="T77" s="4" t="str">
        <f t="shared" si="26"/>
        <v>Private</v>
      </c>
      <c r="U77" s="4" t="str">
        <f t="shared" si="27"/>
        <v>fast</v>
      </c>
      <c r="V77" s="4">
        <f t="shared" si="28"/>
        <v>2024</v>
      </c>
      <c r="W77" s="4" t="str">
        <f t="shared" si="29"/>
        <v>Japan</v>
      </c>
    </row>
    <row r="78" spans="1:23" x14ac:dyDescent="0.25">
      <c r="A78" t="s">
        <v>164</v>
      </c>
      <c r="B78" t="s">
        <v>771</v>
      </c>
      <c r="C78" t="s">
        <v>36</v>
      </c>
      <c r="D78" t="s">
        <v>26</v>
      </c>
      <c r="E78" t="s">
        <v>31</v>
      </c>
      <c r="F78" s="1">
        <v>45969</v>
      </c>
      <c r="G78">
        <v>2237.41</v>
      </c>
      <c r="H78">
        <v>20641.189999999999</v>
      </c>
      <c r="I78" t="str">
        <f t="shared" si="15"/>
        <v>Pune</v>
      </c>
      <c r="J78" t="str">
        <f t="shared" si="16"/>
        <v>Pune</v>
      </c>
      <c r="K78" t="str">
        <f t="shared" si="17"/>
        <v>Zeon Charging</v>
      </c>
      <c r="L78" s="4" t="str">
        <f t="shared" si="18"/>
        <v>Zeon Charging</v>
      </c>
      <c r="M78" s="4" t="str">
        <f t="shared" si="19"/>
        <v>Chademo</v>
      </c>
      <c r="N78" s="4" t="str">
        <f t="shared" si="20"/>
        <v>Chademo</v>
      </c>
      <c r="O78" s="4" t="str">
        <f t="shared" si="21"/>
        <v>Maintenance</v>
      </c>
      <c r="P78" s="4" t="str">
        <f t="shared" si="22"/>
        <v>Maintenance</v>
      </c>
      <c r="Q78" s="4" t="str">
        <f t="shared" si="23"/>
        <v>Pune</v>
      </c>
      <c r="R78" s="4" t="b">
        <f t="shared" si="24"/>
        <v>1</v>
      </c>
      <c r="S78" s="5" t="str">
        <f t="shared" si="25"/>
        <v>45969</v>
      </c>
      <c r="T78" s="4" t="str">
        <f t="shared" si="26"/>
        <v>Private</v>
      </c>
      <c r="U78" s="4" t="str">
        <f t="shared" si="27"/>
        <v>fast</v>
      </c>
      <c r="V78" s="4">
        <f t="shared" si="28"/>
        <v>2025</v>
      </c>
      <c r="W78" s="4" t="str">
        <f t="shared" si="29"/>
        <v>Japan</v>
      </c>
    </row>
    <row r="79" spans="1:23" x14ac:dyDescent="0.25">
      <c r="A79" t="s">
        <v>165</v>
      </c>
      <c r="C79" t="s">
        <v>36</v>
      </c>
      <c r="D79" t="s">
        <v>56</v>
      </c>
      <c r="E79" t="s">
        <v>855</v>
      </c>
      <c r="F79" s="1">
        <v>45525</v>
      </c>
      <c r="G79">
        <v>98.52</v>
      </c>
      <c r="H79">
        <v>1208.49</v>
      </c>
      <c r="I79" t="str">
        <f t="shared" si="15"/>
        <v/>
      </c>
      <c r="J79" t="str">
        <f t="shared" si="16"/>
        <v/>
      </c>
      <c r="K79" t="str">
        <f t="shared" si="17"/>
        <v>Zeon Charging</v>
      </c>
      <c r="L79" s="4" t="str">
        <f t="shared" si="18"/>
        <v>Zeon Charging</v>
      </c>
      <c r="M79" s="4" t="str">
        <f t="shared" si="19"/>
        <v>Ccs2</v>
      </c>
      <c r="N79" s="4" t="str">
        <f t="shared" si="20"/>
        <v>Ccs2</v>
      </c>
      <c r="O79" s="4" t="str">
        <f t="shared" si="21"/>
        <v>Inactive</v>
      </c>
      <c r="P79" s="4" t="str">
        <f t="shared" si="22"/>
        <v>Inactive</v>
      </c>
      <c r="Q79" s="4" t="str">
        <f t="shared" si="23"/>
        <v/>
      </c>
      <c r="R79" s="4" t="b">
        <f t="shared" si="24"/>
        <v>1</v>
      </c>
      <c r="S79" s="5" t="str">
        <f t="shared" si="25"/>
        <v>45525</v>
      </c>
      <c r="T79" s="4" t="str">
        <f t="shared" si="26"/>
        <v>Private</v>
      </c>
      <c r="U79" s="4" t="str">
        <f t="shared" si="27"/>
        <v>Ultra Fast</v>
      </c>
      <c r="V79" s="4">
        <f t="shared" si="28"/>
        <v>2024</v>
      </c>
      <c r="W79" s="4" t="str">
        <f t="shared" si="29"/>
        <v>Europe</v>
      </c>
    </row>
    <row r="80" spans="1:23" x14ac:dyDescent="0.25">
      <c r="A80" t="s">
        <v>167</v>
      </c>
      <c r="B80" t="s">
        <v>70</v>
      </c>
      <c r="C80" t="s">
        <v>63</v>
      </c>
      <c r="D80" t="s">
        <v>17</v>
      </c>
      <c r="E80" t="s">
        <v>24</v>
      </c>
      <c r="F80" s="1">
        <v>46083</v>
      </c>
      <c r="G80">
        <v>5459.92</v>
      </c>
      <c r="H80">
        <v>58299.99</v>
      </c>
      <c r="I80" t="str">
        <f t="shared" si="15"/>
        <v>Delhi</v>
      </c>
      <c r="J80" t="str">
        <f t="shared" si="16"/>
        <v>Delhi</v>
      </c>
      <c r="K80" t="str">
        <f t="shared" si="17"/>
        <v>Tata Power</v>
      </c>
      <c r="L80" s="4" t="str">
        <f t="shared" si="18"/>
        <v>Tata Power</v>
      </c>
      <c r="M80" s="4" t="str">
        <f t="shared" si="19"/>
        <v>Type2 Ac</v>
      </c>
      <c r="N80" s="4" t="str">
        <f t="shared" si="20"/>
        <v>Type2 Ac</v>
      </c>
      <c r="O80" s="4" t="str">
        <f t="shared" si="21"/>
        <v>Active</v>
      </c>
      <c r="P80" s="4" t="str">
        <f t="shared" si="22"/>
        <v>Active</v>
      </c>
      <c r="Q80" s="4" t="str">
        <f t="shared" si="23"/>
        <v>Delhi</v>
      </c>
      <c r="R80" s="4" t="b">
        <f t="shared" si="24"/>
        <v>1</v>
      </c>
      <c r="S80" s="5" t="str">
        <f t="shared" si="25"/>
        <v>46083</v>
      </c>
      <c r="T80" s="4" t="str">
        <f t="shared" si="26"/>
        <v>Government</v>
      </c>
      <c r="U80" s="4" t="str">
        <f t="shared" si="27"/>
        <v>Slow</v>
      </c>
      <c r="V80" s="4">
        <f t="shared" si="28"/>
        <v>2026</v>
      </c>
      <c r="W80" s="4" t="str">
        <f t="shared" si="29"/>
        <v>Germany</v>
      </c>
    </row>
    <row r="81" spans="1:23" x14ac:dyDescent="0.25">
      <c r="A81" t="s">
        <v>168</v>
      </c>
      <c r="B81" t="s">
        <v>40</v>
      </c>
      <c r="C81" t="s">
        <v>764</v>
      </c>
      <c r="D81" t="s">
        <v>56</v>
      </c>
      <c r="E81" t="s">
        <v>769</v>
      </c>
      <c r="F81" s="1">
        <v>45588</v>
      </c>
      <c r="G81">
        <v>11412.06</v>
      </c>
      <c r="H81">
        <v>145868.29</v>
      </c>
      <c r="I81" t="str">
        <f t="shared" si="15"/>
        <v>Mumbai</v>
      </c>
      <c r="J81" t="str">
        <f t="shared" si="16"/>
        <v>Mumbai</v>
      </c>
      <c r="K81" t="str">
        <f t="shared" si="17"/>
        <v>Bpcl</v>
      </c>
      <c r="L81" s="4" t="str">
        <f t="shared" si="18"/>
        <v>Bpcl</v>
      </c>
      <c r="M81" s="4" t="str">
        <f t="shared" si="19"/>
        <v>Ccs2</v>
      </c>
      <c r="N81" s="4" t="str">
        <f t="shared" si="20"/>
        <v>Ccs2</v>
      </c>
      <c r="O81" s="4" t="str">
        <f t="shared" si="21"/>
        <v>Active</v>
      </c>
      <c r="P81" s="4" t="str">
        <f t="shared" si="22"/>
        <v>Active</v>
      </c>
      <c r="Q81" s="4" t="str">
        <f t="shared" si="23"/>
        <v>Mumbai</v>
      </c>
      <c r="R81" s="4" t="b">
        <f t="shared" si="24"/>
        <v>1</v>
      </c>
      <c r="S81" s="5" t="str">
        <f t="shared" si="25"/>
        <v>45588</v>
      </c>
      <c r="T81" s="4" t="str">
        <f t="shared" si="26"/>
        <v>Government</v>
      </c>
      <c r="U81" s="4" t="str">
        <f t="shared" si="27"/>
        <v>Ultra Fast</v>
      </c>
      <c r="V81" s="4">
        <f t="shared" si="28"/>
        <v>2024</v>
      </c>
      <c r="W81" s="4" t="str">
        <f t="shared" si="29"/>
        <v>Europe</v>
      </c>
    </row>
    <row r="82" spans="1:23" x14ac:dyDescent="0.25">
      <c r="A82" t="s">
        <v>170</v>
      </c>
      <c r="B82" t="s">
        <v>780</v>
      </c>
      <c r="C82" t="s">
        <v>764</v>
      </c>
      <c r="D82" t="s">
        <v>17</v>
      </c>
      <c r="E82" t="s">
        <v>24</v>
      </c>
      <c r="F82" s="1">
        <v>45373</v>
      </c>
      <c r="H82">
        <v>127340.82</v>
      </c>
      <c r="I82" t="str">
        <f t="shared" si="15"/>
        <v>Kolkata</v>
      </c>
      <c r="J82" t="str">
        <f t="shared" si="16"/>
        <v>Kolkata</v>
      </c>
      <c r="K82" t="str">
        <f t="shared" si="17"/>
        <v>Bpcl</v>
      </c>
      <c r="L82" s="4" t="str">
        <f t="shared" si="18"/>
        <v>Bpcl</v>
      </c>
      <c r="M82" s="4" t="str">
        <f t="shared" si="19"/>
        <v>Type2 Ac</v>
      </c>
      <c r="N82" s="4" t="str">
        <f t="shared" si="20"/>
        <v>Type2 Ac</v>
      </c>
      <c r="O82" s="4" t="str">
        <f t="shared" si="21"/>
        <v>Active</v>
      </c>
      <c r="P82" s="4" t="str">
        <f t="shared" si="22"/>
        <v>Active</v>
      </c>
      <c r="Q82" s="4" t="str">
        <f t="shared" si="23"/>
        <v>Kolkata</v>
      </c>
      <c r="R82" s="4" t="b">
        <f t="shared" si="24"/>
        <v>1</v>
      </c>
      <c r="S82" s="5" t="str">
        <f t="shared" si="25"/>
        <v>45373</v>
      </c>
      <c r="T82" s="4" t="str">
        <f t="shared" si="26"/>
        <v>Government</v>
      </c>
      <c r="U82" s="4" t="str">
        <f t="shared" si="27"/>
        <v>Slow</v>
      </c>
      <c r="V82" s="4">
        <f t="shared" si="28"/>
        <v>2024</v>
      </c>
      <c r="W82" s="4" t="str">
        <f t="shared" si="29"/>
        <v>Germany</v>
      </c>
    </row>
    <row r="83" spans="1:23" x14ac:dyDescent="0.25">
      <c r="A83" t="s">
        <v>172</v>
      </c>
      <c r="B83" t="s">
        <v>35</v>
      </c>
      <c r="C83" t="s">
        <v>41</v>
      </c>
      <c r="D83" t="s">
        <v>26</v>
      </c>
      <c r="E83" t="s">
        <v>24</v>
      </c>
      <c r="F83" s="1">
        <v>45530</v>
      </c>
      <c r="G83">
        <v>7666.29</v>
      </c>
      <c r="H83">
        <v>92624.88</v>
      </c>
      <c r="I83" t="str">
        <f t="shared" si="15"/>
        <v>Chennai</v>
      </c>
      <c r="J83" t="str">
        <f t="shared" si="16"/>
        <v>Chennai</v>
      </c>
      <c r="K83" t="str">
        <f t="shared" si="17"/>
        <v>Ather Grid</v>
      </c>
      <c r="L83" s="4" t="str">
        <f t="shared" si="18"/>
        <v>Ather Grid</v>
      </c>
      <c r="M83" s="4" t="str">
        <f t="shared" si="19"/>
        <v>Chademo</v>
      </c>
      <c r="N83" s="4" t="str">
        <f t="shared" si="20"/>
        <v>Chademo</v>
      </c>
      <c r="O83" s="4" t="str">
        <f t="shared" si="21"/>
        <v>Active</v>
      </c>
      <c r="P83" s="4" t="str">
        <f t="shared" si="22"/>
        <v>Active</v>
      </c>
      <c r="Q83" s="4" t="str">
        <f t="shared" si="23"/>
        <v>Chennai</v>
      </c>
      <c r="R83" s="4" t="b">
        <f t="shared" si="24"/>
        <v>1</v>
      </c>
      <c r="S83" s="5" t="str">
        <f t="shared" si="25"/>
        <v>45530</v>
      </c>
      <c r="T83" s="4" t="str">
        <f t="shared" si="26"/>
        <v>Private</v>
      </c>
      <c r="U83" s="4" t="str">
        <f t="shared" si="27"/>
        <v>fast</v>
      </c>
      <c r="V83" s="4">
        <f t="shared" si="28"/>
        <v>2024</v>
      </c>
      <c r="W83" s="4" t="str">
        <f t="shared" si="29"/>
        <v>Japan</v>
      </c>
    </row>
    <row r="84" spans="1:23" x14ac:dyDescent="0.25">
      <c r="A84" t="s">
        <v>173</v>
      </c>
      <c r="B84" t="s">
        <v>70</v>
      </c>
      <c r="C84" t="s">
        <v>63</v>
      </c>
      <c r="D84" t="s">
        <v>17</v>
      </c>
      <c r="E84" t="s">
        <v>24</v>
      </c>
      <c r="F84" s="1">
        <v>45395</v>
      </c>
      <c r="G84">
        <v>8128.96</v>
      </c>
      <c r="H84">
        <v>78243.83</v>
      </c>
      <c r="I84" t="str">
        <f t="shared" si="15"/>
        <v>Delhi</v>
      </c>
      <c r="J84" t="str">
        <f t="shared" si="16"/>
        <v>Delhi</v>
      </c>
      <c r="K84" t="str">
        <f t="shared" si="17"/>
        <v>Tata Power</v>
      </c>
      <c r="L84" s="4" t="str">
        <f t="shared" si="18"/>
        <v>Tata Power</v>
      </c>
      <c r="M84" s="4" t="str">
        <f t="shared" si="19"/>
        <v>Type2 Ac</v>
      </c>
      <c r="N84" s="4" t="str">
        <f t="shared" si="20"/>
        <v>Type2 Ac</v>
      </c>
      <c r="O84" s="4" t="str">
        <f t="shared" si="21"/>
        <v>Active</v>
      </c>
      <c r="P84" s="4" t="str">
        <f t="shared" si="22"/>
        <v>Active</v>
      </c>
      <c r="Q84" s="4" t="str">
        <f t="shared" si="23"/>
        <v>Delhi</v>
      </c>
      <c r="R84" s="4" t="b">
        <f t="shared" si="24"/>
        <v>1</v>
      </c>
      <c r="S84" s="5" t="str">
        <f t="shared" si="25"/>
        <v>45395</v>
      </c>
      <c r="T84" s="4" t="str">
        <f t="shared" si="26"/>
        <v>Government</v>
      </c>
      <c r="U84" s="4" t="str">
        <f t="shared" si="27"/>
        <v>Slow</v>
      </c>
      <c r="V84" s="4">
        <f t="shared" si="28"/>
        <v>2024</v>
      </c>
      <c r="W84" s="4" t="str">
        <f t="shared" si="29"/>
        <v>Germany</v>
      </c>
    </row>
    <row r="85" spans="1:23" x14ac:dyDescent="0.25">
      <c r="A85" t="s">
        <v>175</v>
      </c>
      <c r="B85" t="s">
        <v>776</v>
      </c>
      <c r="C85" t="s">
        <v>63</v>
      </c>
      <c r="D85" t="s">
        <v>48</v>
      </c>
      <c r="E85" t="s">
        <v>24</v>
      </c>
      <c r="F85" s="1">
        <v>45681</v>
      </c>
      <c r="G85">
        <v>1933.19</v>
      </c>
      <c r="H85">
        <v>24097.86</v>
      </c>
      <c r="I85" t="str">
        <f t="shared" si="15"/>
        <v>Mumbai</v>
      </c>
      <c r="J85" t="str">
        <f t="shared" si="16"/>
        <v>Mumbai</v>
      </c>
      <c r="K85" t="str">
        <f t="shared" si="17"/>
        <v>Tata Power</v>
      </c>
      <c r="L85" s="4" t="str">
        <f t="shared" si="18"/>
        <v>Tata Power</v>
      </c>
      <c r="M85" s="4" t="str">
        <f t="shared" si="19"/>
        <v>Bharat Dc-001</v>
      </c>
      <c r="N85" s="4" t="str">
        <f t="shared" si="20"/>
        <v>Bharat Dc-001</v>
      </c>
      <c r="O85" s="4" t="str">
        <f t="shared" si="21"/>
        <v>Active</v>
      </c>
      <c r="P85" s="4" t="str">
        <f t="shared" si="22"/>
        <v>Active</v>
      </c>
      <c r="Q85" s="4" t="str">
        <f t="shared" si="23"/>
        <v>Mumbai</v>
      </c>
      <c r="R85" s="4" t="b">
        <f t="shared" si="24"/>
        <v>1</v>
      </c>
      <c r="S85" s="5" t="str">
        <f t="shared" si="25"/>
        <v>45681</v>
      </c>
      <c r="T85" s="4" t="str">
        <f t="shared" si="26"/>
        <v>Government</v>
      </c>
      <c r="U85" s="4" t="str">
        <f t="shared" si="27"/>
        <v>fast</v>
      </c>
      <c r="V85" s="4">
        <f t="shared" si="28"/>
        <v>2025</v>
      </c>
      <c r="W85" s="4" t="str">
        <f t="shared" si="29"/>
        <v>India</v>
      </c>
    </row>
    <row r="86" spans="1:23" x14ac:dyDescent="0.25">
      <c r="A86" t="s">
        <v>176</v>
      </c>
      <c r="B86" t="s">
        <v>70</v>
      </c>
      <c r="C86" t="s">
        <v>63</v>
      </c>
      <c r="D86" t="s">
        <v>26</v>
      </c>
      <c r="E86" t="s">
        <v>24</v>
      </c>
      <c r="F86" s="1">
        <v>45576</v>
      </c>
      <c r="G86">
        <v>10850.54</v>
      </c>
      <c r="H86">
        <v>121710.44</v>
      </c>
      <c r="I86" t="str">
        <f t="shared" si="15"/>
        <v>Delhi</v>
      </c>
      <c r="J86" t="str">
        <f t="shared" si="16"/>
        <v>Delhi</v>
      </c>
      <c r="K86" t="str">
        <f t="shared" si="17"/>
        <v>Tata Power</v>
      </c>
      <c r="L86" s="4" t="str">
        <f t="shared" si="18"/>
        <v>Tata Power</v>
      </c>
      <c r="M86" s="4" t="str">
        <f t="shared" si="19"/>
        <v>Chademo</v>
      </c>
      <c r="N86" s="4" t="str">
        <f t="shared" si="20"/>
        <v>Chademo</v>
      </c>
      <c r="O86" s="4" t="str">
        <f t="shared" si="21"/>
        <v>Active</v>
      </c>
      <c r="P86" s="4" t="str">
        <f t="shared" si="22"/>
        <v>Active</v>
      </c>
      <c r="Q86" s="4" t="str">
        <f t="shared" si="23"/>
        <v>Delhi</v>
      </c>
      <c r="R86" s="4" t="b">
        <f t="shared" si="24"/>
        <v>1</v>
      </c>
      <c r="S86" s="5" t="str">
        <f t="shared" si="25"/>
        <v>45576</v>
      </c>
      <c r="T86" s="4" t="str">
        <f t="shared" si="26"/>
        <v>Government</v>
      </c>
      <c r="U86" s="4" t="str">
        <f t="shared" si="27"/>
        <v>fast</v>
      </c>
      <c r="V86" s="4">
        <f t="shared" si="28"/>
        <v>2024</v>
      </c>
      <c r="W86" s="4" t="str">
        <f t="shared" si="29"/>
        <v>Japan</v>
      </c>
    </row>
    <row r="87" spans="1:23" x14ac:dyDescent="0.25">
      <c r="A87" t="s">
        <v>177</v>
      </c>
      <c r="B87" t="s">
        <v>70</v>
      </c>
      <c r="C87" t="s">
        <v>63</v>
      </c>
      <c r="D87" t="s">
        <v>48</v>
      </c>
      <c r="E87" t="s">
        <v>763</v>
      </c>
      <c r="F87" s="1">
        <v>45756</v>
      </c>
      <c r="H87">
        <v>80211.91</v>
      </c>
      <c r="I87" t="str">
        <f t="shared" si="15"/>
        <v>Delhi</v>
      </c>
      <c r="J87" t="str">
        <f t="shared" si="16"/>
        <v>Delhi</v>
      </c>
      <c r="K87" t="str">
        <f t="shared" si="17"/>
        <v>Tata Power</v>
      </c>
      <c r="L87" s="4" t="str">
        <f t="shared" si="18"/>
        <v>Tata Power</v>
      </c>
      <c r="M87" s="4" t="str">
        <f t="shared" si="19"/>
        <v>Bharat Dc-001</v>
      </c>
      <c r="N87" s="4" t="str">
        <f t="shared" si="20"/>
        <v>Bharat Dc-001</v>
      </c>
      <c r="O87" s="4" t="str">
        <f t="shared" si="21"/>
        <v>Active</v>
      </c>
      <c r="P87" s="4" t="str">
        <f t="shared" si="22"/>
        <v>Active</v>
      </c>
      <c r="Q87" s="4" t="str">
        <f t="shared" si="23"/>
        <v>Delhi</v>
      </c>
      <c r="R87" s="4" t="b">
        <f t="shared" si="24"/>
        <v>1</v>
      </c>
      <c r="S87" s="5" t="str">
        <f t="shared" si="25"/>
        <v>45756</v>
      </c>
      <c r="T87" s="4" t="str">
        <f t="shared" si="26"/>
        <v>Government</v>
      </c>
      <c r="U87" s="4" t="str">
        <f t="shared" si="27"/>
        <v>fast</v>
      </c>
      <c r="V87" s="4">
        <f t="shared" si="28"/>
        <v>2025</v>
      </c>
      <c r="W87" s="4" t="str">
        <f t="shared" si="29"/>
        <v>India</v>
      </c>
    </row>
    <row r="88" spans="1:23" x14ac:dyDescent="0.25">
      <c r="A88" t="s">
        <v>178</v>
      </c>
      <c r="B88" t="s">
        <v>30</v>
      </c>
      <c r="C88" t="s">
        <v>764</v>
      </c>
      <c r="D88" t="s">
        <v>56</v>
      </c>
      <c r="E88" t="s">
        <v>24</v>
      </c>
      <c r="F88" s="1">
        <v>45942</v>
      </c>
      <c r="G88">
        <v>8169.27</v>
      </c>
      <c r="H88">
        <v>116758.15</v>
      </c>
      <c r="I88" t="str">
        <f t="shared" si="15"/>
        <v>Hyderabad</v>
      </c>
      <c r="J88" t="str">
        <f t="shared" si="16"/>
        <v>Hyderabad</v>
      </c>
      <c r="K88" t="str">
        <f t="shared" si="17"/>
        <v>Bpcl</v>
      </c>
      <c r="L88" s="4" t="str">
        <f t="shared" si="18"/>
        <v>Bpcl</v>
      </c>
      <c r="M88" s="4" t="str">
        <f t="shared" si="19"/>
        <v>Ccs2</v>
      </c>
      <c r="N88" s="4" t="str">
        <f t="shared" si="20"/>
        <v>Ccs2</v>
      </c>
      <c r="O88" s="4" t="str">
        <f t="shared" si="21"/>
        <v>Active</v>
      </c>
      <c r="P88" s="4" t="str">
        <f t="shared" si="22"/>
        <v>Active</v>
      </c>
      <c r="Q88" s="4" t="str">
        <f t="shared" si="23"/>
        <v>Hyderabad</v>
      </c>
      <c r="R88" s="4" t="b">
        <f t="shared" si="24"/>
        <v>1</v>
      </c>
      <c r="S88" s="5" t="str">
        <f t="shared" si="25"/>
        <v>45942</v>
      </c>
      <c r="T88" s="4" t="str">
        <f t="shared" si="26"/>
        <v>Government</v>
      </c>
      <c r="U88" s="4" t="str">
        <f t="shared" si="27"/>
        <v>Ultra Fast</v>
      </c>
      <c r="V88" s="4">
        <f t="shared" si="28"/>
        <v>2025</v>
      </c>
      <c r="W88" s="4" t="str">
        <f t="shared" si="29"/>
        <v>Europe</v>
      </c>
    </row>
    <row r="89" spans="1:23" x14ac:dyDescent="0.25">
      <c r="A89" t="s">
        <v>179</v>
      </c>
      <c r="B89" t="s">
        <v>30</v>
      </c>
      <c r="C89" t="s">
        <v>764</v>
      </c>
      <c r="D89" t="s">
        <v>56</v>
      </c>
      <c r="E89" t="s">
        <v>24</v>
      </c>
      <c r="F89" s="1">
        <v>46146</v>
      </c>
      <c r="G89">
        <v>4251.1000000000004</v>
      </c>
      <c r="H89">
        <v>47853.67</v>
      </c>
      <c r="I89" t="str">
        <f t="shared" si="15"/>
        <v>Hyderabad</v>
      </c>
      <c r="J89" t="str">
        <f t="shared" si="16"/>
        <v>Hyderabad</v>
      </c>
      <c r="K89" t="str">
        <f t="shared" si="17"/>
        <v>Bpcl</v>
      </c>
      <c r="L89" s="4" t="str">
        <f t="shared" si="18"/>
        <v>Bpcl</v>
      </c>
      <c r="M89" s="4" t="str">
        <f t="shared" si="19"/>
        <v>Ccs2</v>
      </c>
      <c r="N89" s="4" t="str">
        <f t="shared" si="20"/>
        <v>Ccs2</v>
      </c>
      <c r="O89" s="4" t="str">
        <f t="shared" si="21"/>
        <v>Active</v>
      </c>
      <c r="P89" s="4" t="str">
        <f t="shared" si="22"/>
        <v>Active</v>
      </c>
      <c r="Q89" s="4" t="str">
        <f t="shared" si="23"/>
        <v>Hyderabad</v>
      </c>
      <c r="R89" s="4" t="b">
        <f t="shared" si="24"/>
        <v>1</v>
      </c>
      <c r="S89" s="5" t="str">
        <f t="shared" si="25"/>
        <v>46146</v>
      </c>
      <c r="T89" s="4" t="str">
        <f t="shared" si="26"/>
        <v>Government</v>
      </c>
      <c r="U89" s="4" t="str">
        <f t="shared" si="27"/>
        <v>Ultra Fast</v>
      </c>
      <c r="V89" s="4">
        <f t="shared" si="28"/>
        <v>2026</v>
      </c>
      <c r="W89" s="4" t="str">
        <f t="shared" si="29"/>
        <v>Europe</v>
      </c>
    </row>
    <row r="90" spans="1:23" x14ac:dyDescent="0.25">
      <c r="A90" t="s">
        <v>180</v>
      </c>
      <c r="B90" t="s">
        <v>46</v>
      </c>
      <c r="C90" t="s">
        <v>63</v>
      </c>
      <c r="D90" t="s">
        <v>56</v>
      </c>
      <c r="E90" t="s">
        <v>54</v>
      </c>
      <c r="F90" s="1">
        <v>45665</v>
      </c>
      <c r="G90">
        <v>348.6</v>
      </c>
      <c r="H90">
        <v>3490.68</v>
      </c>
      <c r="I90" t="str">
        <f t="shared" si="15"/>
        <v>Kolkata</v>
      </c>
      <c r="J90" t="str">
        <f t="shared" si="16"/>
        <v>Kolkata</v>
      </c>
      <c r="K90" t="str">
        <f t="shared" si="17"/>
        <v>Tata Power</v>
      </c>
      <c r="L90" s="4" t="str">
        <f t="shared" si="18"/>
        <v>Tata Power</v>
      </c>
      <c r="M90" s="4" t="str">
        <f t="shared" si="19"/>
        <v>Ccs2</v>
      </c>
      <c r="N90" s="4" t="str">
        <f t="shared" si="20"/>
        <v>Ccs2</v>
      </c>
      <c r="O90" s="4" t="str">
        <f t="shared" si="21"/>
        <v>Inactive</v>
      </c>
      <c r="P90" s="4" t="str">
        <f t="shared" si="22"/>
        <v>Inactive</v>
      </c>
      <c r="Q90" s="4" t="str">
        <f t="shared" si="23"/>
        <v>Kolkata</v>
      </c>
      <c r="R90" s="4" t="b">
        <f t="shared" si="24"/>
        <v>1</v>
      </c>
      <c r="S90" s="5" t="str">
        <f t="shared" si="25"/>
        <v>45665</v>
      </c>
      <c r="T90" s="4" t="str">
        <f t="shared" si="26"/>
        <v>Government</v>
      </c>
      <c r="U90" s="4" t="str">
        <f t="shared" si="27"/>
        <v>Ultra Fast</v>
      </c>
      <c r="V90" s="4">
        <f t="shared" si="28"/>
        <v>2025</v>
      </c>
      <c r="W90" s="4" t="str">
        <f t="shared" si="29"/>
        <v>Europe</v>
      </c>
    </row>
    <row r="91" spans="1:23" x14ac:dyDescent="0.25">
      <c r="A91" t="s">
        <v>181</v>
      </c>
      <c r="B91" t="s">
        <v>13</v>
      </c>
      <c r="C91" t="s">
        <v>41</v>
      </c>
      <c r="D91" t="s">
        <v>17</v>
      </c>
      <c r="E91" t="s">
        <v>24</v>
      </c>
      <c r="F91" s="1">
        <v>45458</v>
      </c>
      <c r="G91">
        <v>6875.74</v>
      </c>
      <c r="H91">
        <v>81313.789999999994</v>
      </c>
      <c r="I91" t="str">
        <f t="shared" si="15"/>
        <v>Bengaluru</v>
      </c>
      <c r="J91" t="str">
        <f t="shared" si="16"/>
        <v>Bengaluru</v>
      </c>
      <c r="K91" t="str">
        <f t="shared" si="17"/>
        <v>Ather Grid</v>
      </c>
      <c r="L91" s="4" t="str">
        <f t="shared" si="18"/>
        <v>Ather Grid</v>
      </c>
      <c r="M91" s="4" t="str">
        <f t="shared" si="19"/>
        <v>Type2 Ac</v>
      </c>
      <c r="N91" s="4" t="str">
        <f t="shared" si="20"/>
        <v>Type2 Ac</v>
      </c>
      <c r="O91" s="4" t="str">
        <f t="shared" si="21"/>
        <v>Active</v>
      </c>
      <c r="P91" s="4" t="str">
        <f t="shared" si="22"/>
        <v>Active</v>
      </c>
      <c r="Q91" s="4" t="str">
        <f t="shared" si="23"/>
        <v>Bengaluru</v>
      </c>
      <c r="R91" s="4" t="b">
        <f t="shared" si="24"/>
        <v>1</v>
      </c>
      <c r="S91" s="5" t="str">
        <f t="shared" si="25"/>
        <v>45458</v>
      </c>
      <c r="T91" s="4" t="str">
        <f t="shared" si="26"/>
        <v>Private</v>
      </c>
      <c r="U91" s="4" t="str">
        <f t="shared" si="27"/>
        <v>Slow</v>
      </c>
      <c r="V91" s="4">
        <f t="shared" si="28"/>
        <v>2024</v>
      </c>
      <c r="W91" s="4" t="str">
        <f t="shared" si="29"/>
        <v>Germany</v>
      </c>
    </row>
    <row r="92" spans="1:23" x14ac:dyDescent="0.25">
      <c r="A92" t="s">
        <v>183</v>
      </c>
      <c r="B92" t="s">
        <v>40</v>
      </c>
      <c r="C92" t="s">
        <v>14</v>
      </c>
      <c r="D92" t="s">
        <v>26</v>
      </c>
      <c r="E92" t="s">
        <v>31</v>
      </c>
      <c r="F92" s="1">
        <v>45671</v>
      </c>
      <c r="G92">
        <v>656.34</v>
      </c>
      <c r="H92">
        <v>5590.07</v>
      </c>
      <c r="I92" t="str">
        <f t="shared" si="15"/>
        <v>Mumbai</v>
      </c>
      <c r="J92" t="str">
        <f t="shared" si="16"/>
        <v>Mumbai</v>
      </c>
      <c r="K92" t="str">
        <f t="shared" si="17"/>
        <v>Charge Point</v>
      </c>
      <c r="L92" s="4" t="str">
        <f t="shared" si="18"/>
        <v>Charge Point</v>
      </c>
      <c r="M92" s="4" t="str">
        <f t="shared" si="19"/>
        <v>Chademo</v>
      </c>
      <c r="N92" s="4" t="str">
        <f t="shared" si="20"/>
        <v>Chademo</v>
      </c>
      <c r="O92" s="4" t="str">
        <f t="shared" si="21"/>
        <v>Maintenance</v>
      </c>
      <c r="P92" s="4" t="str">
        <f t="shared" si="22"/>
        <v>Maintenance</v>
      </c>
      <c r="Q92" s="4" t="str">
        <f t="shared" si="23"/>
        <v>Mumbai</v>
      </c>
      <c r="R92" s="4" t="b">
        <f t="shared" si="24"/>
        <v>1</v>
      </c>
      <c r="S92" s="5" t="str">
        <f t="shared" si="25"/>
        <v>45671</v>
      </c>
      <c r="T92" s="4" t="str">
        <f t="shared" si="26"/>
        <v>Private</v>
      </c>
      <c r="U92" s="4" t="str">
        <f t="shared" si="27"/>
        <v>fast</v>
      </c>
      <c r="V92" s="4">
        <f t="shared" si="28"/>
        <v>2025</v>
      </c>
      <c r="W92" s="4" t="str">
        <f t="shared" si="29"/>
        <v>Japan</v>
      </c>
    </row>
    <row r="93" spans="1:23" x14ac:dyDescent="0.25">
      <c r="A93" t="s">
        <v>185</v>
      </c>
      <c r="B93" t="s">
        <v>30</v>
      </c>
      <c r="C93" t="s">
        <v>14</v>
      </c>
      <c r="D93" t="s">
        <v>56</v>
      </c>
      <c r="E93" t="s">
        <v>15</v>
      </c>
      <c r="F93" s="1">
        <v>45655</v>
      </c>
      <c r="G93">
        <v>132.99</v>
      </c>
      <c r="H93">
        <v>1943.87</v>
      </c>
      <c r="I93" t="str">
        <f t="shared" si="15"/>
        <v>Hyderabad</v>
      </c>
      <c r="J93" t="str">
        <f t="shared" si="16"/>
        <v>Hyderabad</v>
      </c>
      <c r="K93" t="str">
        <f t="shared" si="17"/>
        <v>Charge Point</v>
      </c>
      <c r="L93" s="4" t="str">
        <f t="shared" si="18"/>
        <v>Charge Point</v>
      </c>
      <c r="M93" s="4" t="str">
        <f t="shared" si="19"/>
        <v>Ccs2</v>
      </c>
      <c r="N93" s="4" t="str">
        <f t="shared" si="20"/>
        <v>Ccs2</v>
      </c>
      <c r="O93" s="4" t="str">
        <f t="shared" si="21"/>
        <v>Decommissioned</v>
      </c>
      <c r="P93" s="4" t="str">
        <f t="shared" si="22"/>
        <v>Decommissioned</v>
      </c>
      <c r="Q93" s="4" t="str">
        <f t="shared" si="23"/>
        <v>Hyderabad</v>
      </c>
      <c r="R93" s="4" t="b">
        <f t="shared" si="24"/>
        <v>1</v>
      </c>
      <c r="S93" s="5" t="str">
        <f t="shared" si="25"/>
        <v>45655</v>
      </c>
      <c r="T93" s="4" t="str">
        <f t="shared" si="26"/>
        <v>Private</v>
      </c>
      <c r="U93" s="4" t="str">
        <f t="shared" si="27"/>
        <v>Ultra Fast</v>
      </c>
      <c r="V93" s="4">
        <f t="shared" si="28"/>
        <v>2024</v>
      </c>
      <c r="W93" s="4" t="str">
        <f t="shared" si="29"/>
        <v>Europe</v>
      </c>
    </row>
    <row r="94" spans="1:23" x14ac:dyDescent="0.25">
      <c r="A94" t="s">
        <v>187</v>
      </c>
      <c r="B94" t="s">
        <v>66</v>
      </c>
      <c r="C94" t="s">
        <v>41</v>
      </c>
      <c r="D94" t="s">
        <v>56</v>
      </c>
      <c r="E94" t="s">
        <v>24</v>
      </c>
      <c r="F94" s="1">
        <v>45506</v>
      </c>
      <c r="G94">
        <v>4860.17</v>
      </c>
      <c r="H94">
        <v>72482.45</v>
      </c>
      <c r="I94" t="str">
        <f t="shared" si="15"/>
        <v>Pune</v>
      </c>
      <c r="J94" t="str">
        <f t="shared" si="16"/>
        <v>Pune</v>
      </c>
      <c r="K94" t="str">
        <f t="shared" si="17"/>
        <v>Ather Grid</v>
      </c>
      <c r="L94" s="4" t="str">
        <f t="shared" si="18"/>
        <v>Ather Grid</v>
      </c>
      <c r="M94" s="4" t="str">
        <f t="shared" si="19"/>
        <v>Ccs2</v>
      </c>
      <c r="N94" s="4" t="str">
        <f t="shared" si="20"/>
        <v>Ccs2</v>
      </c>
      <c r="O94" s="4" t="str">
        <f t="shared" si="21"/>
        <v>Active</v>
      </c>
      <c r="P94" s="4" t="str">
        <f t="shared" si="22"/>
        <v>Active</v>
      </c>
      <c r="Q94" s="4" t="str">
        <f t="shared" si="23"/>
        <v>Pune</v>
      </c>
      <c r="R94" s="4" t="b">
        <f t="shared" si="24"/>
        <v>1</v>
      </c>
      <c r="S94" s="5" t="str">
        <f t="shared" si="25"/>
        <v>45506</v>
      </c>
      <c r="T94" s="4" t="str">
        <f t="shared" si="26"/>
        <v>Private</v>
      </c>
      <c r="U94" s="4" t="str">
        <f t="shared" si="27"/>
        <v>Ultra Fast</v>
      </c>
      <c r="V94" s="4">
        <f t="shared" si="28"/>
        <v>2024</v>
      </c>
      <c r="W94" s="4" t="str">
        <f t="shared" si="29"/>
        <v>Europe</v>
      </c>
    </row>
    <row r="95" spans="1:23" x14ac:dyDescent="0.25">
      <c r="A95" t="s">
        <v>188</v>
      </c>
      <c r="B95" t="s">
        <v>35</v>
      </c>
      <c r="C95" t="s">
        <v>783</v>
      </c>
      <c r="D95" t="s">
        <v>26</v>
      </c>
      <c r="E95" t="s">
        <v>24</v>
      </c>
      <c r="F95" s="1">
        <v>45978</v>
      </c>
      <c r="G95">
        <v>9103.5499999999993</v>
      </c>
      <c r="H95">
        <v>91891.96</v>
      </c>
      <c r="I95" t="str">
        <f t="shared" si="15"/>
        <v>Chennai</v>
      </c>
      <c r="J95" t="str">
        <f t="shared" si="16"/>
        <v>Chennai</v>
      </c>
      <c r="K95" t="str">
        <f t="shared" si="17"/>
        <v>Tata Power</v>
      </c>
      <c r="L95" s="4" t="str">
        <f t="shared" si="18"/>
        <v>Tata Power</v>
      </c>
      <c r="M95" s="4" t="str">
        <f t="shared" si="19"/>
        <v>Chademo</v>
      </c>
      <c r="N95" s="4" t="str">
        <f t="shared" si="20"/>
        <v>Chademo</v>
      </c>
      <c r="O95" s="4" t="str">
        <f t="shared" si="21"/>
        <v>Active</v>
      </c>
      <c r="P95" s="4" t="str">
        <f t="shared" si="22"/>
        <v>Active</v>
      </c>
      <c r="Q95" s="4" t="str">
        <f t="shared" si="23"/>
        <v>Chennai</v>
      </c>
      <c r="R95" s="4" t="b">
        <f t="shared" si="24"/>
        <v>1</v>
      </c>
      <c r="S95" s="5" t="str">
        <f t="shared" si="25"/>
        <v>45978</v>
      </c>
      <c r="T95" s="4" t="str">
        <f t="shared" si="26"/>
        <v>Government</v>
      </c>
      <c r="U95" s="4" t="str">
        <f t="shared" si="27"/>
        <v>fast</v>
      </c>
      <c r="V95" s="4">
        <f t="shared" si="28"/>
        <v>2025</v>
      </c>
      <c r="W95" s="4" t="str">
        <f t="shared" si="29"/>
        <v>Japan</v>
      </c>
    </row>
    <row r="96" spans="1:23" x14ac:dyDescent="0.25">
      <c r="A96" t="s">
        <v>190</v>
      </c>
      <c r="B96" t="s">
        <v>66</v>
      </c>
      <c r="C96" t="s">
        <v>53</v>
      </c>
      <c r="D96" t="s">
        <v>56</v>
      </c>
      <c r="E96" t="s">
        <v>24</v>
      </c>
      <c r="F96" s="1">
        <v>45565</v>
      </c>
      <c r="G96">
        <v>2501.31</v>
      </c>
      <c r="H96">
        <v>36854.81</v>
      </c>
      <c r="I96" t="str">
        <f t="shared" si="15"/>
        <v>Pune</v>
      </c>
      <c r="J96" t="str">
        <f t="shared" si="16"/>
        <v>Pune</v>
      </c>
      <c r="K96" t="str">
        <f t="shared" si="17"/>
        <v>Bpcl</v>
      </c>
      <c r="L96" s="4" t="str">
        <f t="shared" si="18"/>
        <v>Bpcl</v>
      </c>
      <c r="M96" s="4" t="str">
        <f t="shared" si="19"/>
        <v>Ccs2</v>
      </c>
      <c r="N96" s="4" t="str">
        <f t="shared" si="20"/>
        <v>Ccs2</v>
      </c>
      <c r="O96" s="4" t="str">
        <f t="shared" si="21"/>
        <v>Active</v>
      </c>
      <c r="P96" s="4" t="str">
        <f t="shared" si="22"/>
        <v>Active</v>
      </c>
      <c r="Q96" s="4" t="str">
        <f t="shared" si="23"/>
        <v>Pune</v>
      </c>
      <c r="R96" s="4" t="b">
        <f t="shared" si="24"/>
        <v>1</v>
      </c>
      <c r="S96" s="5" t="str">
        <f t="shared" si="25"/>
        <v>45565</v>
      </c>
      <c r="T96" s="4" t="str">
        <f t="shared" si="26"/>
        <v>Government</v>
      </c>
      <c r="U96" s="4" t="str">
        <f t="shared" si="27"/>
        <v>Ultra Fast</v>
      </c>
      <c r="V96" s="4">
        <f t="shared" si="28"/>
        <v>2024</v>
      </c>
      <c r="W96" s="4" t="str">
        <f t="shared" si="29"/>
        <v>Europe</v>
      </c>
    </row>
    <row r="97" spans="1:23" x14ac:dyDescent="0.25">
      <c r="A97" t="s">
        <v>192</v>
      </c>
      <c r="B97" t="s">
        <v>13</v>
      </c>
      <c r="C97" t="s">
        <v>14</v>
      </c>
      <c r="D97" t="s">
        <v>48</v>
      </c>
      <c r="E97" t="s">
        <v>24</v>
      </c>
      <c r="F97" s="1">
        <v>46010</v>
      </c>
      <c r="G97">
        <v>7044.71</v>
      </c>
      <c r="H97">
        <v>90399.09</v>
      </c>
      <c r="I97" t="str">
        <f t="shared" si="15"/>
        <v>Bengaluru</v>
      </c>
      <c r="J97" t="str">
        <f t="shared" si="16"/>
        <v>Bengaluru</v>
      </c>
      <c r="K97" t="str">
        <f t="shared" si="17"/>
        <v>Charge Point</v>
      </c>
      <c r="L97" s="4" t="str">
        <f t="shared" si="18"/>
        <v>Charge Point</v>
      </c>
      <c r="M97" s="4" t="str">
        <f t="shared" si="19"/>
        <v>Bharat Dc-001</v>
      </c>
      <c r="N97" s="4" t="str">
        <f t="shared" si="20"/>
        <v>Bharat Dc-001</v>
      </c>
      <c r="O97" s="4" t="str">
        <f t="shared" si="21"/>
        <v>Active</v>
      </c>
      <c r="P97" s="4" t="str">
        <f t="shared" si="22"/>
        <v>Active</v>
      </c>
      <c r="Q97" s="4" t="str">
        <f t="shared" si="23"/>
        <v>Bengaluru</v>
      </c>
      <c r="R97" s="4" t="b">
        <f t="shared" si="24"/>
        <v>1</v>
      </c>
      <c r="S97" s="5" t="str">
        <f t="shared" si="25"/>
        <v>46010</v>
      </c>
      <c r="T97" s="4" t="str">
        <f t="shared" si="26"/>
        <v>Private</v>
      </c>
      <c r="U97" s="4" t="str">
        <f t="shared" si="27"/>
        <v>fast</v>
      </c>
      <c r="V97" s="4">
        <f t="shared" si="28"/>
        <v>2025</v>
      </c>
      <c r="W97" s="4" t="str">
        <f t="shared" si="29"/>
        <v>India</v>
      </c>
    </row>
    <row r="98" spans="1:23" x14ac:dyDescent="0.25">
      <c r="A98" t="s">
        <v>193</v>
      </c>
      <c r="B98" t="s">
        <v>35</v>
      </c>
      <c r="C98" t="s">
        <v>36</v>
      </c>
      <c r="D98" t="s">
        <v>26</v>
      </c>
      <c r="E98" t="s">
        <v>24</v>
      </c>
      <c r="F98" s="1">
        <v>45991</v>
      </c>
      <c r="H98">
        <v>57891.32</v>
      </c>
      <c r="I98" t="str">
        <f t="shared" si="15"/>
        <v>Chennai</v>
      </c>
      <c r="J98" t="str">
        <f t="shared" si="16"/>
        <v>Chennai</v>
      </c>
      <c r="K98" t="str">
        <f t="shared" si="17"/>
        <v>Zeon Charging</v>
      </c>
      <c r="L98" s="4" t="str">
        <f t="shared" si="18"/>
        <v>Zeon Charging</v>
      </c>
      <c r="M98" s="4" t="str">
        <f t="shared" si="19"/>
        <v>Chademo</v>
      </c>
      <c r="N98" s="4" t="str">
        <f t="shared" si="20"/>
        <v>Chademo</v>
      </c>
      <c r="O98" s="4" t="str">
        <f t="shared" si="21"/>
        <v>Active</v>
      </c>
      <c r="P98" s="4" t="str">
        <f t="shared" si="22"/>
        <v>Active</v>
      </c>
      <c r="Q98" s="4" t="str">
        <f t="shared" si="23"/>
        <v>Chennai</v>
      </c>
      <c r="R98" s="4" t="b">
        <f t="shared" si="24"/>
        <v>1</v>
      </c>
      <c r="S98" s="5" t="str">
        <f t="shared" si="25"/>
        <v>45991</v>
      </c>
      <c r="T98" s="4" t="str">
        <f t="shared" si="26"/>
        <v>Private</v>
      </c>
      <c r="U98" s="4" t="str">
        <f t="shared" si="27"/>
        <v>fast</v>
      </c>
      <c r="V98" s="4">
        <f t="shared" si="28"/>
        <v>2025</v>
      </c>
      <c r="W98" s="4" t="str">
        <f t="shared" si="29"/>
        <v>Japan</v>
      </c>
    </row>
    <row r="99" spans="1:23" x14ac:dyDescent="0.25">
      <c r="A99" t="s">
        <v>195</v>
      </c>
      <c r="B99" t="s">
        <v>13</v>
      </c>
      <c r="C99" t="s">
        <v>36</v>
      </c>
      <c r="D99" t="s">
        <v>26</v>
      </c>
      <c r="E99" t="s">
        <v>24</v>
      </c>
      <c r="F99" s="1">
        <v>45955</v>
      </c>
      <c r="G99">
        <v>10087.84</v>
      </c>
      <c r="H99">
        <v>102037.01</v>
      </c>
      <c r="I99" t="str">
        <f t="shared" si="15"/>
        <v>Bengaluru</v>
      </c>
      <c r="J99" t="str">
        <f t="shared" si="16"/>
        <v>Bengaluru</v>
      </c>
      <c r="K99" t="str">
        <f t="shared" si="17"/>
        <v>Zeon Charging</v>
      </c>
      <c r="L99" s="4" t="str">
        <f t="shared" si="18"/>
        <v>Zeon Charging</v>
      </c>
      <c r="M99" s="4" t="str">
        <f t="shared" si="19"/>
        <v>Chademo</v>
      </c>
      <c r="N99" s="4" t="str">
        <f t="shared" si="20"/>
        <v>Chademo</v>
      </c>
      <c r="O99" s="4" t="str">
        <f t="shared" si="21"/>
        <v>Active</v>
      </c>
      <c r="P99" s="4" t="str">
        <f t="shared" si="22"/>
        <v>Active</v>
      </c>
      <c r="Q99" s="4" t="str">
        <f t="shared" si="23"/>
        <v>Bengaluru</v>
      </c>
      <c r="R99" s="4" t="b">
        <f t="shared" si="24"/>
        <v>1</v>
      </c>
      <c r="S99" s="5" t="str">
        <f t="shared" si="25"/>
        <v>45955</v>
      </c>
      <c r="T99" s="4" t="str">
        <f t="shared" si="26"/>
        <v>Private</v>
      </c>
      <c r="U99" s="4" t="str">
        <f t="shared" si="27"/>
        <v>fast</v>
      </c>
      <c r="V99" s="4">
        <f t="shared" si="28"/>
        <v>2025</v>
      </c>
      <c r="W99" s="4" t="str">
        <f t="shared" si="29"/>
        <v>Japan</v>
      </c>
    </row>
    <row r="100" spans="1:23" x14ac:dyDescent="0.25">
      <c r="A100" t="s">
        <v>197</v>
      </c>
      <c r="B100" t="s">
        <v>40</v>
      </c>
      <c r="C100" t="s">
        <v>41</v>
      </c>
      <c r="D100" t="s">
        <v>26</v>
      </c>
      <c r="E100" t="s">
        <v>24</v>
      </c>
      <c r="F100" s="1">
        <v>45365</v>
      </c>
      <c r="G100">
        <v>3994.56</v>
      </c>
      <c r="H100">
        <v>59900.88</v>
      </c>
      <c r="I100" t="str">
        <f t="shared" si="15"/>
        <v>Mumbai</v>
      </c>
      <c r="J100" t="str">
        <f t="shared" si="16"/>
        <v>Mumbai</v>
      </c>
      <c r="K100" t="str">
        <f t="shared" si="17"/>
        <v>Ather Grid</v>
      </c>
      <c r="L100" s="4" t="str">
        <f t="shared" si="18"/>
        <v>Ather Grid</v>
      </c>
      <c r="M100" s="4" t="str">
        <f t="shared" si="19"/>
        <v>Chademo</v>
      </c>
      <c r="N100" s="4" t="str">
        <f t="shared" si="20"/>
        <v>Chademo</v>
      </c>
      <c r="O100" s="4" t="str">
        <f t="shared" si="21"/>
        <v>Active</v>
      </c>
      <c r="P100" s="4" t="str">
        <f t="shared" si="22"/>
        <v>Active</v>
      </c>
      <c r="Q100" s="4" t="str">
        <f t="shared" si="23"/>
        <v>Mumbai</v>
      </c>
      <c r="R100" s="4" t="b">
        <f t="shared" si="24"/>
        <v>1</v>
      </c>
      <c r="S100" s="5" t="str">
        <f t="shared" si="25"/>
        <v>45365</v>
      </c>
      <c r="T100" s="4" t="str">
        <f t="shared" si="26"/>
        <v>Private</v>
      </c>
      <c r="U100" s="4" t="str">
        <f t="shared" si="27"/>
        <v>fast</v>
      </c>
      <c r="V100" s="4">
        <f t="shared" si="28"/>
        <v>2024</v>
      </c>
      <c r="W100" s="4" t="str">
        <f t="shared" si="29"/>
        <v>Japan</v>
      </c>
    </row>
    <row r="101" spans="1:23" x14ac:dyDescent="0.25">
      <c r="A101" t="s">
        <v>199</v>
      </c>
      <c r="B101" t="s">
        <v>40</v>
      </c>
      <c r="C101" t="s">
        <v>63</v>
      </c>
      <c r="D101" t="s">
        <v>48</v>
      </c>
      <c r="E101" t="s">
        <v>24</v>
      </c>
      <c r="F101" s="1">
        <v>45915</v>
      </c>
      <c r="G101">
        <v>2917.1</v>
      </c>
      <c r="H101">
        <v>40761.65</v>
      </c>
      <c r="I101" t="str">
        <f t="shared" si="15"/>
        <v>Mumbai</v>
      </c>
      <c r="J101" t="str">
        <f t="shared" si="16"/>
        <v>Mumbai</v>
      </c>
      <c r="K101" t="str">
        <f t="shared" si="17"/>
        <v>Tata Power</v>
      </c>
      <c r="L101" s="4" t="str">
        <f t="shared" si="18"/>
        <v>Tata Power</v>
      </c>
      <c r="M101" s="4" t="str">
        <f t="shared" si="19"/>
        <v>Bharat Dc-001</v>
      </c>
      <c r="N101" s="4" t="str">
        <f t="shared" si="20"/>
        <v>Bharat Dc-001</v>
      </c>
      <c r="O101" s="4" t="str">
        <f t="shared" si="21"/>
        <v>Active</v>
      </c>
      <c r="P101" s="4" t="str">
        <f t="shared" si="22"/>
        <v>Active</v>
      </c>
      <c r="Q101" s="4" t="str">
        <f t="shared" si="23"/>
        <v>Mumbai</v>
      </c>
      <c r="R101" s="4" t="b">
        <f t="shared" si="24"/>
        <v>1</v>
      </c>
      <c r="S101" s="5" t="str">
        <f t="shared" si="25"/>
        <v>45915</v>
      </c>
      <c r="T101" s="4" t="str">
        <f t="shared" si="26"/>
        <v>Government</v>
      </c>
      <c r="U101" s="4" t="str">
        <f t="shared" si="27"/>
        <v>fast</v>
      </c>
      <c r="V101" s="4">
        <f t="shared" si="28"/>
        <v>2025</v>
      </c>
      <c r="W101" s="4" t="str">
        <f t="shared" si="29"/>
        <v>India</v>
      </c>
    </row>
    <row r="102" spans="1:23" x14ac:dyDescent="0.25">
      <c r="A102" t="s">
        <v>201</v>
      </c>
      <c r="B102" t="s">
        <v>40</v>
      </c>
      <c r="C102" t="s">
        <v>14</v>
      </c>
      <c r="D102" t="s">
        <v>26</v>
      </c>
      <c r="E102" t="s">
        <v>24</v>
      </c>
      <c r="F102" s="1">
        <v>45942</v>
      </c>
      <c r="G102">
        <v>9536.23</v>
      </c>
      <c r="H102">
        <v>83409.33</v>
      </c>
      <c r="I102" t="str">
        <f t="shared" si="15"/>
        <v>Mumbai</v>
      </c>
      <c r="J102" t="str">
        <f t="shared" si="16"/>
        <v>Mumbai</v>
      </c>
      <c r="K102" t="str">
        <f t="shared" si="17"/>
        <v>Charge Point</v>
      </c>
      <c r="L102" s="4" t="str">
        <f t="shared" si="18"/>
        <v>Charge Point</v>
      </c>
      <c r="M102" s="4" t="str">
        <f t="shared" si="19"/>
        <v>Chademo</v>
      </c>
      <c r="N102" s="4" t="str">
        <f t="shared" si="20"/>
        <v>Chademo</v>
      </c>
      <c r="O102" s="4" t="str">
        <f t="shared" si="21"/>
        <v>Active</v>
      </c>
      <c r="P102" s="4" t="str">
        <f t="shared" si="22"/>
        <v>Active</v>
      </c>
      <c r="Q102" s="4" t="str">
        <f t="shared" si="23"/>
        <v>Mumbai</v>
      </c>
      <c r="R102" s="4" t="b">
        <f t="shared" si="24"/>
        <v>1</v>
      </c>
      <c r="S102" s="5" t="str">
        <f t="shared" si="25"/>
        <v>45942</v>
      </c>
      <c r="T102" s="4" t="str">
        <f t="shared" si="26"/>
        <v>Private</v>
      </c>
      <c r="U102" s="4" t="str">
        <f t="shared" si="27"/>
        <v>fast</v>
      </c>
      <c r="V102" s="4">
        <f t="shared" si="28"/>
        <v>2025</v>
      </c>
      <c r="W102" s="4" t="str">
        <f t="shared" si="29"/>
        <v>Japan</v>
      </c>
    </row>
    <row r="103" spans="1:23" x14ac:dyDescent="0.25">
      <c r="A103" t="s">
        <v>202</v>
      </c>
      <c r="B103" t="s">
        <v>30</v>
      </c>
      <c r="C103" t="s">
        <v>63</v>
      </c>
      <c r="D103" t="s">
        <v>48</v>
      </c>
      <c r="E103" t="s">
        <v>54</v>
      </c>
      <c r="F103" s="1">
        <v>45467</v>
      </c>
      <c r="G103">
        <v>303.33</v>
      </c>
      <c r="H103">
        <v>3236.39</v>
      </c>
      <c r="I103" t="str">
        <f t="shared" si="15"/>
        <v>Hyderabad</v>
      </c>
      <c r="J103" t="str">
        <f t="shared" si="16"/>
        <v>Hyderabad</v>
      </c>
      <c r="K103" t="str">
        <f t="shared" si="17"/>
        <v>Tata Power</v>
      </c>
      <c r="L103" s="4" t="str">
        <f t="shared" si="18"/>
        <v>Tata Power</v>
      </c>
      <c r="M103" s="4" t="str">
        <f t="shared" si="19"/>
        <v>Bharat Dc-001</v>
      </c>
      <c r="N103" s="4" t="str">
        <f t="shared" si="20"/>
        <v>Bharat Dc-001</v>
      </c>
      <c r="O103" s="4" t="str">
        <f t="shared" si="21"/>
        <v>Inactive</v>
      </c>
      <c r="P103" s="4" t="str">
        <f t="shared" si="22"/>
        <v>Inactive</v>
      </c>
      <c r="Q103" s="4" t="str">
        <f t="shared" si="23"/>
        <v>Hyderabad</v>
      </c>
      <c r="R103" s="4" t="b">
        <f t="shared" si="24"/>
        <v>1</v>
      </c>
      <c r="S103" s="5" t="str">
        <f t="shared" si="25"/>
        <v>45467</v>
      </c>
      <c r="T103" s="4" t="str">
        <f t="shared" si="26"/>
        <v>Government</v>
      </c>
      <c r="U103" s="4" t="str">
        <f t="shared" si="27"/>
        <v>fast</v>
      </c>
      <c r="V103" s="4">
        <f t="shared" si="28"/>
        <v>2024</v>
      </c>
      <c r="W103" s="4" t="str">
        <f t="shared" si="29"/>
        <v>India</v>
      </c>
    </row>
    <row r="104" spans="1:23" x14ac:dyDescent="0.25">
      <c r="A104" t="s">
        <v>204</v>
      </c>
      <c r="B104" t="s">
        <v>70</v>
      </c>
      <c r="C104" t="s">
        <v>14</v>
      </c>
      <c r="D104" t="s">
        <v>26</v>
      </c>
      <c r="E104" t="s">
        <v>24</v>
      </c>
      <c r="F104" s="1">
        <v>45838</v>
      </c>
      <c r="G104">
        <v>4205.87</v>
      </c>
      <c r="H104">
        <v>44215.11</v>
      </c>
      <c r="I104" t="str">
        <f t="shared" si="15"/>
        <v>Delhi</v>
      </c>
      <c r="J104" t="str">
        <f t="shared" si="16"/>
        <v>Delhi</v>
      </c>
      <c r="K104" t="str">
        <f t="shared" si="17"/>
        <v>Charge Point</v>
      </c>
      <c r="L104" s="4" t="str">
        <f t="shared" si="18"/>
        <v>Charge Point</v>
      </c>
      <c r="M104" s="4" t="str">
        <f t="shared" si="19"/>
        <v>Chademo</v>
      </c>
      <c r="N104" s="4" t="str">
        <f t="shared" si="20"/>
        <v>Chademo</v>
      </c>
      <c r="O104" s="4" t="str">
        <f t="shared" si="21"/>
        <v>Active</v>
      </c>
      <c r="P104" s="4" t="str">
        <f t="shared" si="22"/>
        <v>Active</v>
      </c>
      <c r="Q104" s="4" t="str">
        <f t="shared" si="23"/>
        <v>Delhi</v>
      </c>
      <c r="R104" s="4" t="b">
        <f t="shared" si="24"/>
        <v>1</v>
      </c>
      <c r="S104" s="5" t="str">
        <f t="shared" si="25"/>
        <v>45838</v>
      </c>
      <c r="T104" s="4" t="str">
        <f t="shared" si="26"/>
        <v>Private</v>
      </c>
      <c r="U104" s="4" t="str">
        <f t="shared" si="27"/>
        <v>fast</v>
      </c>
      <c r="V104" s="4">
        <f t="shared" si="28"/>
        <v>2025</v>
      </c>
      <c r="W104" s="4" t="str">
        <f t="shared" si="29"/>
        <v>Japan</v>
      </c>
    </row>
    <row r="105" spans="1:23" x14ac:dyDescent="0.25">
      <c r="A105" t="s">
        <v>206</v>
      </c>
      <c r="B105" t="s">
        <v>13</v>
      </c>
      <c r="C105" t="s">
        <v>41</v>
      </c>
      <c r="D105" t="s">
        <v>17</v>
      </c>
      <c r="E105" t="s">
        <v>24</v>
      </c>
      <c r="F105" s="1">
        <v>46038</v>
      </c>
      <c r="G105">
        <v>5580.54</v>
      </c>
      <c r="H105">
        <v>56202.21</v>
      </c>
      <c r="I105" t="str">
        <f t="shared" si="15"/>
        <v>Bengaluru</v>
      </c>
      <c r="J105" t="str">
        <f t="shared" si="16"/>
        <v>Bengaluru</v>
      </c>
      <c r="K105" t="str">
        <f t="shared" si="17"/>
        <v>Ather Grid</v>
      </c>
      <c r="L105" s="4" t="str">
        <f t="shared" si="18"/>
        <v>Ather Grid</v>
      </c>
      <c r="M105" s="4" t="str">
        <f t="shared" si="19"/>
        <v>Type2 Ac</v>
      </c>
      <c r="N105" s="4" t="str">
        <f t="shared" si="20"/>
        <v>Type2 Ac</v>
      </c>
      <c r="O105" s="4" t="str">
        <f t="shared" si="21"/>
        <v>Active</v>
      </c>
      <c r="P105" s="4" t="str">
        <f t="shared" si="22"/>
        <v>Active</v>
      </c>
      <c r="Q105" s="4" t="str">
        <f t="shared" si="23"/>
        <v>Bengaluru</v>
      </c>
      <c r="R105" s="4" t="b">
        <f t="shared" si="24"/>
        <v>1</v>
      </c>
      <c r="S105" s="5" t="str">
        <f t="shared" si="25"/>
        <v>46038</v>
      </c>
      <c r="T105" s="4" t="str">
        <f t="shared" si="26"/>
        <v>Private</v>
      </c>
      <c r="U105" s="4" t="str">
        <f t="shared" si="27"/>
        <v>Slow</v>
      </c>
      <c r="V105" s="4">
        <f t="shared" si="28"/>
        <v>2026</v>
      </c>
      <c r="W105" s="4" t="str">
        <f t="shared" si="29"/>
        <v>Germany</v>
      </c>
    </row>
    <row r="106" spans="1:23" x14ac:dyDescent="0.25">
      <c r="A106" t="s">
        <v>208</v>
      </c>
      <c r="D106" t="s">
        <v>56</v>
      </c>
      <c r="E106" t="s">
        <v>24</v>
      </c>
      <c r="F106" s="1">
        <v>45542</v>
      </c>
      <c r="G106">
        <v>8269.7099999999991</v>
      </c>
      <c r="H106">
        <v>106637.53</v>
      </c>
      <c r="I106" t="str">
        <f t="shared" si="15"/>
        <v/>
      </c>
      <c r="J106" t="str">
        <f t="shared" si="16"/>
        <v/>
      </c>
      <c r="K106" t="str">
        <f t="shared" si="17"/>
        <v/>
      </c>
      <c r="L106" s="4" t="str">
        <f t="shared" si="18"/>
        <v/>
      </c>
      <c r="M106" s="4" t="str">
        <f t="shared" si="19"/>
        <v>Ccs2</v>
      </c>
      <c r="N106" s="4" t="str">
        <f t="shared" si="20"/>
        <v>Ccs2</v>
      </c>
      <c r="O106" s="4" t="str">
        <f t="shared" si="21"/>
        <v>Active</v>
      </c>
      <c r="P106" s="4" t="str">
        <f t="shared" si="22"/>
        <v>Active</v>
      </c>
      <c r="Q106" s="4" t="str">
        <f t="shared" si="23"/>
        <v/>
      </c>
      <c r="R106" s="4" t="b">
        <f t="shared" si="24"/>
        <v>1</v>
      </c>
      <c r="S106" s="5" t="str">
        <f t="shared" si="25"/>
        <v>45542</v>
      </c>
      <c r="T106" s="4" t="str">
        <f t="shared" si="26"/>
        <v>Private</v>
      </c>
      <c r="U106" s="4" t="str">
        <f t="shared" si="27"/>
        <v>Ultra Fast</v>
      </c>
      <c r="V106" s="4">
        <f t="shared" si="28"/>
        <v>2024</v>
      </c>
      <c r="W106" s="4" t="str">
        <f t="shared" si="29"/>
        <v>Europe</v>
      </c>
    </row>
    <row r="107" spans="1:23" x14ac:dyDescent="0.25">
      <c r="A107" t="s">
        <v>209</v>
      </c>
      <c r="B107" t="s">
        <v>70</v>
      </c>
      <c r="C107" t="s">
        <v>774</v>
      </c>
      <c r="D107" t="s">
        <v>17</v>
      </c>
      <c r="E107" t="s">
        <v>15</v>
      </c>
      <c r="F107" s="1">
        <v>45459</v>
      </c>
      <c r="G107">
        <v>102.23</v>
      </c>
      <c r="H107">
        <v>833.54</v>
      </c>
      <c r="I107" t="str">
        <f t="shared" si="15"/>
        <v>Delhi</v>
      </c>
      <c r="J107" t="str">
        <f t="shared" si="16"/>
        <v>Delhi</v>
      </c>
      <c r="K107" t="str">
        <f t="shared" si="17"/>
        <v>Zeon Charging</v>
      </c>
      <c r="L107" s="4" t="str">
        <f t="shared" si="18"/>
        <v>Zeon Charging</v>
      </c>
      <c r="M107" s="4" t="str">
        <f t="shared" si="19"/>
        <v>Type2 Ac</v>
      </c>
      <c r="N107" s="4" t="str">
        <f t="shared" si="20"/>
        <v>Type2 Ac</v>
      </c>
      <c r="O107" s="4" t="str">
        <f t="shared" si="21"/>
        <v>Decommissioned</v>
      </c>
      <c r="P107" s="4" t="str">
        <f t="shared" si="22"/>
        <v>Decommissioned</v>
      </c>
      <c r="Q107" s="4" t="str">
        <f t="shared" si="23"/>
        <v>Delhi</v>
      </c>
      <c r="R107" s="4" t="b">
        <f t="shared" si="24"/>
        <v>1</v>
      </c>
      <c r="S107" s="5" t="str">
        <f t="shared" si="25"/>
        <v>45459</v>
      </c>
      <c r="T107" s="4" t="str">
        <f t="shared" si="26"/>
        <v>Private</v>
      </c>
      <c r="U107" s="4" t="str">
        <f t="shared" si="27"/>
        <v>Slow</v>
      </c>
      <c r="V107" s="4">
        <f t="shared" si="28"/>
        <v>2024</v>
      </c>
      <c r="W107" s="4" t="str">
        <f t="shared" si="29"/>
        <v>Germany</v>
      </c>
    </row>
    <row r="108" spans="1:23" x14ac:dyDescent="0.25">
      <c r="A108" t="s">
        <v>211</v>
      </c>
      <c r="B108" t="s">
        <v>13</v>
      </c>
      <c r="C108" t="s">
        <v>63</v>
      </c>
      <c r="D108" t="s">
        <v>56</v>
      </c>
      <c r="E108" t="s">
        <v>24</v>
      </c>
      <c r="F108" s="1">
        <v>45765</v>
      </c>
      <c r="G108">
        <v>9627.9599999999991</v>
      </c>
      <c r="H108">
        <v>132964.66</v>
      </c>
      <c r="I108" t="str">
        <f t="shared" si="15"/>
        <v>Bengaluru</v>
      </c>
      <c r="J108" t="str">
        <f t="shared" si="16"/>
        <v>Bengaluru</v>
      </c>
      <c r="K108" t="str">
        <f t="shared" si="17"/>
        <v>Tata Power</v>
      </c>
      <c r="L108" s="4" t="str">
        <f t="shared" si="18"/>
        <v>Tata Power</v>
      </c>
      <c r="M108" s="4" t="str">
        <f t="shared" si="19"/>
        <v>Ccs2</v>
      </c>
      <c r="N108" s="4" t="str">
        <f t="shared" si="20"/>
        <v>Ccs2</v>
      </c>
      <c r="O108" s="4" t="str">
        <f t="shared" si="21"/>
        <v>Active</v>
      </c>
      <c r="P108" s="4" t="str">
        <f t="shared" si="22"/>
        <v>Active</v>
      </c>
      <c r="Q108" s="4" t="str">
        <f t="shared" si="23"/>
        <v>Bengaluru</v>
      </c>
      <c r="R108" s="4" t="b">
        <f t="shared" si="24"/>
        <v>1</v>
      </c>
      <c r="S108" s="5" t="str">
        <f t="shared" si="25"/>
        <v>45765</v>
      </c>
      <c r="T108" s="4" t="str">
        <f t="shared" si="26"/>
        <v>Government</v>
      </c>
      <c r="U108" s="4" t="str">
        <f t="shared" si="27"/>
        <v>Ultra Fast</v>
      </c>
      <c r="V108" s="4">
        <f t="shared" si="28"/>
        <v>2025</v>
      </c>
      <c r="W108" s="4" t="str">
        <f t="shared" si="29"/>
        <v>Europe</v>
      </c>
    </row>
    <row r="109" spans="1:23" x14ac:dyDescent="0.25">
      <c r="A109" t="s">
        <v>213</v>
      </c>
      <c r="B109" t="s">
        <v>66</v>
      </c>
      <c r="C109" t="s">
        <v>36</v>
      </c>
      <c r="D109" t="s">
        <v>48</v>
      </c>
      <c r="E109" t="s">
        <v>24</v>
      </c>
      <c r="F109" s="1">
        <v>45680</v>
      </c>
      <c r="G109">
        <v>11538.07</v>
      </c>
      <c r="H109">
        <v>124272.4</v>
      </c>
      <c r="I109" t="str">
        <f t="shared" si="15"/>
        <v>Pune</v>
      </c>
      <c r="J109" t="str">
        <f t="shared" si="16"/>
        <v>Pune</v>
      </c>
      <c r="K109" t="str">
        <f t="shared" si="17"/>
        <v>Zeon Charging</v>
      </c>
      <c r="L109" s="4" t="str">
        <f t="shared" si="18"/>
        <v>Zeon Charging</v>
      </c>
      <c r="M109" s="4" t="str">
        <f t="shared" si="19"/>
        <v>Bharat Dc-001</v>
      </c>
      <c r="N109" s="4" t="str">
        <f t="shared" si="20"/>
        <v>Bharat Dc-001</v>
      </c>
      <c r="O109" s="4" t="str">
        <f t="shared" si="21"/>
        <v>Active</v>
      </c>
      <c r="P109" s="4" t="str">
        <f t="shared" si="22"/>
        <v>Active</v>
      </c>
      <c r="Q109" s="4" t="str">
        <f t="shared" si="23"/>
        <v>Pune</v>
      </c>
      <c r="R109" s="4" t="b">
        <f t="shared" si="24"/>
        <v>1</v>
      </c>
      <c r="S109" s="5" t="str">
        <f t="shared" si="25"/>
        <v>45680</v>
      </c>
      <c r="T109" s="4" t="str">
        <f t="shared" si="26"/>
        <v>Private</v>
      </c>
      <c r="U109" s="4" t="str">
        <f t="shared" si="27"/>
        <v>fast</v>
      </c>
      <c r="V109" s="4">
        <f t="shared" si="28"/>
        <v>2025</v>
      </c>
      <c r="W109" s="4" t="str">
        <f t="shared" si="29"/>
        <v>India</v>
      </c>
    </row>
    <row r="110" spans="1:23" x14ac:dyDescent="0.25">
      <c r="A110" t="s">
        <v>215</v>
      </c>
      <c r="B110" t="s">
        <v>70</v>
      </c>
      <c r="C110" t="s">
        <v>63</v>
      </c>
      <c r="D110" t="s">
        <v>17</v>
      </c>
      <c r="E110" t="s">
        <v>54</v>
      </c>
      <c r="F110" s="1">
        <v>45568</v>
      </c>
      <c r="H110">
        <v>2964.7</v>
      </c>
      <c r="I110" t="str">
        <f t="shared" si="15"/>
        <v>Delhi</v>
      </c>
      <c r="J110" t="str">
        <f t="shared" si="16"/>
        <v>Delhi</v>
      </c>
      <c r="K110" t="str">
        <f t="shared" si="17"/>
        <v>Tata Power</v>
      </c>
      <c r="L110" s="4" t="str">
        <f t="shared" si="18"/>
        <v>Tata Power</v>
      </c>
      <c r="M110" s="4" t="str">
        <f t="shared" si="19"/>
        <v>Type2 Ac</v>
      </c>
      <c r="N110" s="4" t="str">
        <f t="shared" si="20"/>
        <v>Type2 Ac</v>
      </c>
      <c r="O110" s="4" t="str">
        <f t="shared" si="21"/>
        <v>Inactive</v>
      </c>
      <c r="P110" s="4" t="str">
        <f t="shared" si="22"/>
        <v>Inactive</v>
      </c>
      <c r="Q110" s="4" t="str">
        <f t="shared" si="23"/>
        <v>Delhi</v>
      </c>
      <c r="R110" s="4" t="b">
        <f t="shared" si="24"/>
        <v>1</v>
      </c>
      <c r="S110" s="5" t="str">
        <f t="shared" si="25"/>
        <v>45568</v>
      </c>
      <c r="T110" s="4" t="str">
        <f t="shared" si="26"/>
        <v>Government</v>
      </c>
      <c r="U110" s="4" t="str">
        <f t="shared" si="27"/>
        <v>Slow</v>
      </c>
      <c r="V110" s="4">
        <f t="shared" si="28"/>
        <v>2024</v>
      </c>
      <c r="W110" s="4" t="str">
        <f t="shared" si="29"/>
        <v>Germany</v>
      </c>
    </row>
    <row r="111" spans="1:23" x14ac:dyDescent="0.25">
      <c r="A111" t="s">
        <v>216</v>
      </c>
      <c r="B111" t="s">
        <v>40</v>
      </c>
      <c r="C111" t="s">
        <v>36</v>
      </c>
      <c r="D111" t="s">
        <v>26</v>
      </c>
      <c r="E111" t="s">
        <v>24</v>
      </c>
      <c r="F111" s="1">
        <v>45947</v>
      </c>
      <c r="G111">
        <v>8076.78</v>
      </c>
      <c r="H111">
        <v>113522.95</v>
      </c>
      <c r="I111" t="str">
        <f t="shared" si="15"/>
        <v>Mumbai</v>
      </c>
      <c r="J111" t="str">
        <f t="shared" si="16"/>
        <v>Mumbai</v>
      </c>
      <c r="K111" t="str">
        <f t="shared" si="17"/>
        <v>Zeon Charging</v>
      </c>
      <c r="L111" s="4" t="str">
        <f t="shared" si="18"/>
        <v>Zeon Charging</v>
      </c>
      <c r="M111" s="4" t="str">
        <f t="shared" si="19"/>
        <v>Chademo</v>
      </c>
      <c r="N111" s="4" t="str">
        <f t="shared" si="20"/>
        <v>Chademo</v>
      </c>
      <c r="O111" s="4" t="str">
        <f t="shared" si="21"/>
        <v>Active</v>
      </c>
      <c r="P111" s="4" t="str">
        <f t="shared" si="22"/>
        <v>Active</v>
      </c>
      <c r="Q111" s="4" t="str">
        <f t="shared" si="23"/>
        <v>Mumbai</v>
      </c>
      <c r="R111" s="4" t="b">
        <f t="shared" si="24"/>
        <v>1</v>
      </c>
      <c r="S111" s="5" t="str">
        <f t="shared" si="25"/>
        <v>45947</v>
      </c>
      <c r="T111" s="4" t="str">
        <f t="shared" si="26"/>
        <v>Private</v>
      </c>
      <c r="U111" s="4" t="str">
        <f t="shared" si="27"/>
        <v>fast</v>
      </c>
      <c r="V111" s="4">
        <f t="shared" si="28"/>
        <v>2025</v>
      </c>
      <c r="W111" s="4" t="str">
        <f t="shared" si="29"/>
        <v>Japan</v>
      </c>
    </row>
    <row r="112" spans="1:23" x14ac:dyDescent="0.25">
      <c r="A112" t="s">
        <v>218</v>
      </c>
      <c r="B112" t="s">
        <v>70</v>
      </c>
      <c r="C112" t="s">
        <v>764</v>
      </c>
      <c r="D112" t="s">
        <v>56</v>
      </c>
      <c r="E112" t="s">
        <v>15</v>
      </c>
      <c r="F112" s="1">
        <v>45996</v>
      </c>
      <c r="G112">
        <v>56.76</v>
      </c>
      <c r="H112">
        <v>763.32</v>
      </c>
      <c r="I112" t="str">
        <f t="shared" si="15"/>
        <v>Delhi</v>
      </c>
      <c r="J112" t="str">
        <f t="shared" si="16"/>
        <v>Delhi</v>
      </c>
      <c r="K112" t="str">
        <f t="shared" si="17"/>
        <v>Bpcl</v>
      </c>
      <c r="L112" s="4" t="str">
        <f t="shared" si="18"/>
        <v>Bpcl</v>
      </c>
      <c r="M112" s="4" t="str">
        <f t="shared" si="19"/>
        <v>Ccs2</v>
      </c>
      <c r="N112" s="4" t="str">
        <f t="shared" si="20"/>
        <v>Ccs2</v>
      </c>
      <c r="O112" s="4" t="str">
        <f t="shared" si="21"/>
        <v>Decommissioned</v>
      </c>
      <c r="P112" s="4" t="str">
        <f t="shared" si="22"/>
        <v>Decommissioned</v>
      </c>
      <c r="Q112" s="4" t="str">
        <f t="shared" si="23"/>
        <v>Delhi</v>
      </c>
      <c r="R112" s="4" t="b">
        <f t="shared" si="24"/>
        <v>1</v>
      </c>
      <c r="S112" s="5" t="str">
        <f t="shared" si="25"/>
        <v>45996</v>
      </c>
      <c r="T112" s="4" t="str">
        <f t="shared" si="26"/>
        <v>Government</v>
      </c>
      <c r="U112" s="4" t="str">
        <f t="shared" si="27"/>
        <v>Ultra Fast</v>
      </c>
      <c r="V112" s="4">
        <f t="shared" si="28"/>
        <v>2025</v>
      </c>
      <c r="W112" s="4" t="str">
        <f t="shared" si="29"/>
        <v>Europe</v>
      </c>
    </row>
    <row r="113" spans="1:23" x14ac:dyDescent="0.25">
      <c r="A113" t="s">
        <v>219</v>
      </c>
      <c r="B113" t="s">
        <v>40</v>
      </c>
      <c r="C113" t="s">
        <v>764</v>
      </c>
      <c r="D113" t="s">
        <v>56</v>
      </c>
      <c r="E113" t="s">
        <v>54</v>
      </c>
      <c r="F113" s="1">
        <v>45862</v>
      </c>
      <c r="G113">
        <v>331.93</v>
      </c>
      <c r="H113">
        <v>4917.62</v>
      </c>
      <c r="I113" t="str">
        <f t="shared" si="15"/>
        <v>Mumbai</v>
      </c>
      <c r="J113" t="str">
        <f t="shared" si="16"/>
        <v>Mumbai</v>
      </c>
      <c r="K113" t="str">
        <f t="shared" si="17"/>
        <v>Bpcl</v>
      </c>
      <c r="L113" s="4" t="str">
        <f t="shared" si="18"/>
        <v>Bpcl</v>
      </c>
      <c r="M113" s="4" t="str">
        <f t="shared" si="19"/>
        <v>Ccs2</v>
      </c>
      <c r="N113" s="4" t="str">
        <f t="shared" si="20"/>
        <v>Ccs2</v>
      </c>
      <c r="O113" s="4" t="str">
        <f t="shared" si="21"/>
        <v>Inactive</v>
      </c>
      <c r="P113" s="4" t="str">
        <f t="shared" si="22"/>
        <v>Inactive</v>
      </c>
      <c r="Q113" s="4" t="str">
        <f t="shared" si="23"/>
        <v>Mumbai</v>
      </c>
      <c r="R113" s="4" t="b">
        <f t="shared" si="24"/>
        <v>1</v>
      </c>
      <c r="S113" s="5" t="str">
        <f t="shared" si="25"/>
        <v>45862</v>
      </c>
      <c r="T113" s="4" t="str">
        <f t="shared" si="26"/>
        <v>Government</v>
      </c>
      <c r="U113" s="4" t="str">
        <f t="shared" si="27"/>
        <v>Ultra Fast</v>
      </c>
      <c r="V113" s="4">
        <f t="shared" si="28"/>
        <v>2025</v>
      </c>
      <c r="W113" s="4" t="str">
        <f t="shared" si="29"/>
        <v>Europe</v>
      </c>
    </row>
    <row r="114" spans="1:23" x14ac:dyDescent="0.25">
      <c r="A114" t="s">
        <v>221</v>
      </c>
      <c r="B114" t="s">
        <v>46</v>
      </c>
      <c r="C114" t="s">
        <v>764</v>
      </c>
      <c r="D114" t="s">
        <v>17</v>
      </c>
      <c r="E114" t="s">
        <v>54</v>
      </c>
      <c r="F114" s="1">
        <v>45516</v>
      </c>
      <c r="G114">
        <v>309.63</v>
      </c>
      <c r="H114">
        <v>4450.72</v>
      </c>
      <c r="I114" t="str">
        <f t="shared" si="15"/>
        <v>Kolkata</v>
      </c>
      <c r="J114" t="str">
        <f t="shared" si="16"/>
        <v>Kolkata</v>
      </c>
      <c r="K114" t="str">
        <f t="shared" si="17"/>
        <v>Bpcl</v>
      </c>
      <c r="L114" s="4" t="str">
        <f t="shared" si="18"/>
        <v>Bpcl</v>
      </c>
      <c r="M114" s="4" t="str">
        <f t="shared" si="19"/>
        <v>Type2 Ac</v>
      </c>
      <c r="N114" s="4" t="str">
        <f t="shared" si="20"/>
        <v>Type2 Ac</v>
      </c>
      <c r="O114" s="4" t="str">
        <f t="shared" si="21"/>
        <v>Inactive</v>
      </c>
      <c r="P114" s="4" t="str">
        <f t="shared" si="22"/>
        <v>Inactive</v>
      </c>
      <c r="Q114" s="4" t="str">
        <f t="shared" si="23"/>
        <v>Kolkata</v>
      </c>
      <c r="R114" s="4" t="b">
        <f t="shared" si="24"/>
        <v>1</v>
      </c>
      <c r="S114" s="5" t="str">
        <f t="shared" si="25"/>
        <v>45516</v>
      </c>
      <c r="T114" s="4" t="str">
        <f t="shared" si="26"/>
        <v>Government</v>
      </c>
      <c r="U114" s="4" t="str">
        <f t="shared" si="27"/>
        <v>Slow</v>
      </c>
      <c r="V114" s="4">
        <f t="shared" si="28"/>
        <v>2024</v>
      </c>
      <c r="W114" s="4" t="str">
        <f t="shared" si="29"/>
        <v>Germany</v>
      </c>
    </row>
    <row r="115" spans="1:23" x14ac:dyDescent="0.25">
      <c r="A115" t="s">
        <v>222</v>
      </c>
      <c r="B115" t="s">
        <v>66</v>
      </c>
      <c r="C115" t="s">
        <v>764</v>
      </c>
      <c r="D115" t="s">
        <v>48</v>
      </c>
      <c r="E115" t="s">
        <v>54</v>
      </c>
      <c r="F115" s="1">
        <v>45993</v>
      </c>
      <c r="G115">
        <v>46.69</v>
      </c>
      <c r="H115">
        <v>617.05999999999995</v>
      </c>
      <c r="I115" t="str">
        <f t="shared" si="15"/>
        <v>Pune</v>
      </c>
      <c r="J115" t="str">
        <f t="shared" si="16"/>
        <v>Pune</v>
      </c>
      <c r="K115" t="str">
        <f t="shared" si="17"/>
        <v>Bpcl</v>
      </c>
      <c r="L115" s="4" t="str">
        <f t="shared" si="18"/>
        <v>Bpcl</v>
      </c>
      <c r="M115" s="4" t="str">
        <f t="shared" si="19"/>
        <v>Bharat Dc-001</v>
      </c>
      <c r="N115" s="4" t="str">
        <f t="shared" si="20"/>
        <v>Bharat Dc-001</v>
      </c>
      <c r="O115" s="4" t="str">
        <f t="shared" si="21"/>
        <v>Inactive</v>
      </c>
      <c r="P115" s="4" t="str">
        <f t="shared" si="22"/>
        <v>Inactive</v>
      </c>
      <c r="Q115" s="4" t="str">
        <f t="shared" si="23"/>
        <v>Pune</v>
      </c>
      <c r="R115" s="4" t="b">
        <f t="shared" si="24"/>
        <v>1</v>
      </c>
      <c r="S115" s="5" t="str">
        <f t="shared" si="25"/>
        <v>45993</v>
      </c>
      <c r="T115" s="4" t="str">
        <f t="shared" si="26"/>
        <v>Government</v>
      </c>
      <c r="U115" s="4" t="str">
        <f t="shared" si="27"/>
        <v>fast</v>
      </c>
      <c r="V115" s="4">
        <f t="shared" si="28"/>
        <v>2025</v>
      </c>
      <c r="W115" s="4" t="str">
        <f t="shared" si="29"/>
        <v>India</v>
      </c>
    </row>
    <row r="116" spans="1:23" x14ac:dyDescent="0.25">
      <c r="A116" t="s">
        <v>223</v>
      </c>
      <c r="B116" t="s">
        <v>779</v>
      </c>
      <c r="C116" t="s">
        <v>14</v>
      </c>
      <c r="D116" t="s">
        <v>17</v>
      </c>
      <c r="E116" t="s">
        <v>786</v>
      </c>
      <c r="F116" s="1">
        <v>45624</v>
      </c>
      <c r="G116">
        <v>190.4</v>
      </c>
      <c r="H116">
        <v>2633.21</v>
      </c>
      <c r="I116" t="str">
        <f t="shared" si="15"/>
        <v>Hyderabad</v>
      </c>
      <c r="J116" t="str">
        <f t="shared" si="16"/>
        <v>Hyderabad</v>
      </c>
      <c r="K116" t="str">
        <f t="shared" si="17"/>
        <v>Charge Point</v>
      </c>
      <c r="L116" s="4" t="str">
        <f t="shared" si="18"/>
        <v>Charge Point</v>
      </c>
      <c r="M116" s="4" t="str">
        <f t="shared" si="19"/>
        <v>Type2 Ac</v>
      </c>
      <c r="N116" s="4" t="str">
        <f t="shared" si="20"/>
        <v>Type2 Ac</v>
      </c>
      <c r="O116" s="4" t="str">
        <f t="shared" si="21"/>
        <v>Decommissioned</v>
      </c>
      <c r="P116" s="4" t="str">
        <f t="shared" si="22"/>
        <v>Decommissioned</v>
      </c>
      <c r="Q116" s="4" t="str">
        <f t="shared" si="23"/>
        <v>Hyderabad</v>
      </c>
      <c r="R116" s="4" t="b">
        <f t="shared" si="24"/>
        <v>1</v>
      </c>
      <c r="S116" s="5" t="str">
        <f t="shared" si="25"/>
        <v>45624</v>
      </c>
      <c r="T116" s="4" t="str">
        <f t="shared" si="26"/>
        <v>Private</v>
      </c>
      <c r="U116" s="4" t="str">
        <f t="shared" si="27"/>
        <v>Slow</v>
      </c>
      <c r="V116" s="4">
        <f t="shared" si="28"/>
        <v>2024</v>
      </c>
      <c r="W116" s="4" t="str">
        <f t="shared" si="29"/>
        <v>Germany</v>
      </c>
    </row>
    <row r="117" spans="1:23" x14ac:dyDescent="0.25">
      <c r="A117" t="s">
        <v>225</v>
      </c>
      <c r="B117" t="s">
        <v>46</v>
      </c>
      <c r="C117" t="s">
        <v>764</v>
      </c>
      <c r="D117" t="s">
        <v>48</v>
      </c>
      <c r="E117" t="s">
        <v>31</v>
      </c>
      <c r="F117" s="1">
        <v>46155</v>
      </c>
      <c r="G117">
        <v>781.12</v>
      </c>
      <c r="H117">
        <v>11186.06</v>
      </c>
      <c r="I117" t="str">
        <f t="shared" si="15"/>
        <v>Kolkata</v>
      </c>
      <c r="J117" t="str">
        <f t="shared" si="16"/>
        <v>Kolkata</v>
      </c>
      <c r="K117" t="str">
        <f t="shared" si="17"/>
        <v>Bpcl</v>
      </c>
      <c r="L117" s="4" t="str">
        <f t="shared" si="18"/>
        <v>Bpcl</v>
      </c>
      <c r="M117" s="4" t="str">
        <f t="shared" si="19"/>
        <v>Bharat Dc-001</v>
      </c>
      <c r="N117" s="4" t="str">
        <f t="shared" si="20"/>
        <v>Bharat Dc-001</v>
      </c>
      <c r="O117" s="4" t="str">
        <f t="shared" si="21"/>
        <v>Maintenance</v>
      </c>
      <c r="P117" s="4" t="str">
        <f t="shared" si="22"/>
        <v>Maintenance</v>
      </c>
      <c r="Q117" s="4" t="str">
        <f t="shared" si="23"/>
        <v>Kolkata</v>
      </c>
      <c r="R117" s="4" t="b">
        <f t="shared" si="24"/>
        <v>1</v>
      </c>
      <c r="S117" s="5" t="str">
        <f t="shared" si="25"/>
        <v>46155</v>
      </c>
      <c r="T117" s="4" t="str">
        <f t="shared" si="26"/>
        <v>Government</v>
      </c>
      <c r="U117" s="4" t="str">
        <f t="shared" si="27"/>
        <v>fast</v>
      </c>
      <c r="V117" s="4">
        <f t="shared" si="28"/>
        <v>2026</v>
      </c>
      <c r="W117" s="4" t="str">
        <f t="shared" si="29"/>
        <v>India</v>
      </c>
    </row>
    <row r="118" spans="1:23" x14ac:dyDescent="0.25">
      <c r="A118" t="s">
        <v>227</v>
      </c>
      <c r="B118" t="s">
        <v>66</v>
      </c>
      <c r="C118" t="s">
        <v>41</v>
      </c>
      <c r="D118" t="s">
        <v>48</v>
      </c>
      <c r="E118" t="s">
        <v>54</v>
      </c>
      <c r="F118" s="1">
        <v>46078</v>
      </c>
      <c r="H118">
        <v>2084.5</v>
      </c>
      <c r="I118" t="str">
        <f t="shared" si="15"/>
        <v>Pune</v>
      </c>
      <c r="J118" t="str">
        <f t="shared" si="16"/>
        <v>Pune</v>
      </c>
      <c r="K118" t="str">
        <f t="shared" si="17"/>
        <v>Ather Grid</v>
      </c>
      <c r="L118" s="4" t="str">
        <f t="shared" si="18"/>
        <v>Ather Grid</v>
      </c>
      <c r="M118" s="4" t="str">
        <f t="shared" si="19"/>
        <v>Bharat Dc-001</v>
      </c>
      <c r="N118" s="4" t="str">
        <f t="shared" si="20"/>
        <v>Bharat Dc-001</v>
      </c>
      <c r="O118" s="4" t="str">
        <f t="shared" si="21"/>
        <v>Inactive</v>
      </c>
      <c r="P118" s="4" t="str">
        <f t="shared" si="22"/>
        <v>Inactive</v>
      </c>
      <c r="Q118" s="4" t="str">
        <f t="shared" si="23"/>
        <v>Pune</v>
      </c>
      <c r="R118" s="4" t="b">
        <f t="shared" si="24"/>
        <v>1</v>
      </c>
      <c r="S118" s="5" t="str">
        <f t="shared" si="25"/>
        <v>46078</v>
      </c>
      <c r="T118" s="4" t="str">
        <f t="shared" si="26"/>
        <v>Private</v>
      </c>
      <c r="U118" s="4" t="str">
        <f t="shared" si="27"/>
        <v>fast</v>
      </c>
      <c r="V118" s="4">
        <f t="shared" si="28"/>
        <v>2026</v>
      </c>
      <c r="W118" s="4" t="str">
        <f t="shared" si="29"/>
        <v>India</v>
      </c>
    </row>
    <row r="119" spans="1:23" x14ac:dyDescent="0.25">
      <c r="A119" t="s">
        <v>229</v>
      </c>
      <c r="B119" t="s">
        <v>70</v>
      </c>
      <c r="C119" t="s">
        <v>41</v>
      </c>
      <c r="D119" t="s">
        <v>56</v>
      </c>
      <c r="E119" t="s">
        <v>54</v>
      </c>
      <c r="F119" s="1">
        <v>46086</v>
      </c>
      <c r="G119">
        <v>403.28</v>
      </c>
      <c r="H119">
        <v>3875.86</v>
      </c>
      <c r="I119" t="str">
        <f t="shared" si="15"/>
        <v>Delhi</v>
      </c>
      <c r="J119" t="str">
        <f t="shared" si="16"/>
        <v>Delhi</v>
      </c>
      <c r="K119" t="str">
        <f t="shared" si="17"/>
        <v>Ather Grid</v>
      </c>
      <c r="L119" s="4" t="str">
        <f t="shared" si="18"/>
        <v>Ather Grid</v>
      </c>
      <c r="M119" s="4" t="str">
        <f t="shared" si="19"/>
        <v>Ccs2</v>
      </c>
      <c r="N119" s="4" t="str">
        <f t="shared" si="20"/>
        <v>Ccs2</v>
      </c>
      <c r="O119" s="4" t="str">
        <f t="shared" si="21"/>
        <v>Inactive</v>
      </c>
      <c r="P119" s="4" t="str">
        <f t="shared" si="22"/>
        <v>Inactive</v>
      </c>
      <c r="Q119" s="4" t="str">
        <f t="shared" si="23"/>
        <v>Delhi</v>
      </c>
      <c r="R119" s="4" t="b">
        <f t="shared" si="24"/>
        <v>1</v>
      </c>
      <c r="S119" s="5" t="str">
        <f t="shared" si="25"/>
        <v>46086</v>
      </c>
      <c r="T119" s="4" t="str">
        <f t="shared" si="26"/>
        <v>Private</v>
      </c>
      <c r="U119" s="4" t="str">
        <f t="shared" si="27"/>
        <v>Ultra Fast</v>
      </c>
      <c r="V119" s="4">
        <f t="shared" si="28"/>
        <v>2026</v>
      </c>
      <c r="W119" s="4" t="str">
        <f t="shared" si="29"/>
        <v>Europe</v>
      </c>
    </row>
    <row r="120" spans="1:23" x14ac:dyDescent="0.25">
      <c r="A120" t="s">
        <v>230</v>
      </c>
      <c r="B120" t="s">
        <v>46</v>
      </c>
      <c r="C120" t="s">
        <v>14</v>
      </c>
      <c r="D120" t="s">
        <v>17</v>
      </c>
      <c r="E120" t="s">
        <v>24</v>
      </c>
      <c r="F120" s="1">
        <v>45349</v>
      </c>
      <c r="G120">
        <v>2194.5700000000002</v>
      </c>
      <c r="H120">
        <v>29875.83</v>
      </c>
      <c r="I120" t="str">
        <f t="shared" si="15"/>
        <v>Kolkata</v>
      </c>
      <c r="J120" t="str">
        <f t="shared" si="16"/>
        <v>Kolkata</v>
      </c>
      <c r="K120" t="str">
        <f t="shared" si="17"/>
        <v>Charge Point</v>
      </c>
      <c r="L120" s="4" t="str">
        <f t="shared" si="18"/>
        <v>Charge Point</v>
      </c>
      <c r="M120" s="4" t="str">
        <f t="shared" si="19"/>
        <v>Type2 Ac</v>
      </c>
      <c r="N120" s="4" t="str">
        <f t="shared" si="20"/>
        <v>Type2 Ac</v>
      </c>
      <c r="O120" s="4" t="str">
        <f t="shared" si="21"/>
        <v>Active</v>
      </c>
      <c r="P120" s="4" t="str">
        <f t="shared" si="22"/>
        <v>Active</v>
      </c>
      <c r="Q120" s="4" t="str">
        <f t="shared" si="23"/>
        <v>Kolkata</v>
      </c>
      <c r="R120" s="4" t="b">
        <f t="shared" si="24"/>
        <v>1</v>
      </c>
      <c r="S120" s="5" t="str">
        <f t="shared" si="25"/>
        <v>45349</v>
      </c>
      <c r="T120" s="4" t="str">
        <f t="shared" si="26"/>
        <v>Private</v>
      </c>
      <c r="U120" s="4" t="str">
        <f t="shared" si="27"/>
        <v>Slow</v>
      </c>
      <c r="V120" s="4">
        <f t="shared" si="28"/>
        <v>2024</v>
      </c>
      <c r="W120" s="4" t="str">
        <f t="shared" si="29"/>
        <v>Germany</v>
      </c>
    </row>
    <row r="121" spans="1:23" x14ac:dyDescent="0.25">
      <c r="A121" t="s">
        <v>232</v>
      </c>
      <c r="B121" t="s">
        <v>35</v>
      </c>
      <c r="C121" t="s">
        <v>764</v>
      </c>
      <c r="D121" t="s">
        <v>17</v>
      </c>
      <c r="E121" t="s">
        <v>24</v>
      </c>
      <c r="F121" s="1">
        <v>45526</v>
      </c>
      <c r="G121">
        <v>1031.46</v>
      </c>
      <c r="H121">
        <v>9832.94</v>
      </c>
      <c r="I121" t="str">
        <f t="shared" si="15"/>
        <v>Chennai</v>
      </c>
      <c r="J121" t="str">
        <f t="shared" si="16"/>
        <v>Chennai</v>
      </c>
      <c r="K121" t="str">
        <f t="shared" si="17"/>
        <v>Bpcl</v>
      </c>
      <c r="L121" s="4" t="str">
        <f t="shared" si="18"/>
        <v>Bpcl</v>
      </c>
      <c r="M121" s="4" t="str">
        <f t="shared" si="19"/>
        <v>Type2 Ac</v>
      </c>
      <c r="N121" s="4" t="str">
        <f t="shared" si="20"/>
        <v>Type2 Ac</v>
      </c>
      <c r="O121" s="4" t="str">
        <f t="shared" si="21"/>
        <v>Active</v>
      </c>
      <c r="P121" s="4" t="str">
        <f t="shared" si="22"/>
        <v>Active</v>
      </c>
      <c r="Q121" s="4" t="str">
        <f t="shared" si="23"/>
        <v>Chennai</v>
      </c>
      <c r="R121" s="4" t="b">
        <f t="shared" si="24"/>
        <v>1</v>
      </c>
      <c r="S121" s="5" t="str">
        <f t="shared" si="25"/>
        <v>45526</v>
      </c>
      <c r="T121" s="4" t="str">
        <f t="shared" si="26"/>
        <v>Government</v>
      </c>
      <c r="U121" s="4" t="str">
        <f t="shared" si="27"/>
        <v>Slow</v>
      </c>
      <c r="V121" s="4">
        <f t="shared" si="28"/>
        <v>2024</v>
      </c>
      <c r="W121" s="4" t="str">
        <f t="shared" si="29"/>
        <v>Germany</v>
      </c>
    </row>
    <row r="122" spans="1:23" x14ac:dyDescent="0.25">
      <c r="A122" t="s">
        <v>234</v>
      </c>
      <c r="B122" t="s">
        <v>66</v>
      </c>
      <c r="C122" t="s">
        <v>764</v>
      </c>
      <c r="D122" t="s">
        <v>48</v>
      </c>
      <c r="E122" t="s">
        <v>24</v>
      </c>
      <c r="F122" s="1">
        <v>46133</v>
      </c>
      <c r="G122">
        <v>11815.26</v>
      </c>
      <c r="H122">
        <v>110247.29</v>
      </c>
      <c r="I122" t="str">
        <f t="shared" si="15"/>
        <v>Pune</v>
      </c>
      <c r="J122" t="str">
        <f t="shared" si="16"/>
        <v>Pune</v>
      </c>
      <c r="K122" t="str">
        <f t="shared" si="17"/>
        <v>Bpcl</v>
      </c>
      <c r="L122" s="4" t="str">
        <f t="shared" si="18"/>
        <v>Bpcl</v>
      </c>
      <c r="M122" s="4" t="str">
        <f t="shared" si="19"/>
        <v>Bharat Dc-001</v>
      </c>
      <c r="N122" s="4" t="str">
        <f t="shared" si="20"/>
        <v>Bharat Dc-001</v>
      </c>
      <c r="O122" s="4" t="str">
        <f t="shared" si="21"/>
        <v>Active</v>
      </c>
      <c r="P122" s="4" t="str">
        <f t="shared" si="22"/>
        <v>Active</v>
      </c>
      <c r="Q122" s="4" t="str">
        <f t="shared" si="23"/>
        <v>Pune</v>
      </c>
      <c r="R122" s="4" t="b">
        <f t="shared" si="24"/>
        <v>1</v>
      </c>
      <c r="S122" s="5" t="str">
        <f t="shared" si="25"/>
        <v>46133</v>
      </c>
      <c r="T122" s="4" t="str">
        <f t="shared" si="26"/>
        <v>Government</v>
      </c>
      <c r="U122" s="4" t="str">
        <f t="shared" si="27"/>
        <v>fast</v>
      </c>
      <c r="V122" s="4">
        <f t="shared" si="28"/>
        <v>2026</v>
      </c>
      <c r="W122" s="4" t="str">
        <f t="shared" si="29"/>
        <v>India</v>
      </c>
    </row>
    <row r="123" spans="1:23" x14ac:dyDescent="0.25">
      <c r="A123" t="s">
        <v>236</v>
      </c>
      <c r="B123" t="s">
        <v>46</v>
      </c>
      <c r="C123" t="s">
        <v>53</v>
      </c>
      <c r="D123" t="s">
        <v>17</v>
      </c>
      <c r="E123" t="s">
        <v>24</v>
      </c>
      <c r="F123" s="1">
        <v>45324</v>
      </c>
      <c r="G123">
        <v>7529.65</v>
      </c>
      <c r="H123">
        <v>73447.12</v>
      </c>
      <c r="I123" t="str">
        <f t="shared" si="15"/>
        <v>Kolkata</v>
      </c>
      <c r="J123" t="str">
        <f t="shared" si="16"/>
        <v>Kolkata</v>
      </c>
      <c r="K123" t="str">
        <f t="shared" si="17"/>
        <v>Bpcl</v>
      </c>
      <c r="L123" s="4" t="str">
        <f t="shared" si="18"/>
        <v>Bpcl</v>
      </c>
      <c r="M123" s="4" t="str">
        <f t="shared" si="19"/>
        <v>Type2 Ac</v>
      </c>
      <c r="N123" s="4" t="str">
        <f t="shared" si="20"/>
        <v>Type2 Ac</v>
      </c>
      <c r="O123" s="4" t="str">
        <f t="shared" si="21"/>
        <v>Active</v>
      </c>
      <c r="P123" s="4" t="str">
        <f t="shared" si="22"/>
        <v>Active</v>
      </c>
      <c r="Q123" s="4" t="str">
        <f t="shared" si="23"/>
        <v>Kolkata</v>
      </c>
      <c r="R123" s="4" t="b">
        <f t="shared" si="24"/>
        <v>1</v>
      </c>
      <c r="S123" s="5" t="str">
        <f t="shared" si="25"/>
        <v>45324</v>
      </c>
      <c r="T123" s="4" t="str">
        <f t="shared" si="26"/>
        <v>Government</v>
      </c>
      <c r="U123" s="4" t="str">
        <f t="shared" si="27"/>
        <v>Slow</v>
      </c>
      <c r="V123" s="4">
        <f t="shared" si="28"/>
        <v>2024</v>
      </c>
      <c r="W123" s="4" t="str">
        <f t="shared" si="29"/>
        <v>Germany</v>
      </c>
    </row>
    <row r="124" spans="1:23" x14ac:dyDescent="0.25">
      <c r="A124" t="s">
        <v>237</v>
      </c>
      <c r="B124" t="s">
        <v>785</v>
      </c>
      <c r="C124" t="s">
        <v>36</v>
      </c>
      <c r="D124" t="s">
        <v>26</v>
      </c>
      <c r="E124" t="s">
        <v>24</v>
      </c>
      <c r="F124" s="1">
        <v>46116</v>
      </c>
      <c r="G124">
        <v>9337.6299999999992</v>
      </c>
      <c r="H124">
        <v>124088.15</v>
      </c>
      <c r="I124" t="str">
        <f t="shared" si="15"/>
        <v>Delhi</v>
      </c>
      <c r="J124" t="str">
        <f t="shared" si="16"/>
        <v>Delhi</v>
      </c>
      <c r="K124" t="str">
        <f t="shared" si="17"/>
        <v>Zeon Charging</v>
      </c>
      <c r="L124" s="4" t="str">
        <f t="shared" si="18"/>
        <v>Zeon Charging</v>
      </c>
      <c r="M124" s="4" t="str">
        <f t="shared" si="19"/>
        <v>Chademo</v>
      </c>
      <c r="N124" s="4" t="str">
        <f t="shared" si="20"/>
        <v>Chademo</v>
      </c>
      <c r="O124" s="4" t="str">
        <f t="shared" si="21"/>
        <v>Active</v>
      </c>
      <c r="P124" s="4" t="str">
        <f t="shared" si="22"/>
        <v>Active</v>
      </c>
      <c r="Q124" s="4" t="str">
        <f t="shared" si="23"/>
        <v>Delhi</v>
      </c>
      <c r="R124" s="4" t="b">
        <f t="shared" si="24"/>
        <v>1</v>
      </c>
      <c r="S124" s="5" t="str">
        <f t="shared" si="25"/>
        <v>46116</v>
      </c>
      <c r="T124" s="4" t="str">
        <f t="shared" si="26"/>
        <v>Private</v>
      </c>
      <c r="U124" s="4" t="str">
        <f t="shared" si="27"/>
        <v>fast</v>
      </c>
      <c r="V124" s="4">
        <f t="shared" si="28"/>
        <v>2026</v>
      </c>
      <c r="W124" s="4" t="str">
        <f t="shared" si="29"/>
        <v>Japan</v>
      </c>
    </row>
    <row r="125" spans="1:23" x14ac:dyDescent="0.25">
      <c r="A125" t="s">
        <v>238</v>
      </c>
      <c r="B125" t="s">
        <v>40</v>
      </c>
      <c r="D125" t="s">
        <v>26</v>
      </c>
      <c r="E125" t="s">
        <v>24</v>
      </c>
      <c r="F125" s="1">
        <v>45615</v>
      </c>
      <c r="G125">
        <v>5737.29</v>
      </c>
      <c r="H125">
        <v>76720.740000000005</v>
      </c>
      <c r="I125" t="str">
        <f t="shared" si="15"/>
        <v>Mumbai</v>
      </c>
      <c r="J125" t="str">
        <f t="shared" si="16"/>
        <v>Mumbai</v>
      </c>
      <c r="K125" t="str">
        <f t="shared" si="17"/>
        <v/>
      </c>
      <c r="L125" s="4" t="str">
        <f t="shared" si="18"/>
        <v/>
      </c>
      <c r="M125" s="4" t="str">
        <f t="shared" si="19"/>
        <v>Chademo</v>
      </c>
      <c r="N125" s="4" t="str">
        <f t="shared" si="20"/>
        <v>Chademo</v>
      </c>
      <c r="O125" s="4" t="str">
        <f t="shared" si="21"/>
        <v>Active</v>
      </c>
      <c r="P125" s="4" t="str">
        <f t="shared" si="22"/>
        <v>Active</v>
      </c>
      <c r="Q125" s="4" t="str">
        <f t="shared" si="23"/>
        <v>Mumbai</v>
      </c>
      <c r="R125" s="4" t="b">
        <f t="shared" si="24"/>
        <v>1</v>
      </c>
      <c r="S125" s="5" t="str">
        <f t="shared" si="25"/>
        <v>45615</v>
      </c>
      <c r="T125" s="4" t="str">
        <f t="shared" si="26"/>
        <v>Private</v>
      </c>
      <c r="U125" s="4" t="str">
        <f t="shared" si="27"/>
        <v>fast</v>
      </c>
      <c r="V125" s="4">
        <f t="shared" si="28"/>
        <v>2024</v>
      </c>
      <c r="W125" s="4" t="str">
        <f t="shared" si="29"/>
        <v>Japan</v>
      </c>
    </row>
    <row r="126" spans="1:23" x14ac:dyDescent="0.25">
      <c r="A126" t="s">
        <v>240</v>
      </c>
      <c r="B126" t="s">
        <v>70</v>
      </c>
      <c r="C126" t="s">
        <v>36</v>
      </c>
      <c r="D126" t="s">
        <v>17</v>
      </c>
      <c r="E126" t="s">
        <v>24</v>
      </c>
      <c r="F126" s="1"/>
      <c r="G126">
        <v>10690.57</v>
      </c>
      <c r="H126">
        <v>136475.66</v>
      </c>
      <c r="I126" t="str">
        <f t="shared" si="15"/>
        <v>Delhi</v>
      </c>
      <c r="J126" t="str">
        <f t="shared" si="16"/>
        <v>Delhi</v>
      </c>
      <c r="K126" t="str">
        <f t="shared" si="17"/>
        <v>Zeon Charging</v>
      </c>
      <c r="L126" s="4" t="str">
        <f t="shared" si="18"/>
        <v>Zeon Charging</v>
      </c>
      <c r="M126" s="4" t="str">
        <f t="shared" si="19"/>
        <v>Type2 Ac</v>
      </c>
      <c r="N126" s="4" t="str">
        <f t="shared" si="20"/>
        <v>Type2 Ac</v>
      </c>
      <c r="O126" s="4" t="str">
        <f t="shared" si="21"/>
        <v>Active</v>
      </c>
      <c r="P126" s="4" t="str">
        <f t="shared" si="22"/>
        <v>Active</v>
      </c>
      <c r="Q126" s="4" t="str">
        <f t="shared" si="23"/>
        <v>Delhi</v>
      </c>
      <c r="R126" s="4" t="b">
        <f t="shared" si="24"/>
        <v>0</v>
      </c>
      <c r="S126" s="4" t="str">
        <f t="shared" si="25"/>
        <v/>
      </c>
      <c r="T126" s="4" t="str">
        <f t="shared" si="26"/>
        <v>Private</v>
      </c>
      <c r="U126" s="4" t="str">
        <f t="shared" si="27"/>
        <v>Slow</v>
      </c>
      <c r="V126" s="4">
        <f t="shared" si="28"/>
        <v>1900</v>
      </c>
      <c r="W126" s="4" t="str">
        <f t="shared" si="29"/>
        <v>Germany</v>
      </c>
    </row>
    <row r="127" spans="1:23" x14ac:dyDescent="0.25">
      <c r="A127" t="s">
        <v>241</v>
      </c>
      <c r="B127" t="s">
        <v>13</v>
      </c>
      <c r="C127" t="s">
        <v>783</v>
      </c>
      <c r="D127" t="s">
        <v>17</v>
      </c>
      <c r="E127" t="s">
        <v>54</v>
      </c>
      <c r="F127" s="1">
        <v>45566</v>
      </c>
      <c r="G127">
        <v>287.83999999999997</v>
      </c>
      <c r="I127" t="str">
        <f t="shared" si="15"/>
        <v>Bengaluru</v>
      </c>
      <c r="J127" t="str">
        <f t="shared" si="16"/>
        <v>Bengaluru</v>
      </c>
      <c r="K127" t="str">
        <f t="shared" si="17"/>
        <v>Tata Power</v>
      </c>
      <c r="L127" s="4" t="str">
        <f t="shared" si="18"/>
        <v>Tata Power</v>
      </c>
      <c r="M127" s="4" t="str">
        <f t="shared" si="19"/>
        <v>Type2 Ac</v>
      </c>
      <c r="N127" s="4" t="str">
        <f t="shared" si="20"/>
        <v>Type2 Ac</v>
      </c>
      <c r="O127" s="4" t="str">
        <f t="shared" si="21"/>
        <v>Inactive</v>
      </c>
      <c r="P127" s="4" t="str">
        <f t="shared" si="22"/>
        <v>Inactive</v>
      </c>
      <c r="Q127" s="4" t="str">
        <f t="shared" si="23"/>
        <v>Bengaluru</v>
      </c>
      <c r="R127" s="4" t="b">
        <f t="shared" si="24"/>
        <v>1</v>
      </c>
      <c r="S127" s="5" t="str">
        <f t="shared" si="25"/>
        <v>45566</v>
      </c>
      <c r="T127" s="4" t="str">
        <f t="shared" si="26"/>
        <v>Government</v>
      </c>
      <c r="U127" s="4" t="str">
        <f t="shared" si="27"/>
        <v>Slow</v>
      </c>
      <c r="V127" s="4">
        <f t="shared" si="28"/>
        <v>2024</v>
      </c>
      <c r="W127" s="4" t="str">
        <f t="shared" si="29"/>
        <v>Germany</v>
      </c>
    </row>
    <row r="128" spans="1:23" x14ac:dyDescent="0.25">
      <c r="A128" t="s">
        <v>242</v>
      </c>
      <c r="B128" t="s">
        <v>771</v>
      </c>
      <c r="C128" t="s">
        <v>764</v>
      </c>
      <c r="D128" t="s">
        <v>48</v>
      </c>
      <c r="E128" t="s">
        <v>15</v>
      </c>
      <c r="F128" s="1">
        <v>45359</v>
      </c>
      <c r="G128">
        <v>143.66999999999999</v>
      </c>
      <c r="H128">
        <v>1247.08</v>
      </c>
      <c r="I128" t="str">
        <f t="shared" si="15"/>
        <v>Pune</v>
      </c>
      <c r="J128" t="str">
        <f t="shared" si="16"/>
        <v>Pune</v>
      </c>
      <c r="K128" t="str">
        <f t="shared" si="17"/>
        <v>Bpcl</v>
      </c>
      <c r="L128" s="4" t="str">
        <f t="shared" si="18"/>
        <v>Bpcl</v>
      </c>
      <c r="M128" s="4" t="str">
        <f t="shared" si="19"/>
        <v>Bharat Dc-001</v>
      </c>
      <c r="N128" s="4" t="str">
        <f t="shared" si="20"/>
        <v>Bharat Dc-001</v>
      </c>
      <c r="O128" s="4" t="str">
        <f t="shared" si="21"/>
        <v>Decommissioned</v>
      </c>
      <c r="P128" s="4" t="str">
        <f t="shared" si="22"/>
        <v>Decommissioned</v>
      </c>
      <c r="Q128" s="4" t="str">
        <f t="shared" si="23"/>
        <v>Pune</v>
      </c>
      <c r="R128" s="4" t="b">
        <f t="shared" si="24"/>
        <v>1</v>
      </c>
      <c r="S128" s="5" t="str">
        <f t="shared" si="25"/>
        <v>45359</v>
      </c>
      <c r="T128" s="4" t="str">
        <f t="shared" si="26"/>
        <v>Government</v>
      </c>
      <c r="U128" s="4" t="str">
        <f t="shared" si="27"/>
        <v>fast</v>
      </c>
      <c r="V128" s="4">
        <f t="shared" si="28"/>
        <v>2024</v>
      </c>
      <c r="W128" s="4" t="str">
        <f t="shared" si="29"/>
        <v>India</v>
      </c>
    </row>
    <row r="129" spans="1:23" x14ac:dyDescent="0.25">
      <c r="A129" t="s">
        <v>243</v>
      </c>
      <c r="B129" t="s">
        <v>46</v>
      </c>
      <c r="C129" t="s">
        <v>764</v>
      </c>
      <c r="D129" t="s">
        <v>26</v>
      </c>
      <c r="E129" t="s">
        <v>24</v>
      </c>
      <c r="F129" s="1">
        <v>45508</v>
      </c>
      <c r="G129">
        <v>4915.75</v>
      </c>
      <c r="H129">
        <v>60916.99</v>
      </c>
      <c r="I129" t="str">
        <f t="shared" si="15"/>
        <v>Kolkata</v>
      </c>
      <c r="J129" t="str">
        <f t="shared" si="16"/>
        <v>Kolkata</v>
      </c>
      <c r="K129" t="str">
        <f t="shared" si="17"/>
        <v>Bpcl</v>
      </c>
      <c r="L129" s="4" t="str">
        <f t="shared" si="18"/>
        <v>Bpcl</v>
      </c>
      <c r="M129" s="4" t="str">
        <f t="shared" si="19"/>
        <v>Chademo</v>
      </c>
      <c r="N129" s="4" t="str">
        <f t="shared" si="20"/>
        <v>Chademo</v>
      </c>
      <c r="O129" s="4" t="str">
        <f t="shared" si="21"/>
        <v>Active</v>
      </c>
      <c r="P129" s="4" t="str">
        <f t="shared" si="22"/>
        <v>Active</v>
      </c>
      <c r="Q129" s="4" t="str">
        <f t="shared" si="23"/>
        <v>Kolkata</v>
      </c>
      <c r="R129" s="4" t="b">
        <f t="shared" si="24"/>
        <v>1</v>
      </c>
      <c r="S129" s="5" t="str">
        <f t="shared" si="25"/>
        <v>45508</v>
      </c>
      <c r="T129" s="4" t="str">
        <f t="shared" si="26"/>
        <v>Government</v>
      </c>
      <c r="U129" s="4" t="str">
        <f t="shared" si="27"/>
        <v>fast</v>
      </c>
      <c r="V129" s="4">
        <f t="shared" si="28"/>
        <v>2024</v>
      </c>
      <c r="W129" s="4" t="str">
        <f t="shared" si="29"/>
        <v>Japan</v>
      </c>
    </row>
    <row r="130" spans="1:23" x14ac:dyDescent="0.25">
      <c r="A130" t="s">
        <v>244</v>
      </c>
      <c r="B130" t="s">
        <v>40</v>
      </c>
      <c r="C130" t="s">
        <v>36</v>
      </c>
      <c r="D130" t="s">
        <v>26</v>
      </c>
      <c r="E130" t="s">
        <v>24</v>
      </c>
      <c r="F130" s="1">
        <v>45872</v>
      </c>
      <c r="G130">
        <v>5096.01</v>
      </c>
      <c r="H130">
        <v>42174.36</v>
      </c>
      <c r="I130" t="str">
        <f t="shared" ref="I130:I193" si="30">PROPER(B130)</f>
        <v>Mumbai</v>
      </c>
      <c r="J130" t="str">
        <f t="shared" ref="J130:J193" si="31">TRIM(I130)</f>
        <v>Mumbai</v>
      </c>
      <c r="K130" t="str">
        <f t="shared" ref="K130:K193" si="32">PROPER(C130)</f>
        <v>Zeon Charging</v>
      </c>
      <c r="L130" s="4" t="str">
        <f t="shared" ref="L130:L193" si="33">TRIM(K130)</f>
        <v>Zeon Charging</v>
      </c>
      <c r="M130" s="4" t="str">
        <f t="shared" ref="M130:M193" si="34">PROPER(D130)</f>
        <v>Chademo</v>
      </c>
      <c r="N130" s="4" t="str">
        <f t="shared" ref="N130:N193" si="35">TRIM(M130)</f>
        <v>Chademo</v>
      </c>
      <c r="O130" s="4" t="str">
        <f t="shared" ref="O130:O193" si="36">PROPER(E130)</f>
        <v>Active</v>
      </c>
      <c r="P130" s="4" t="str">
        <f t="shared" ref="P130:P193" si="37">TRIM(O130)</f>
        <v>Active</v>
      </c>
      <c r="Q130" s="4" t="str">
        <f t="shared" ref="Q130:Q193" si="38">IF(TRIM(I129)=" ","Mumbai",I130)</f>
        <v>Mumbai</v>
      </c>
      <c r="R130" s="4" t="b">
        <f t="shared" ref="R130:R193" si="39">ISNUMBER(F130)</f>
        <v>1</v>
      </c>
      <c r="S130" s="5" t="str">
        <f t="shared" ref="S130:S193" si="40">TRIM(F130)</f>
        <v>45872</v>
      </c>
      <c r="T130" s="4" t="str">
        <f t="shared" ref="T130:T193" si="41">IF(L130="Tata Power","Government",IF(L130="Bpcl","Government","Private"))</f>
        <v>Private</v>
      </c>
      <c r="U130" s="4" t="str">
        <f t="shared" ref="U130:U193" si="42">IF(N130="Type2 Ac","Slow",IF(N130="Ccs2","Ultra Fast","fast"))</f>
        <v>fast</v>
      </c>
      <c r="V130" s="4">
        <f t="shared" ref="V130:V193" si="43">YEAR(F130)</f>
        <v>2025</v>
      </c>
      <c r="W130" s="4" t="str">
        <f t="shared" ref="W130:W193" si="44">IF(N130="Type2 Ac","Germany",IF(N130="Chademo","Japan",IF(N130="Ccs2","Europe","India")))</f>
        <v>Japan</v>
      </c>
    </row>
    <row r="131" spans="1:23" x14ac:dyDescent="0.25">
      <c r="A131" t="s">
        <v>245</v>
      </c>
      <c r="B131" t="s">
        <v>35</v>
      </c>
      <c r="C131" t="s">
        <v>36</v>
      </c>
      <c r="D131" t="s">
        <v>56</v>
      </c>
      <c r="E131" t="s">
        <v>31</v>
      </c>
      <c r="F131" s="1">
        <v>46027</v>
      </c>
      <c r="G131">
        <v>527.96</v>
      </c>
      <c r="H131">
        <v>7138.16</v>
      </c>
      <c r="I131" t="str">
        <f t="shared" si="30"/>
        <v>Chennai</v>
      </c>
      <c r="J131" t="str">
        <f t="shared" si="31"/>
        <v>Chennai</v>
      </c>
      <c r="K131" t="str">
        <f t="shared" si="32"/>
        <v>Zeon Charging</v>
      </c>
      <c r="L131" s="4" t="str">
        <f t="shared" si="33"/>
        <v>Zeon Charging</v>
      </c>
      <c r="M131" s="4" t="str">
        <f t="shared" si="34"/>
        <v>Ccs2</v>
      </c>
      <c r="N131" s="4" t="str">
        <f t="shared" si="35"/>
        <v>Ccs2</v>
      </c>
      <c r="O131" s="4" t="str">
        <f t="shared" si="36"/>
        <v>Maintenance</v>
      </c>
      <c r="P131" s="4" t="str">
        <f t="shared" si="37"/>
        <v>Maintenance</v>
      </c>
      <c r="Q131" s="4" t="str">
        <f t="shared" si="38"/>
        <v>Chennai</v>
      </c>
      <c r="R131" s="4" t="b">
        <f t="shared" si="39"/>
        <v>1</v>
      </c>
      <c r="S131" s="5" t="str">
        <f t="shared" si="40"/>
        <v>46027</v>
      </c>
      <c r="T131" s="4" t="str">
        <f t="shared" si="41"/>
        <v>Private</v>
      </c>
      <c r="U131" s="4" t="str">
        <f t="shared" si="42"/>
        <v>Ultra Fast</v>
      </c>
      <c r="V131" s="4">
        <f t="shared" si="43"/>
        <v>2026</v>
      </c>
      <c r="W131" s="4" t="str">
        <f t="shared" si="44"/>
        <v>Europe</v>
      </c>
    </row>
    <row r="132" spans="1:23" x14ac:dyDescent="0.25">
      <c r="A132" t="s">
        <v>246</v>
      </c>
      <c r="B132" t="s">
        <v>13</v>
      </c>
      <c r="C132" t="s">
        <v>63</v>
      </c>
      <c r="D132" t="s">
        <v>48</v>
      </c>
      <c r="E132" t="s">
        <v>24</v>
      </c>
      <c r="F132" s="1" t="s">
        <v>247</v>
      </c>
      <c r="G132">
        <v>8407.66</v>
      </c>
      <c r="H132">
        <v>69224.899999999994</v>
      </c>
      <c r="I132" t="str">
        <f t="shared" si="30"/>
        <v>Bengaluru</v>
      </c>
      <c r="J132" t="str">
        <f t="shared" si="31"/>
        <v>Bengaluru</v>
      </c>
      <c r="K132" t="str">
        <f t="shared" si="32"/>
        <v>Tata Power</v>
      </c>
      <c r="L132" s="4" t="str">
        <f t="shared" si="33"/>
        <v>Tata Power</v>
      </c>
      <c r="M132" s="4" t="str">
        <f t="shared" si="34"/>
        <v>Bharat Dc-001</v>
      </c>
      <c r="N132" s="4" t="str">
        <f t="shared" si="35"/>
        <v>Bharat Dc-001</v>
      </c>
      <c r="O132" s="4" t="str">
        <f t="shared" si="36"/>
        <v>Active</v>
      </c>
      <c r="P132" s="4" t="str">
        <f t="shared" si="37"/>
        <v>Active</v>
      </c>
      <c r="Q132" s="4" t="str">
        <f t="shared" si="38"/>
        <v>Bengaluru</v>
      </c>
      <c r="R132" s="4" t="b">
        <f t="shared" si="39"/>
        <v>0</v>
      </c>
      <c r="S132" s="5" t="str">
        <f t="shared" si="40"/>
        <v>18/11/2024</v>
      </c>
      <c r="T132" s="4" t="str">
        <f t="shared" si="41"/>
        <v>Government</v>
      </c>
      <c r="U132" s="4" t="str">
        <f t="shared" si="42"/>
        <v>fast</v>
      </c>
      <c r="V132" s="4" t="e">
        <f t="shared" si="43"/>
        <v>#VALUE!</v>
      </c>
      <c r="W132" s="4" t="str">
        <f t="shared" si="44"/>
        <v>India</v>
      </c>
    </row>
    <row r="133" spans="1:23" x14ac:dyDescent="0.25">
      <c r="A133" t="s">
        <v>248</v>
      </c>
      <c r="B133" t="s">
        <v>70</v>
      </c>
      <c r="C133" t="s">
        <v>41</v>
      </c>
      <c r="D133" t="s">
        <v>56</v>
      </c>
      <c r="E133" t="s">
        <v>31</v>
      </c>
      <c r="F133" s="1">
        <v>45509</v>
      </c>
      <c r="G133">
        <v>2688.71</v>
      </c>
      <c r="H133">
        <v>28376.720000000001</v>
      </c>
      <c r="I133" t="str">
        <f t="shared" si="30"/>
        <v>Delhi</v>
      </c>
      <c r="J133" t="str">
        <f t="shared" si="31"/>
        <v>Delhi</v>
      </c>
      <c r="K133" t="str">
        <f t="shared" si="32"/>
        <v>Ather Grid</v>
      </c>
      <c r="L133" s="4" t="str">
        <f t="shared" si="33"/>
        <v>Ather Grid</v>
      </c>
      <c r="M133" s="4" t="str">
        <f t="shared" si="34"/>
        <v>Ccs2</v>
      </c>
      <c r="N133" s="4" t="str">
        <f t="shared" si="35"/>
        <v>Ccs2</v>
      </c>
      <c r="O133" s="4" t="str">
        <f t="shared" si="36"/>
        <v>Maintenance</v>
      </c>
      <c r="P133" s="4" t="str">
        <f t="shared" si="37"/>
        <v>Maintenance</v>
      </c>
      <c r="Q133" s="4" t="str">
        <f t="shared" si="38"/>
        <v>Delhi</v>
      </c>
      <c r="R133" s="4" t="b">
        <f t="shared" si="39"/>
        <v>1</v>
      </c>
      <c r="S133" s="5" t="str">
        <f t="shared" si="40"/>
        <v>45509</v>
      </c>
      <c r="T133" s="4" t="str">
        <f t="shared" si="41"/>
        <v>Private</v>
      </c>
      <c r="U133" s="4" t="str">
        <f t="shared" si="42"/>
        <v>Ultra Fast</v>
      </c>
      <c r="V133" s="4">
        <f t="shared" si="43"/>
        <v>2024</v>
      </c>
      <c r="W133" s="4" t="str">
        <f t="shared" si="44"/>
        <v>Europe</v>
      </c>
    </row>
    <row r="134" spans="1:23" x14ac:dyDescent="0.25">
      <c r="A134" t="s">
        <v>249</v>
      </c>
      <c r="B134" t="s">
        <v>40</v>
      </c>
      <c r="C134" t="s">
        <v>63</v>
      </c>
      <c r="D134" t="s">
        <v>26</v>
      </c>
      <c r="E134" t="s">
        <v>24</v>
      </c>
      <c r="F134" s="1">
        <v>45963</v>
      </c>
      <c r="G134">
        <v>10395.07</v>
      </c>
      <c r="H134">
        <v>92722.8</v>
      </c>
      <c r="I134" t="str">
        <f t="shared" si="30"/>
        <v>Mumbai</v>
      </c>
      <c r="J134" t="str">
        <f t="shared" si="31"/>
        <v>Mumbai</v>
      </c>
      <c r="K134" t="str">
        <f t="shared" si="32"/>
        <v>Tata Power</v>
      </c>
      <c r="L134" s="4" t="str">
        <f t="shared" si="33"/>
        <v>Tata Power</v>
      </c>
      <c r="M134" s="4" t="str">
        <f t="shared" si="34"/>
        <v>Chademo</v>
      </c>
      <c r="N134" s="4" t="str">
        <f t="shared" si="35"/>
        <v>Chademo</v>
      </c>
      <c r="O134" s="4" t="str">
        <f t="shared" si="36"/>
        <v>Active</v>
      </c>
      <c r="P134" s="4" t="str">
        <f t="shared" si="37"/>
        <v>Active</v>
      </c>
      <c r="Q134" s="4" t="str">
        <f t="shared" si="38"/>
        <v>Mumbai</v>
      </c>
      <c r="R134" s="4" t="b">
        <f t="shared" si="39"/>
        <v>1</v>
      </c>
      <c r="S134" s="5" t="str">
        <f t="shared" si="40"/>
        <v>45963</v>
      </c>
      <c r="T134" s="4" t="str">
        <f t="shared" si="41"/>
        <v>Government</v>
      </c>
      <c r="U134" s="4" t="str">
        <f t="shared" si="42"/>
        <v>fast</v>
      </c>
      <c r="V134" s="4">
        <f t="shared" si="43"/>
        <v>2025</v>
      </c>
      <c r="W134" s="4" t="str">
        <f t="shared" si="44"/>
        <v>Japan</v>
      </c>
    </row>
    <row r="135" spans="1:23" x14ac:dyDescent="0.25">
      <c r="A135" t="s">
        <v>250</v>
      </c>
      <c r="B135" t="s">
        <v>70</v>
      </c>
      <c r="C135" t="s">
        <v>36</v>
      </c>
      <c r="D135" t="s">
        <v>48</v>
      </c>
      <c r="E135" t="s">
        <v>24</v>
      </c>
      <c r="F135" s="1">
        <v>45803</v>
      </c>
      <c r="G135">
        <v>10682.85</v>
      </c>
      <c r="H135">
        <v>153484.72</v>
      </c>
      <c r="I135" t="str">
        <f t="shared" si="30"/>
        <v>Delhi</v>
      </c>
      <c r="J135" t="str">
        <f t="shared" si="31"/>
        <v>Delhi</v>
      </c>
      <c r="K135" t="str">
        <f t="shared" si="32"/>
        <v>Zeon Charging</v>
      </c>
      <c r="L135" s="4" t="str">
        <f t="shared" si="33"/>
        <v>Zeon Charging</v>
      </c>
      <c r="M135" s="4" t="str">
        <f t="shared" si="34"/>
        <v>Bharat Dc-001</v>
      </c>
      <c r="N135" s="4" t="str">
        <f t="shared" si="35"/>
        <v>Bharat Dc-001</v>
      </c>
      <c r="O135" s="4" t="str">
        <f t="shared" si="36"/>
        <v>Active</v>
      </c>
      <c r="P135" s="4" t="str">
        <f t="shared" si="37"/>
        <v>Active</v>
      </c>
      <c r="Q135" s="4" t="str">
        <f t="shared" si="38"/>
        <v>Delhi</v>
      </c>
      <c r="R135" s="4" t="b">
        <f t="shared" si="39"/>
        <v>1</v>
      </c>
      <c r="S135" s="5" t="str">
        <f t="shared" si="40"/>
        <v>45803</v>
      </c>
      <c r="T135" s="4" t="str">
        <f t="shared" si="41"/>
        <v>Private</v>
      </c>
      <c r="U135" s="4" t="str">
        <f t="shared" si="42"/>
        <v>fast</v>
      </c>
      <c r="V135" s="4">
        <f t="shared" si="43"/>
        <v>2025</v>
      </c>
      <c r="W135" s="4" t="str">
        <f t="shared" si="44"/>
        <v>India</v>
      </c>
    </row>
    <row r="136" spans="1:23" x14ac:dyDescent="0.25">
      <c r="A136" t="s">
        <v>252</v>
      </c>
      <c r="B136" t="s">
        <v>23</v>
      </c>
      <c r="C136" t="s">
        <v>36</v>
      </c>
      <c r="D136" t="s">
        <v>17</v>
      </c>
      <c r="E136" t="s">
        <v>15</v>
      </c>
      <c r="F136" s="1">
        <v>45697</v>
      </c>
      <c r="G136">
        <v>155.68</v>
      </c>
      <c r="H136">
        <v>1601.49</v>
      </c>
      <c r="I136" t="str">
        <f t="shared" si="30"/>
        <v>Ahemdabad</v>
      </c>
      <c r="J136" t="str">
        <f t="shared" si="31"/>
        <v>Ahemdabad</v>
      </c>
      <c r="K136" t="str">
        <f t="shared" si="32"/>
        <v>Zeon Charging</v>
      </c>
      <c r="L136" s="4" t="str">
        <f t="shared" si="33"/>
        <v>Zeon Charging</v>
      </c>
      <c r="M136" s="4" t="str">
        <f t="shared" si="34"/>
        <v>Type2 Ac</v>
      </c>
      <c r="N136" s="4" t="str">
        <f t="shared" si="35"/>
        <v>Type2 Ac</v>
      </c>
      <c r="O136" s="4" t="str">
        <f t="shared" si="36"/>
        <v>Decommissioned</v>
      </c>
      <c r="P136" s="4" t="str">
        <f t="shared" si="37"/>
        <v>Decommissioned</v>
      </c>
      <c r="Q136" s="4" t="str">
        <f t="shared" si="38"/>
        <v>Ahemdabad</v>
      </c>
      <c r="R136" s="4" t="b">
        <f t="shared" si="39"/>
        <v>1</v>
      </c>
      <c r="S136" s="5" t="str">
        <f t="shared" si="40"/>
        <v>45697</v>
      </c>
      <c r="T136" s="4" t="str">
        <f t="shared" si="41"/>
        <v>Private</v>
      </c>
      <c r="U136" s="4" t="str">
        <f t="shared" si="42"/>
        <v>Slow</v>
      </c>
      <c r="V136" s="4">
        <f t="shared" si="43"/>
        <v>2025</v>
      </c>
      <c r="W136" s="4" t="str">
        <f t="shared" si="44"/>
        <v>Germany</v>
      </c>
    </row>
    <row r="137" spans="1:23" x14ac:dyDescent="0.25">
      <c r="A137" t="s">
        <v>253</v>
      </c>
      <c r="B137" t="s">
        <v>70</v>
      </c>
      <c r="C137" t="s">
        <v>14</v>
      </c>
      <c r="D137" t="s">
        <v>48</v>
      </c>
      <c r="E137" t="s">
        <v>24</v>
      </c>
      <c r="F137" s="1">
        <v>45950</v>
      </c>
      <c r="I137" t="str">
        <f t="shared" si="30"/>
        <v>Delhi</v>
      </c>
      <c r="J137" t="str">
        <f t="shared" si="31"/>
        <v>Delhi</v>
      </c>
      <c r="K137" t="str">
        <f t="shared" si="32"/>
        <v>Charge Point</v>
      </c>
      <c r="L137" s="4" t="str">
        <f t="shared" si="33"/>
        <v>Charge Point</v>
      </c>
      <c r="M137" s="4" t="str">
        <f t="shared" si="34"/>
        <v>Bharat Dc-001</v>
      </c>
      <c r="N137" s="4" t="str">
        <f t="shared" si="35"/>
        <v>Bharat Dc-001</v>
      </c>
      <c r="O137" s="4" t="str">
        <f t="shared" si="36"/>
        <v>Active</v>
      </c>
      <c r="P137" s="4" t="str">
        <f t="shared" si="37"/>
        <v>Active</v>
      </c>
      <c r="Q137" s="4" t="str">
        <f t="shared" si="38"/>
        <v>Delhi</v>
      </c>
      <c r="R137" s="4" t="b">
        <f t="shared" si="39"/>
        <v>1</v>
      </c>
      <c r="S137" s="5" t="str">
        <f t="shared" si="40"/>
        <v>45950</v>
      </c>
      <c r="T137" s="4" t="str">
        <f t="shared" si="41"/>
        <v>Private</v>
      </c>
      <c r="U137" s="4" t="str">
        <f t="shared" si="42"/>
        <v>fast</v>
      </c>
      <c r="V137" s="4">
        <f t="shared" si="43"/>
        <v>2025</v>
      </c>
      <c r="W137" s="4" t="str">
        <f t="shared" si="44"/>
        <v>India</v>
      </c>
    </row>
    <row r="138" spans="1:23" x14ac:dyDescent="0.25">
      <c r="A138" t="s">
        <v>255</v>
      </c>
      <c r="B138" t="s">
        <v>35</v>
      </c>
      <c r="C138" t="s">
        <v>36</v>
      </c>
      <c r="D138" t="s">
        <v>17</v>
      </c>
      <c r="E138" t="s">
        <v>54</v>
      </c>
      <c r="F138" s="1">
        <v>45761</v>
      </c>
      <c r="I138" t="str">
        <f t="shared" si="30"/>
        <v>Chennai</v>
      </c>
      <c r="J138" t="str">
        <f t="shared" si="31"/>
        <v>Chennai</v>
      </c>
      <c r="K138" t="str">
        <f t="shared" si="32"/>
        <v>Zeon Charging</v>
      </c>
      <c r="L138" s="4" t="str">
        <f t="shared" si="33"/>
        <v>Zeon Charging</v>
      </c>
      <c r="M138" s="4" t="str">
        <f t="shared" si="34"/>
        <v>Type2 Ac</v>
      </c>
      <c r="N138" s="4" t="str">
        <f t="shared" si="35"/>
        <v>Type2 Ac</v>
      </c>
      <c r="O138" s="4" t="str">
        <f t="shared" si="36"/>
        <v>Inactive</v>
      </c>
      <c r="P138" s="4" t="str">
        <f t="shared" si="37"/>
        <v>Inactive</v>
      </c>
      <c r="Q138" s="4" t="str">
        <f t="shared" si="38"/>
        <v>Chennai</v>
      </c>
      <c r="R138" s="4" t="b">
        <f t="shared" si="39"/>
        <v>1</v>
      </c>
      <c r="S138" s="5" t="str">
        <f t="shared" si="40"/>
        <v>45761</v>
      </c>
      <c r="T138" s="4" t="str">
        <f t="shared" si="41"/>
        <v>Private</v>
      </c>
      <c r="U138" s="4" t="str">
        <f t="shared" si="42"/>
        <v>Slow</v>
      </c>
      <c r="V138" s="4">
        <f t="shared" si="43"/>
        <v>2025</v>
      </c>
      <c r="W138" s="4" t="str">
        <f t="shared" si="44"/>
        <v>Germany</v>
      </c>
    </row>
    <row r="139" spans="1:23" x14ac:dyDescent="0.25">
      <c r="A139" t="s">
        <v>257</v>
      </c>
      <c r="B139" t="s">
        <v>30</v>
      </c>
      <c r="C139" t="s">
        <v>14</v>
      </c>
      <c r="D139" t="s">
        <v>17</v>
      </c>
      <c r="E139" t="s">
        <v>31</v>
      </c>
      <c r="F139" s="1">
        <v>45438</v>
      </c>
      <c r="G139">
        <v>2118.14</v>
      </c>
      <c r="H139">
        <v>28606.73</v>
      </c>
      <c r="I139" t="str">
        <f t="shared" si="30"/>
        <v>Hyderabad</v>
      </c>
      <c r="J139" t="str">
        <f t="shared" si="31"/>
        <v>Hyderabad</v>
      </c>
      <c r="K139" t="str">
        <f t="shared" si="32"/>
        <v>Charge Point</v>
      </c>
      <c r="L139" s="4" t="str">
        <f t="shared" si="33"/>
        <v>Charge Point</v>
      </c>
      <c r="M139" s="4" t="str">
        <f t="shared" si="34"/>
        <v>Type2 Ac</v>
      </c>
      <c r="N139" s="4" t="str">
        <f t="shared" si="35"/>
        <v>Type2 Ac</v>
      </c>
      <c r="O139" s="4" t="str">
        <f t="shared" si="36"/>
        <v>Maintenance</v>
      </c>
      <c r="P139" s="4" t="str">
        <f t="shared" si="37"/>
        <v>Maintenance</v>
      </c>
      <c r="Q139" s="4" t="str">
        <f t="shared" si="38"/>
        <v>Hyderabad</v>
      </c>
      <c r="R139" s="4" t="b">
        <f t="shared" si="39"/>
        <v>1</v>
      </c>
      <c r="S139" s="5" t="str">
        <f t="shared" si="40"/>
        <v>45438</v>
      </c>
      <c r="T139" s="4" t="str">
        <f t="shared" si="41"/>
        <v>Private</v>
      </c>
      <c r="U139" s="4" t="str">
        <f t="shared" si="42"/>
        <v>Slow</v>
      </c>
      <c r="V139" s="4">
        <f t="shared" si="43"/>
        <v>2024</v>
      </c>
      <c r="W139" s="4" t="str">
        <f t="shared" si="44"/>
        <v>Germany</v>
      </c>
    </row>
    <row r="140" spans="1:23" x14ac:dyDescent="0.25">
      <c r="A140" t="s">
        <v>259</v>
      </c>
      <c r="B140" t="s">
        <v>13</v>
      </c>
      <c r="C140" t="s">
        <v>41</v>
      </c>
      <c r="D140" t="s">
        <v>48</v>
      </c>
      <c r="E140" t="s">
        <v>24</v>
      </c>
      <c r="F140" s="1">
        <v>45563</v>
      </c>
      <c r="G140">
        <v>5842.32</v>
      </c>
      <c r="H140">
        <v>82582.5</v>
      </c>
      <c r="I140" t="str">
        <f t="shared" si="30"/>
        <v>Bengaluru</v>
      </c>
      <c r="J140" t="str">
        <f t="shared" si="31"/>
        <v>Bengaluru</v>
      </c>
      <c r="K140" t="str">
        <f t="shared" si="32"/>
        <v>Ather Grid</v>
      </c>
      <c r="L140" s="4" t="str">
        <f t="shared" si="33"/>
        <v>Ather Grid</v>
      </c>
      <c r="M140" s="4" t="str">
        <f t="shared" si="34"/>
        <v>Bharat Dc-001</v>
      </c>
      <c r="N140" s="4" t="str">
        <f t="shared" si="35"/>
        <v>Bharat Dc-001</v>
      </c>
      <c r="O140" s="4" t="str">
        <f t="shared" si="36"/>
        <v>Active</v>
      </c>
      <c r="P140" s="4" t="str">
        <f t="shared" si="37"/>
        <v>Active</v>
      </c>
      <c r="Q140" s="4" t="str">
        <f t="shared" si="38"/>
        <v>Bengaluru</v>
      </c>
      <c r="R140" s="4" t="b">
        <f t="shared" si="39"/>
        <v>1</v>
      </c>
      <c r="S140" s="5" t="str">
        <f t="shared" si="40"/>
        <v>45563</v>
      </c>
      <c r="T140" s="4" t="str">
        <f t="shared" si="41"/>
        <v>Private</v>
      </c>
      <c r="U140" s="4" t="str">
        <f t="shared" si="42"/>
        <v>fast</v>
      </c>
      <c r="V140" s="4">
        <f t="shared" si="43"/>
        <v>2024</v>
      </c>
      <c r="W140" s="4" t="str">
        <f t="shared" si="44"/>
        <v>India</v>
      </c>
    </row>
    <row r="141" spans="1:23" x14ac:dyDescent="0.25">
      <c r="A141" t="s">
        <v>261</v>
      </c>
      <c r="B141" t="s">
        <v>23</v>
      </c>
      <c r="C141" t="s">
        <v>783</v>
      </c>
      <c r="D141" t="s">
        <v>17</v>
      </c>
      <c r="E141" t="s">
        <v>54</v>
      </c>
      <c r="F141" s="1">
        <v>45434</v>
      </c>
      <c r="G141">
        <v>278.7</v>
      </c>
      <c r="H141">
        <v>2943.35</v>
      </c>
      <c r="I141" t="str">
        <f t="shared" si="30"/>
        <v>Ahemdabad</v>
      </c>
      <c r="J141" t="str">
        <f t="shared" si="31"/>
        <v>Ahemdabad</v>
      </c>
      <c r="K141" t="str">
        <f t="shared" si="32"/>
        <v>Tata Power</v>
      </c>
      <c r="L141" s="4" t="str">
        <f t="shared" si="33"/>
        <v>Tata Power</v>
      </c>
      <c r="M141" s="4" t="str">
        <f t="shared" si="34"/>
        <v>Type2 Ac</v>
      </c>
      <c r="N141" s="4" t="str">
        <f t="shared" si="35"/>
        <v>Type2 Ac</v>
      </c>
      <c r="O141" s="4" t="str">
        <f t="shared" si="36"/>
        <v>Inactive</v>
      </c>
      <c r="P141" s="4" t="str">
        <f t="shared" si="37"/>
        <v>Inactive</v>
      </c>
      <c r="Q141" s="4" t="str">
        <f t="shared" si="38"/>
        <v>Ahemdabad</v>
      </c>
      <c r="R141" s="4" t="b">
        <f t="shared" si="39"/>
        <v>1</v>
      </c>
      <c r="S141" s="5" t="str">
        <f t="shared" si="40"/>
        <v>45434</v>
      </c>
      <c r="T141" s="4" t="str">
        <f t="shared" si="41"/>
        <v>Government</v>
      </c>
      <c r="U141" s="4" t="str">
        <f t="shared" si="42"/>
        <v>Slow</v>
      </c>
      <c r="V141" s="4">
        <f t="shared" si="43"/>
        <v>2024</v>
      </c>
      <c r="W141" s="4" t="str">
        <f t="shared" si="44"/>
        <v>Germany</v>
      </c>
    </row>
    <row r="142" spans="1:23" x14ac:dyDescent="0.25">
      <c r="A142" t="s">
        <v>262</v>
      </c>
      <c r="B142" t="s">
        <v>23</v>
      </c>
      <c r="C142" t="s">
        <v>63</v>
      </c>
      <c r="D142" t="s">
        <v>56</v>
      </c>
      <c r="E142" t="s">
        <v>15</v>
      </c>
      <c r="F142" s="1">
        <v>45544</v>
      </c>
      <c r="G142">
        <v>183.49</v>
      </c>
      <c r="H142">
        <v>2112.44</v>
      </c>
      <c r="I142" t="str">
        <f t="shared" si="30"/>
        <v>Ahemdabad</v>
      </c>
      <c r="J142" t="str">
        <f t="shared" si="31"/>
        <v>Ahemdabad</v>
      </c>
      <c r="K142" t="str">
        <f t="shared" si="32"/>
        <v>Tata Power</v>
      </c>
      <c r="L142" s="4" t="str">
        <f t="shared" si="33"/>
        <v>Tata Power</v>
      </c>
      <c r="M142" s="4" t="str">
        <f t="shared" si="34"/>
        <v>Ccs2</v>
      </c>
      <c r="N142" s="4" t="str">
        <f t="shared" si="35"/>
        <v>Ccs2</v>
      </c>
      <c r="O142" s="4" t="str">
        <f t="shared" si="36"/>
        <v>Decommissioned</v>
      </c>
      <c r="P142" s="4" t="str">
        <f t="shared" si="37"/>
        <v>Decommissioned</v>
      </c>
      <c r="Q142" s="4" t="str">
        <f t="shared" si="38"/>
        <v>Ahemdabad</v>
      </c>
      <c r="R142" s="4" t="b">
        <f t="shared" si="39"/>
        <v>1</v>
      </c>
      <c r="S142" s="5" t="str">
        <f t="shared" si="40"/>
        <v>45544</v>
      </c>
      <c r="T142" s="4" t="str">
        <f t="shared" si="41"/>
        <v>Government</v>
      </c>
      <c r="U142" s="4" t="str">
        <f t="shared" si="42"/>
        <v>Ultra Fast</v>
      </c>
      <c r="V142" s="4">
        <f t="shared" si="43"/>
        <v>2024</v>
      </c>
      <c r="W142" s="4" t="str">
        <f t="shared" si="44"/>
        <v>Europe</v>
      </c>
    </row>
    <row r="143" spans="1:23" x14ac:dyDescent="0.25">
      <c r="A143" t="s">
        <v>263</v>
      </c>
      <c r="B143" t="s">
        <v>70</v>
      </c>
      <c r="C143" t="s">
        <v>14</v>
      </c>
      <c r="D143" t="s">
        <v>26</v>
      </c>
      <c r="E143" t="s">
        <v>24</v>
      </c>
      <c r="F143" s="1">
        <v>46054</v>
      </c>
      <c r="G143">
        <v>1895.62</v>
      </c>
      <c r="H143">
        <v>18781.22</v>
      </c>
      <c r="I143" t="str">
        <f t="shared" si="30"/>
        <v>Delhi</v>
      </c>
      <c r="J143" t="str">
        <f t="shared" si="31"/>
        <v>Delhi</v>
      </c>
      <c r="K143" t="str">
        <f t="shared" si="32"/>
        <v>Charge Point</v>
      </c>
      <c r="L143" s="4" t="str">
        <f t="shared" si="33"/>
        <v>Charge Point</v>
      </c>
      <c r="M143" s="4" t="str">
        <f t="shared" si="34"/>
        <v>Chademo</v>
      </c>
      <c r="N143" s="4" t="str">
        <f t="shared" si="35"/>
        <v>Chademo</v>
      </c>
      <c r="O143" s="4" t="str">
        <f t="shared" si="36"/>
        <v>Active</v>
      </c>
      <c r="P143" s="4" t="str">
        <f t="shared" si="37"/>
        <v>Active</v>
      </c>
      <c r="Q143" s="4" t="str">
        <f t="shared" si="38"/>
        <v>Delhi</v>
      </c>
      <c r="R143" s="4" t="b">
        <f t="shared" si="39"/>
        <v>1</v>
      </c>
      <c r="S143" s="5" t="str">
        <f t="shared" si="40"/>
        <v>46054</v>
      </c>
      <c r="T143" s="4" t="str">
        <f t="shared" si="41"/>
        <v>Private</v>
      </c>
      <c r="U143" s="4" t="str">
        <f t="shared" si="42"/>
        <v>fast</v>
      </c>
      <c r="V143" s="4">
        <f t="shared" si="43"/>
        <v>2026</v>
      </c>
      <c r="W143" s="4" t="str">
        <f t="shared" si="44"/>
        <v>Japan</v>
      </c>
    </row>
    <row r="144" spans="1:23" x14ac:dyDescent="0.25">
      <c r="A144" t="s">
        <v>264</v>
      </c>
      <c r="B144" t="s">
        <v>13</v>
      </c>
      <c r="C144" t="s">
        <v>63</v>
      </c>
      <c r="D144" t="s">
        <v>17</v>
      </c>
      <c r="E144" t="s">
        <v>31</v>
      </c>
      <c r="F144" s="1">
        <v>45866</v>
      </c>
      <c r="G144">
        <v>486.68</v>
      </c>
      <c r="H144">
        <v>4454</v>
      </c>
      <c r="I144" t="str">
        <f t="shared" si="30"/>
        <v>Bengaluru</v>
      </c>
      <c r="J144" t="str">
        <f t="shared" si="31"/>
        <v>Bengaluru</v>
      </c>
      <c r="K144" t="str">
        <f t="shared" si="32"/>
        <v>Tata Power</v>
      </c>
      <c r="L144" s="4" t="str">
        <f t="shared" si="33"/>
        <v>Tata Power</v>
      </c>
      <c r="M144" s="4" t="str">
        <f t="shared" si="34"/>
        <v>Type2 Ac</v>
      </c>
      <c r="N144" s="4" t="str">
        <f t="shared" si="35"/>
        <v>Type2 Ac</v>
      </c>
      <c r="O144" s="4" t="str">
        <f t="shared" si="36"/>
        <v>Maintenance</v>
      </c>
      <c r="P144" s="4" t="str">
        <f t="shared" si="37"/>
        <v>Maintenance</v>
      </c>
      <c r="Q144" s="4" t="str">
        <f t="shared" si="38"/>
        <v>Bengaluru</v>
      </c>
      <c r="R144" s="4" t="b">
        <f t="shared" si="39"/>
        <v>1</v>
      </c>
      <c r="S144" s="5" t="str">
        <f t="shared" si="40"/>
        <v>45866</v>
      </c>
      <c r="T144" s="4" t="str">
        <f t="shared" si="41"/>
        <v>Government</v>
      </c>
      <c r="U144" s="4" t="str">
        <f t="shared" si="42"/>
        <v>Slow</v>
      </c>
      <c r="V144" s="4">
        <f t="shared" si="43"/>
        <v>2025</v>
      </c>
      <c r="W144" s="4" t="str">
        <f t="shared" si="44"/>
        <v>Germany</v>
      </c>
    </row>
    <row r="145" spans="1:23" x14ac:dyDescent="0.25">
      <c r="A145" t="s">
        <v>265</v>
      </c>
      <c r="B145" t="s">
        <v>70</v>
      </c>
      <c r="C145" t="s">
        <v>36</v>
      </c>
      <c r="D145" t="s">
        <v>56</v>
      </c>
      <c r="E145" t="s">
        <v>24</v>
      </c>
      <c r="F145" s="1">
        <v>45843</v>
      </c>
      <c r="G145">
        <v>5843.4</v>
      </c>
      <c r="H145">
        <v>84135.28</v>
      </c>
      <c r="I145" t="str">
        <f t="shared" si="30"/>
        <v>Delhi</v>
      </c>
      <c r="J145" t="str">
        <f t="shared" si="31"/>
        <v>Delhi</v>
      </c>
      <c r="K145" t="str">
        <f t="shared" si="32"/>
        <v>Zeon Charging</v>
      </c>
      <c r="L145" s="4" t="str">
        <f t="shared" si="33"/>
        <v>Zeon Charging</v>
      </c>
      <c r="M145" s="4" t="str">
        <f t="shared" si="34"/>
        <v>Ccs2</v>
      </c>
      <c r="N145" s="4" t="str">
        <f t="shared" si="35"/>
        <v>Ccs2</v>
      </c>
      <c r="O145" s="4" t="str">
        <f t="shared" si="36"/>
        <v>Active</v>
      </c>
      <c r="P145" s="4" t="str">
        <f t="shared" si="37"/>
        <v>Active</v>
      </c>
      <c r="Q145" s="4" t="str">
        <f t="shared" si="38"/>
        <v>Delhi</v>
      </c>
      <c r="R145" s="4" t="b">
        <f t="shared" si="39"/>
        <v>1</v>
      </c>
      <c r="S145" s="5" t="str">
        <f t="shared" si="40"/>
        <v>45843</v>
      </c>
      <c r="T145" s="4" t="str">
        <f t="shared" si="41"/>
        <v>Private</v>
      </c>
      <c r="U145" s="4" t="str">
        <f t="shared" si="42"/>
        <v>Ultra Fast</v>
      </c>
      <c r="V145" s="4">
        <f t="shared" si="43"/>
        <v>2025</v>
      </c>
      <c r="W145" s="4" t="str">
        <f t="shared" si="44"/>
        <v>Europe</v>
      </c>
    </row>
    <row r="146" spans="1:23" x14ac:dyDescent="0.25">
      <c r="A146" t="s">
        <v>266</v>
      </c>
      <c r="B146" t="s">
        <v>70</v>
      </c>
      <c r="C146" t="s">
        <v>764</v>
      </c>
      <c r="D146" t="s">
        <v>17</v>
      </c>
      <c r="E146" t="s">
        <v>24</v>
      </c>
      <c r="F146" s="1">
        <v>45561</v>
      </c>
      <c r="G146">
        <v>6608.02</v>
      </c>
      <c r="H146">
        <v>96538.64</v>
      </c>
      <c r="I146" t="str">
        <f t="shared" si="30"/>
        <v>Delhi</v>
      </c>
      <c r="J146" t="str">
        <f t="shared" si="31"/>
        <v>Delhi</v>
      </c>
      <c r="K146" t="str">
        <f t="shared" si="32"/>
        <v>Bpcl</v>
      </c>
      <c r="L146" s="4" t="str">
        <f t="shared" si="33"/>
        <v>Bpcl</v>
      </c>
      <c r="M146" s="4" t="str">
        <f t="shared" si="34"/>
        <v>Type2 Ac</v>
      </c>
      <c r="N146" s="4" t="str">
        <f t="shared" si="35"/>
        <v>Type2 Ac</v>
      </c>
      <c r="O146" s="4" t="str">
        <f t="shared" si="36"/>
        <v>Active</v>
      </c>
      <c r="P146" s="4" t="str">
        <f t="shared" si="37"/>
        <v>Active</v>
      </c>
      <c r="Q146" s="4" t="str">
        <f t="shared" si="38"/>
        <v>Delhi</v>
      </c>
      <c r="R146" s="4" t="b">
        <f t="shared" si="39"/>
        <v>1</v>
      </c>
      <c r="S146" s="5" t="str">
        <f t="shared" si="40"/>
        <v>45561</v>
      </c>
      <c r="T146" s="4" t="str">
        <f t="shared" si="41"/>
        <v>Government</v>
      </c>
      <c r="U146" s="4" t="str">
        <f t="shared" si="42"/>
        <v>Slow</v>
      </c>
      <c r="V146" s="4">
        <f t="shared" si="43"/>
        <v>2024</v>
      </c>
      <c r="W146" s="4" t="str">
        <f t="shared" si="44"/>
        <v>Germany</v>
      </c>
    </row>
    <row r="147" spans="1:23" x14ac:dyDescent="0.25">
      <c r="A147" t="s">
        <v>268</v>
      </c>
      <c r="B147" t="s">
        <v>40</v>
      </c>
      <c r="C147" t="s">
        <v>14</v>
      </c>
      <c r="D147" t="s">
        <v>26</v>
      </c>
      <c r="E147" t="s">
        <v>24</v>
      </c>
      <c r="F147" s="1">
        <v>46056</v>
      </c>
      <c r="G147">
        <v>6927.64</v>
      </c>
      <c r="H147">
        <v>102332.94</v>
      </c>
      <c r="I147" t="str">
        <f t="shared" si="30"/>
        <v>Mumbai</v>
      </c>
      <c r="J147" t="str">
        <f t="shared" si="31"/>
        <v>Mumbai</v>
      </c>
      <c r="K147" t="str">
        <f t="shared" si="32"/>
        <v>Charge Point</v>
      </c>
      <c r="L147" s="4" t="str">
        <f t="shared" si="33"/>
        <v>Charge Point</v>
      </c>
      <c r="M147" s="4" t="str">
        <f t="shared" si="34"/>
        <v>Chademo</v>
      </c>
      <c r="N147" s="4" t="str">
        <f t="shared" si="35"/>
        <v>Chademo</v>
      </c>
      <c r="O147" s="4" t="str">
        <f t="shared" si="36"/>
        <v>Active</v>
      </c>
      <c r="P147" s="4" t="str">
        <f t="shared" si="37"/>
        <v>Active</v>
      </c>
      <c r="Q147" s="4" t="str">
        <f t="shared" si="38"/>
        <v>Mumbai</v>
      </c>
      <c r="R147" s="4" t="b">
        <f t="shared" si="39"/>
        <v>1</v>
      </c>
      <c r="S147" s="5" t="str">
        <f t="shared" si="40"/>
        <v>46056</v>
      </c>
      <c r="T147" s="4" t="str">
        <f t="shared" si="41"/>
        <v>Private</v>
      </c>
      <c r="U147" s="4" t="str">
        <f t="shared" si="42"/>
        <v>fast</v>
      </c>
      <c r="V147" s="4">
        <f t="shared" si="43"/>
        <v>2026</v>
      </c>
      <c r="W147" s="4" t="str">
        <f t="shared" si="44"/>
        <v>Japan</v>
      </c>
    </row>
    <row r="148" spans="1:23" x14ac:dyDescent="0.25">
      <c r="A148" t="s">
        <v>269</v>
      </c>
      <c r="B148" t="s">
        <v>766</v>
      </c>
      <c r="C148" t="s">
        <v>63</v>
      </c>
      <c r="D148" t="s">
        <v>56</v>
      </c>
      <c r="E148" t="s">
        <v>24</v>
      </c>
      <c r="F148" s="1"/>
      <c r="G148">
        <v>4148.93</v>
      </c>
      <c r="H148">
        <v>41763.089999999997</v>
      </c>
      <c r="I148" t="str">
        <f t="shared" si="30"/>
        <v>Chennai</v>
      </c>
      <c r="J148" t="str">
        <f t="shared" si="31"/>
        <v>Chennai</v>
      </c>
      <c r="K148" t="str">
        <f t="shared" si="32"/>
        <v>Tata Power</v>
      </c>
      <c r="L148" s="4" t="str">
        <f t="shared" si="33"/>
        <v>Tata Power</v>
      </c>
      <c r="M148" s="4" t="str">
        <f t="shared" si="34"/>
        <v>Ccs2</v>
      </c>
      <c r="N148" s="4" t="str">
        <f t="shared" si="35"/>
        <v>Ccs2</v>
      </c>
      <c r="O148" s="4" t="str">
        <f t="shared" si="36"/>
        <v>Active</v>
      </c>
      <c r="P148" s="4" t="str">
        <f t="shared" si="37"/>
        <v>Active</v>
      </c>
      <c r="Q148" s="4" t="str">
        <f t="shared" si="38"/>
        <v>Chennai</v>
      </c>
      <c r="R148" s="4" t="b">
        <f t="shared" si="39"/>
        <v>0</v>
      </c>
      <c r="S148" s="4" t="str">
        <f t="shared" si="40"/>
        <v/>
      </c>
      <c r="T148" s="4" t="str">
        <f t="shared" si="41"/>
        <v>Government</v>
      </c>
      <c r="U148" s="4" t="str">
        <f t="shared" si="42"/>
        <v>Ultra Fast</v>
      </c>
      <c r="V148" s="4">
        <f t="shared" si="43"/>
        <v>1900</v>
      </c>
      <c r="W148" s="4" t="str">
        <f t="shared" si="44"/>
        <v>Europe</v>
      </c>
    </row>
    <row r="149" spans="1:23" x14ac:dyDescent="0.25">
      <c r="A149" t="s">
        <v>270</v>
      </c>
      <c r="B149" t="s">
        <v>13</v>
      </c>
      <c r="C149" t="s">
        <v>14</v>
      </c>
      <c r="D149" t="s">
        <v>26</v>
      </c>
      <c r="E149" t="s">
        <v>15</v>
      </c>
      <c r="F149" s="1">
        <v>45730</v>
      </c>
      <c r="G149">
        <v>151.05000000000001</v>
      </c>
      <c r="H149">
        <v>2128.71</v>
      </c>
      <c r="I149" t="str">
        <f t="shared" si="30"/>
        <v>Bengaluru</v>
      </c>
      <c r="J149" t="str">
        <f t="shared" si="31"/>
        <v>Bengaluru</v>
      </c>
      <c r="K149" t="str">
        <f t="shared" si="32"/>
        <v>Charge Point</v>
      </c>
      <c r="L149" s="4" t="str">
        <f t="shared" si="33"/>
        <v>Charge Point</v>
      </c>
      <c r="M149" s="4" t="str">
        <f t="shared" si="34"/>
        <v>Chademo</v>
      </c>
      <c r="N149" s="4" t="str">
        <f t="shared" si="35"/>
        <v>Chademo</v>
      </c>
      <c r="O149" s="4" t="str">
        <f t="shared" si="36"/>
        <v>Decommissioned</v>
      </c>
      <c r="P149" s="4" t="str">
        <f t="shared" si="37"/>
        <v>Decommissioned</v>
      </c>
      <c r="Q149" s="4" t="str">
        <f t="shared" si="38"/>
        <v>Bengaluru</v>
      </c>
      <c r="R149" s="4" t="b">
        <f t="shared" si="39"/>
        <v>1</v>
      </c>
      <c r="S149" s="5" t="str">
        <f t="shared" si="40"/>
        <v>45730</v>
      </c>
      <c r="T149" s="4" t="str">
        <f t="shared" si="41"/>
        <v>Private</v>
      </c>
      <c r="U149" s="4" t="str">
        <f t="shared" si="42"/>
        <v>fast</v>
      </c>
      <c r="V149" s="4">
        <f t="shared" si="43"/>
        <v>2025</v>
      </c>
      <c r="W149" s="4" t="str">
        <f t="shared" si="44"/>
        <v>Japan</v>
      </c>
    </row>
    <row r="150" spans="1:23" x14ac:dyDescent="0.25">
      <c r="A150" t="s">
        <v>272</v>
      </c>
      <c r="B150" t="s">
        <v>40</v>
      </c>
      <c r="C150" t="s">
        <v>14</v>
      </c>
      <c r="D150" t="s">
        <v>26</v>
      </c>
      <c r="E150" t="s">
        <v>15</v>
      </c>
      <c r="F150" s="1">
        <v>45889</v>
      </c>
      <c r="G150">
        <v>88.51</v>
      </c>
      <c r="H150">
        <v>1206.3599999999999</v>
      </c>
      <c r="I150" t="str">
        <f t="shared" si="30"/>
        <v>Mumbai</v>
      </c>
      <c r="J150" t="str">
        <f t="shared" si="31"/>
        <v>Mumbai</v>
      </c>
      <c r="K150" t="str">
        <f t="shared" si="32"/>
        <v>Charge Point</v>
      </c>
      <c r="L150" s="4" t="str">
        <f t="shared" si="33"/>
        <v>Charge Point</v>
      </c>
      <c r="M150" s="4" t="str">
        <f t="shared" si="34"/>
        <v>Chademo</v>
      </c>
      <c r="N150" s="4" t="str">
        <f t="shared" si="35"/>
        <v>Chademo</v>
      </c>
      <c r="O150" s="4" t="str">
        <f t="shared" si="36"/>
        <v>Decommissioned</v>
      </c>
      <c r="P150" s="4" t="str">
        <f t="shared" si="37"/>
        <v>Decommissioned</v>
      </c>
      <c r="Q150" s="4" t="str">
        <f t="shared" si="38"/>
        <v>Mumbai</v>
      </c>
      <c r="R150" s="4" t="b">
        <f t="shared" si="39"/>
        <v>1</v>
      </c>
      <c r="S150" s="5" t="str">
        <f t="shared" si="40"/>
        <v>45889</v>
      </c>
      <c r="T150" s="4" t="str">
        <f t="shared" si="41"/>
        <v>Private</v>
      </c>
      <c r="U150" s="4" t="str">
        <f t="shared" si="42"/>
        <v>fast</v>
      </c>
      <c r="V150" s="4">
        <f t="shared" si="43"/>
        <v>2025</v>
      </c>
      <c r="W150" s="4" t="str">
        <f t="shared" si="44"/>
        <v>Japan</v>
      </c>
    </row>
    <row r="151" spans="1:23" x14ac:dyDescent="0.25">
      <c r="A151" t="s">
        <v>274</v>
      </c>
      <c r="B151" t="s">
        <v>70</v>
      </c>
      <c r="C151" t="s">
        <v>764</v>
      </c>
      <c r="D151" t="s">
        <v>56</v>
      </c>
      <c r="E151" t="s">
        <v>763</v>
      </c>
      <c r="F151" s="1">
        <v>45700</v>
      </c>
      <c r="G151">
        <v>9872.57</v>
      </c>
      <c r="H151">
        <v>111346</v>
      </c>
      <c r="I151" t="str">
        <f t="shared" si="30"/>
        <v>Delhi</v>
      </c>
      <c r="J151" t="str">
        <f t="shared" si="31"/>
        <v>Delhi</v>
      </c>
      <c r="K151" t="str">
        <f t="shared" si="32"/>
        <v>Bpcl</v>
      </c>
      <c r="L151" s="4" t="str">
        <f t="shared" si="33"/>
        <v>Bpcl</v>
      </c>
      <c r="M151" s="4" t="str">
        <f t="shared" si="34"/>
        <v>Ccs2</v>
      </c>
      <c r="N151" s="4" t="str">
        <f t="shared" si="35"/>
        <v>Ccs2</v>
      </c>
      <c r="O151" s="4" t="str">
        <f t="shared" si="36"/>
        <v>Active</v>
      </c>
      <c r="P151" s="4" t="str">
        <f t="shared" si="37"/>
        <v>Active</v>
      </c>
      <c r="Q151" s="4" t="str">
        <f t="shared" si="38"/>
        <v>Delhi</v>
      </c>
      <c r="R151" s="4" t="b">
        <f t="shared" si="39"/>
        <v>1</v>
      </c>
      <c r="S151" s="5" t="str">
        <f t="shared" si="40"/>
        <v>45700</v>
      </c>
      <c r="T151" s="4" t="str">
        <f t="shared" si="41"/>
        <v>Government</v>
      </c>
      <c r="U151" s="4" t="str">
        <f t="shared" si="42"/>
        <v>Ultra Fast</v>
      </c>
      <c r="V151" s="4">
        <f t="shared" si="43"/>
        <v>2025</v>
      </c>
      <c r="W151" s="4" t="str">
        <f t="shared" si="44"/>
        <v>Europe</v>
      </c>
    </row>
    <row r="152" spans="1:23" x14ac:dyDescent="0.25">
      <c r="A152" t="s">
        <v>275</v>
      </c>
      <c r="B152" t="s">
        <v>46</v>
      </c>
      <c r="D152" t="s">
        <v>56</v>
      </c>
      <c r="E152" t="s">
        <v>54</v>
      </c>
      <c r="F152" s="1">
        <v>45662</v>
      </c>
      <c r="G152">
        <v>446.01</v>
      </c>
      <c r="H152">
        <v>3803.17</v>
      </c>
      <c r="I152" t="str">
        <f t="shared" si="30"/>
        <v>Kolkata</v>
      </c>
      <c r="J152" t="str">
        <f t="shared" si="31"/>
        <v>Kolkata</v>
      </c>
      <c r="K152" t="str">
        <f t="shared" si="32"/>
        <v/>
      </c>
      <c r="L152" s="4" t="str">
        <f t="shared" si="33"/>
        <v/>
      </c>
      <c r="M152" s="4" t="str">
        <f t="shared" si="34"/>
        <v>Ccs2</v>
      </c>
      <c r="N152" s="4" t="str">
        <f t="shared" si="35"/>
        <v>Ccs2</v>
      </c>
      <c r="O152" s="4" t="str">
        <f t="shared" si="36"/>
        <v>Inactive</v>
      </c>
      <c r="P152" s="4" t="str">
        <f t="shared" si="37"/>
        <v>Inactive</v>
      </c>
      <c r="Q152" s="4" t="str">
        <f t="shared" si="38"/>
        <v>Kolkata</v>
      </c>
      <c r="R152" s="4" t="b">
        <f t="shared" si="39"/>
        <v>1</v>
      </c>
      <c r="S152" s="5" t="str">
        <f t="shared" si="40"/>
        <v>45662</v>
      </c>
      <c r="T152" s="4" t="str">
        <f t="shared" si="41"/>
        <v>Private</v>
      </c>
      <c r="U152" s="4" t="str">
        <f t="shared" si="42"/>
        <v>Ultra Fast</v>
      </c>
      <c r="V152" s="4">
        <f t="shared" si="43"/>
        <v>2025</v>
      </c>
      <c r="W152" s="4" t="str">
        <f t="shared" si="44"/>
        <v>Europe</v>
      </c>
    </row>
    <row r="153" spans="1:23" x14ac:dyDescent="0.25">
      <c r="A153" t="s">
        <v>276</v>
      </c>
      <c r="B153" t="s">
        <v>70</v>
      </c>
      <c r="C153" t="s">
        <v>14</v>
      </c>
      <c r="D153" t="s">
        <v>56</v>
      </c>
      <c r="E153" t="s">
        <v>24</v>
      </c>
      <c r="F153" s="1">
        <v>45516</v>
      </c>
      <c r="G153">
        <v>5407.52</v>
      </c>
      <c r="H153">
        <v>71806.78</v>
      </c>
      <c r="I153" t="str">
        <f t="shared" si="30"/>
        <v>Delhi</v>
      </c>
      <c r="J153" t="str">
        <f t="shared" si="31"/>
        <v>Delhi</v>
      </c>
      <c r="K153" t="str">
        <f t="shared" si="32"/>
        <v>Charge Point</v>
      </c>
      <c r="L153" s="4" t="str">
        <f t="shared" si="33"/>
        <v>Charge Point</v>
      </c>
      <c r="M153" s="4" t="str">
        <f t="shared" si="34"/>
        <v>Ccs2</v>
      </c>
      <c r="N153" s="4" t="str">
        <f t="shared" si="35"/>
        <v>Ccs2</v>
      </c>
      <c r="O153" s="4" t="str">
        <f t="shared" si="36"/>
        <v>Active</v>
      </c>
      <c r="P153" s="4" t="str">
        <f t="shared" si="37"/>
        <v>Active</v>
      </c>
      <c r="Q153" s="4" t="str">
        <f t="shared" si="38"/>
        <v>Delhi</v>
      </c>
      <c r="R153" s="4" t="b">
        <f t="shared" si="39"/>
        <v>1</v>
      </c>
      <c r="S153" s="5" t="str">
        <f t="shared" si="40"/>
        <v>45516</v>
      </c>
      <c r="T153" s="4" t="str">
        <f t="shared" si="41"/>
        <v>Private</v>
      </c>
      <c r="U153" s="4" t="str">
        <f t="shared" si="42"/>
        <v>Ultra Fast</v>
      </c>
      <c r="V153" s="4">
        <f t="shared" si="43"/>
        <v>2024</v>
      </c>
      <c r="W153" s="4" t="str">
        <f t="shared" si="44"/>
        <v>Europe</v>
      </c>
    </row>
    <row r="154" spans="1:23" x14ac:dyDescent="0.25">
      <c r="A154" t="s">
        <v>277</v>
      </c>
      <c r="B154" t="s">
        <v>40</v>
      </c>
      <c r="C154" t="s">
        <v>783</v>
      </c>
      <c r="D154" t="s">
        <v>48</v>
      </c>
      <c r="E154" t="s">
        <v>769</v>
      </c>
      <c r="F154" s="1">
        <v>45433</v>
      </c>
      <c r="H154">
        <v>104690.57</v>
      </c>
      <c r="I154" t="str">
        <f t="shared" si="30"/>
        <v>Mumbai</v>
      </c>
      <c r="J154" t="str">
        <f t="shared" si="31"/>
        <v>Mumbai</v>
      </c>
      <c r="K154" t="str">
        <f t="shared" si="32"/>
        <v>Tata Power</v>
      </c>
      <c r="L154" s="4" t="str">
        <f t="shared" si="33"/>
        <v>Tata Power</v>
      </c>
      <c r="M154" s="4" t="str">
        <f t="shared" si="34"/>
        <v>Bharat Dc-001</v>
      </c>
      <c r="N154" s="4" t="str">
        <f t="shared" si="35"/>
        <v>Bharat Dc-001</v>
      </c>
      <c r="O154" s="4" t="str">
        <f t="shared" si="36"/>
        <v>Active</v>
      </c>
      <c r="P154" s="4" t="str">
        <f t="shared" si="37"/>
        <v>Active</v>
      </c>
      <c r="Q154" s="4" t="str">
        <f t="shared" si="38"/>
        <v>Mumbai</v>
      </c>
      <c r="R154" s="4" t="b">
        <f t="shared" si="39"/>
        <v>1</v>
      </c>
      <c r="S154" s="5" t="str">
        <f t="shared" si="40"/>
        <v>45433</v>
      </c>
      <c r="T154" s="4" t="str">
        <f t="shared" si="41"/>
        <v>Government</v>
      </c>
      <c r="U154" s="4" t="str">
        <f t="shared" si="42"/>
        <v>fast</v>
      </c>
      <c r="V154" s="4">
        <f t="shared" si="43"/>
        <v>2024</v>
      </c>
      <c r="W154" s="4" t="str">
        <f t="shared" si="44"/>
        <v>India</v>
      </c>
    </row>
    <row r="155" spans="1:23" x14ac:dyDescent="0.25">
      <c r="A155" t="s">
        <v>279</v>
      </c>
      <c r="B155" t="s">
        <v>13</v>
      </c>
      <c r="C155" t="s">
        <v>41</v>
      </c>
      <c r="D155" t="s">
        <v>56</v>
      </c>
      <c r="E155" t="s">
        <v>54</v>
      </c>
      <c r="F155" s="1">
        <v>45813</v>
      </c>
      <c r="G155">
        <v>222.96</v>
      </c>
      <c r="H155">
        <v>2839.23</v>
      </c>
      <c r="I155" t="str">
        <f t="shared" si="30"/>
        <v>Bengaluru</v>
      </c>
      <c r="J155" t="str">
        <f t="shared" si="31"/>
        <v>Bengaluru</v>
      </c>
      <c r="K155" t="str">
        <f t="shared" si="32"/>
        <v>Ather Grid</v>
      </c>
      <c r="L155" s="4" t="str">
        <f t="shared" si="33"/>
        <v>Ather Grid</v>
      </c>
      <c r="M155" s="4" t="str">
        <f t="shared" si="34"/>
        <v>Ccs2</v>
      </c>
      <c r="N155" s="4" t="str">
        <f t="shared" si="35"/>
        <v>Ccs2</v>
      </c>
      <c r="O155" s="4" t="str">
        <f t="shared" si="36"/>
        <v>Inactive</v>
      </c>
      <c r="P155" s="4" t="str">
        <f t="shared" si="37"/>
        <v>Inactive</v>
      </c>
      <c r="Q155" s="4" t="str">
        <f t="shared" si="38"/>
        <v>Bengaluru</v>
      </c>
      <c r="R155" s="4" t="b">
        <f t="shared" si="39"/>
        <v>1</v>
      </c>
      <c r="S155" s="5" t="str">
        <f t="shared" si="40"/>
        <v>45813</v>
      </c>
      <c r="T155" s="4" t="str">
        <f t="shared" si="41"/>
        <v>Private</v>
      </c>
      <c r="U155" s="4" t="str">
        <f t="shared" si="42"/>
        <v>Ultra Fast</v>
      </c>
      <c r="V155" s="4">
        <f t="shared" si="43"/>
        <v>2025</v>
      </c>
      <c r="W155" s="4" t="str">
        <f t="shared" si="44"/>
        <v>Europe</v>
      </c>
    </row>
    <row r="156" spans="1:23" x14ac:dyDescent="0.25">
      <c r="A156" t="s">
        <v>280</v>
      </c>
      <c r="C156" t="s">
        <v>14</v>
      </c>
      <c r="D156" t="s">
        <v>56</v>
      </c>
      <c r="E156" t="s">
        <v>24</v>
      </c>
      <c r="F156" s="1">
        <v>45797</v>
      </c>
      <c r="G156">
        <v>2330.3200000000002</v>
      </c>
      <c r="H156">
        <v>29643.64</v>
      </c>
      <c r="I156" t="str">
        <f t="shared" si="30"/>
        <v/>
      </c>
      <c r="J156" t="str">
        <f t="shared" si="31"/>
        <v/>
      </c>
      <c r="K156" t="str">
        <f t="shared" si="32"/>
        <v>Charge Point</v>
      </c>
      <c r="L156" s="4" t="str">
        <f t="shared" si="33"/>
        <v>Charge Point</v>
      </c>
      <c r="M156" s="4" t="str">
        <f t="shared" si="34"/>
        <v>Ccs2</v>
      </c>
      <c r="N156" s="4" t="str">
        <f t="shared" si="35"/>
        <v>Ccs2</v>
      </c>
      <c r="O156" s="4" t="str">
        <f t="shared" si="36"/>
        <v>Active</v>
      </c>
      <c r="P156" s="4" t="str">
        <f t="shared" si="37"/>
        <v>Active</v>
      </c>
      <c r="Q156" s="4" t="str">
        <f t="shared" si="38"/>
        <v/>
      </c>
      <c r="R156" s="4" t="b">
        <f t="shared" si="39"/>
        <v>1</v>
      </c>
      <c r="S156" s="5" t="str">
        <f t="shared" si="40"/>
        <v>45797</v>
      </c>
      <c r="T156" s="4" t="str">
        <f t="shared" si="41"/>
        <v>Private</v>
      </c>
      <c r="U156" s="4" t="str">
        <f t="shared" si="42"/>
        <v>Ultra Fast</v>
      </c>
      <c r="V156" s="4">
        <f t="shared" si="43"/>
        <v>2025</v>
      </c>
      <c r="W156" s="4" t="str">
        <f t="shared" si="44"/>
        <v>Europe</v>
      </c>
    </row>
    <row r="157" spans="1:23" x14ac:dyDescent="0.25">
      <c r="A157" t="s">
        <v>282</v>
      </c>
      <c r="B157" t="s">
        <v>70</v>
      </c>
      <c r="C157" t="s">
        <v>14</v>
      </c>
      <c r="D157" t="s">
        <v>56</v>
      </c>
      <c r="E157" t="s">
        <v>24</v>
      </c>
      <c r="F157" s="1">
        <v>45385</v>
      </c>
      <c r="G157">
        <v>10407.19</v>
      </c>
      <c r="H157">
        <v>112209.08</v>
      </c>
      <c r="I157" t="str">
        <f t="shared" si="30"/>
        <v>Delhi</v>
      </c>
      <c r="J157" t="str">
        <f t="shared" si="31"/>
        <v>Delhi</v>
      </c>
      <c r="K157" t="str">
        <f t="shared" si="32"/>
        <v>Charge Point</v>
      </c>
      <c r="L157" s="4" t="str">
        <f t="shared" si="33"/>
        <v>Charge Point</v>
      </c>
      <c r="M157" s="4" t="str">
        <f t="shared" si="34"/>
        <v>Ccs2</v>
      </c>
      <c r="N157" s="4" t="str">
        <f t="shared" si="35"/>
        <v>Ccs2</v>
      </c>
      <c r="O157" s="4" t="str">
        <f t="shared" si="36"/>
        <v>Active</v>
      </c>
      <c r="P157" s="4" t="str">
        <f t="shared" si="37"/>
        <v>Active</v>
      </c>
      <c r="Q157" s="4" t="str">
        <f t="shared" si="38"/>
        <v>Delhi</v>
      </c>
      <c r="R157" s="4" t="b">
        <f t="shared" si="39"/>
        <v>1</v>
      </c>
      <c r="S157" s="5" t="str">
        <f t="shared" si="40"/>
        <v>45385</v>
      </c>
      <c r="T157" s="4" t="str">
        <f t="shared" si="41"/>
        <v>Private</v>
      </c>
      <c r="U157" s="4" t="str">
        <f t="shared" si="42"/>
        <v>Ultra Fast</v>
      </c>
      <c r="V157" s="4">
        <f t="shared" si="43"/>
        <v>2024</v>
      </c>
      <c r="W157" s="4" t="str">
        <f t="shared" si="44"/>
        <v>Europe</v>
      </c>
    </row>
    <row r="158" spans="1:23" x14ac:dyDescent="0.25">
      <c r="A158" t="s">
        <v>283</v>
      </c>
      <c r="B158" t="s">
        <v>30</v>
      </c>
      <c r="C158" t="s">
        <v>764</v>
      </c>
      <c r="D158" t="s">
        <v>56</v>
      </c>
      <c r="E158" t="s">
        <v>54</v>
      </c>
      <c r="F158" s="1">
        <v>46065</v>
      </c>
      <c r="I158" t="str">
        <f t="shared" si="30"/>
        <v>Hyderabad</v>
      </c>
      <c r="J158" t="str">
        <f t="shared" si="31"/>
        <v>Hyderabad</v>
      </c>
      <c r="K158" t="str">
        <f t="shared" si="32"/>
        <v>Bpcl</v>
      </c>
      <c r="L158" s="4" t="str">
        <f t="shared" si="33"/>
        <v>Bpcl</v>
      </c>
      <c r="M158" s="4" t="str">
        <f t="shared" si="34"/>
        <v>Ccs2</v>
      </c>
      <c r="N158" s="4" t="str">
        <f t="shared" si="35"/>
        <v>Ccs2</v>
      </c>
      <c r="O158" s="4" t="str">
        <f t="shared" si="36"/>
        <v>Inactive</v>
      </c>
      <c r="P158" s="4" t="str">
        <f t="shared" si="37"/>
        <v>Inactive</v>
      </c>
      <c r="Q158" s="4" t="str">
        <f t="shared" si="38"/>
        <v>Hyderabad</v>
      </c>
      <c r="R158" s="4" t="b">
        <f t="shared" si="39"/>
        <v>1</v>
      </c>
      <c r="S158" s="5" t="str">
        <f t="shared" si="40"/>
        <v>46065</v>
      </c>
      <c r="T158" s="4" t="str">
        <f t="shared" si="41"/>
        <v>Government</v>
      </c>
      <c r="U158" s="4" t="str">
        <f t="shared" si="42"/>
        <v>Ultra Fast</v>
      </c>
      <c r="V158" s="4">
        <f t="shared" si="43"/>
        <v>2026</v>
      </c>
      <c r="W158" s="4" t="str">
        <f t="shared" si="44"/>
        <v>Europe</v>
      </c>
    </row>
    <row r="159" spans="1:23" x14ac:dyDescent="0.25">
      <c r="A159" t="s">
        <v>284</v>
      </c>
      <c r="B159" t="s">
        <v>66</v>
      </c>
      <c r="C159" t="s">
        <v>36</v>
      </c>
      <c r="D159" t="s">
        <v>17</v>
      </c>
      <c r="E159" t="s">
        <v>24</v>
      </c>
      <c r="F159" s="1">
        <v>45340</v>
      </c>
      <c r="G159">
        <v>9145.43</v>
      </c>
      <c r="H159">
        <v>108841.48</v>
      </c>
      <c r="I159" t="str">
        <f t="shared" si="30"/>
        <v>Pune</v>
      </c>
      <c r="J159" t="str">
        <f t="shared" si="31"/>
        <v>Pune</v>
      </c>
      <c r="K159" t="str">
        <f t="shared" si="32"/>
        <v>Zeon Charging</v>
      </c>
      <c r="L159" s="4" t="str">
        <f t="shared" si="33"/>
        <v>Zeon Charging</v>
      </c>
      <c r="M159" s="4" t="str">
        <f t="shared" si="34"/>
        <v>Type2 Ac</v>
      </c>
      <c r="N159" s="4" t="str">
        <f t="shared" si="35"/>
        <v>Type2 Ac</v>
      </c>
      <c r="O159" s="4" t="str">
        <f t="shared" si="36"/>
        <v>Active</v>
      </c>
      <c r="P159" s="4" t="str">
        <f t="shared" si="37"/>
        <v>Active</v>
      </c>
      <c r="Q159" s="4" t="str">
        <f t="shared" si="38"/>
        <v>Pune</v>
      </c>
      <c r="R159" s="4" t="b">
        <f t="shared" si="39"/>
        <v>1</v>
      </c>
      <c r="S159" s="5" t="str">
        <f t="shared" si="40"/>
        <v>45340</v>
      </c>
      <c r="T159" s="4" t="str">
        <f t="shared" si="41"/>
        <v>Private</v>
      </c>
      <c r="U159" s="4" t="str">
        <f t="shared" si="42"/>
        <v>Slow</v>
      </c>
      <c r="V159" s="4">
        <f t="shared" si="43"/>
        <v>2024</v>
      </c>
      <c r="W159" s="4" t="str">
        <f t="shared" si="44"/>
        <v>Germany</v>
      </c>
    </row>
    <row r="160" spans="1:23" x14ac:dyDescent="0.25">
      <c r="A160" t="s">
        <v>286</v>
      </c>
      <c r="B160" t="s">
        <v>70</v>
      </c>
      <c r="C160" t="s">
        <v>41</v>
      </c>
      <c r="D160" t="s">
        <v>48</v>
      </c>
      <c r="E160" t="s">
        <v>24</v>
      </c>
      <c r="F160" s="1">
        <v>45404</v>
      </c>
      <c r="G160">
        <v>10158.42</v>
      </c>
      <c r="H160">
        <v>87688.7</v>
      </c>
      <c r="I160" t="str">
        <f t="shared" si="30"/>
        <v>Delhi</v>
      </c>
      <c r="J160" t="str">
        <f t="shared" si="31"/>
        <v>Delhi</v>
      </c>
      <c r="K160" t="str">
        <f t="shared" si="32"/>
        <v>Ather Grid</v>
      </c>
      <c r="L160" s="4" t="str">
        <f t="shared" si="33"/>
        <v>Ather Grid</v>
      </c>
      <c r="M160" s="4" t="str">
        <f t="shared" si="34"/>
        <v>Bharat Dc-001</v>
      </c>
      <c r="N160" s="4" t="str">
        <f t="shared" si="35"/>
        <v>Bharat Dc-001</v>
      </c>
      <c r="O160" s="4" t="str">
        <f t="shared" si="36"/>
        <v>Active</v>
      </c>
      <c r="P160" s="4" t="str">
        <f t="shared" si="37"/>
        <v>Active</v>
      </c>
      <c r="Q160" s="4" t="str">
        <f t="shared" si="38"/>
        <v>Delhi</v>
      </c>
      <c r="R160" s="4" t="b">
        <f t="shared" si="39"/>
        <v>1</v>
      </c>
      <c r="S160" s="5" t="str">
        <f t="shared" si="40"/>
        <v>45404</v>
      </c>
      <c r="T160" s="4" t="str">
        <f t="shared" si="41"/>
        <v>Private</v>
      </c>
      <c r="U160" s="4" t="str">
        <f t="shared" si="42"/>
        <v>fast</v>
      </c>
      <c r="V160" s="4">
        <f t="shared" si="43"/>
        <v>2024</v>
      </c>
      <c r="W160" s="4" t="str">
        <f t="shared" si="44"/>
        <v>India</v>
      </c>
    </row>
    <row r="161" spans="1:23" x14ac:dyDescent="0.25">
      <c r="A161" t="s">
        <v>288</v>
      </c>
      <c r="B161" t="s">
        <v>30</v>
      </c>
      <c r="C161" t="s">
        <v>63</v>
      </c>
      <c r="D161" t="s">
        <v>26</v>
      </c>
      <c r="E161" t="s">
        <v>24</v>
      </c>
      <c r="F161" s="1">
        <v>45448</v>
      </c>
      <c r="G161">
        <v>3689.08</v>
      </c>
      <c r="I161" t="str">
        <f t="shared" si="30"/>
        <v>Hyderabad</v>
      </c>
      <c r="J161" t="str">
        <f t="shared" si="31"/>
        <v>Hyderabad</v>
      </c>
      <c r="K161" t="str">
        <f t="shared" si="32"/>
        <v>Tata Power</v>
      </c>
      <c r="L161" s="4" t="str">
        <f t="shared" si="33"/>
        <v>Tata Power</v>
      </c>
      <c r="M161" s="4" t="str">
        <f t="shared" si="34"/>
        <v>Chademo</v>
      </c>
      <c r="N161" s="4" t="str">
        <f t="shared" si="35"/>
        <v>Chademo</v>
      </c>
      <c r="O161" s="4" t="str">
        <f t="shared" si="36"/>
        <v>Active</v>
      </c>
      <c r="P161" s="4" t="str">
        <f t="shared" si="37"/>
        <v>Active</v>
      </c>
      <c r="Q161" s="4" t="str">
        <f t="shared" si="38"/>
        <v>Hyderabad</v>
      </c>
      <c r="R161" s="4" t="b">
        <f t="shared" si="39"/>
        <v>1</v>
      </c>
      <c r="S161" s="5" t="str">
        <f t="shared" si="40"/>
        <v>45448</v>
      </c>
      <c r="T161" s="4" t="str">
        <f t="shared" si="41"/>
        <v>Government</v>
      </c>
      <c r="U161" s="4" t="str">
        <f t="shared" si="42"/>
        <v>fast</v>
      </c>
      <c r="V161" s="4">
        <f t="shared" si="43"/>
        <v>2024</v>
      </c>
      <c r="W161" s="4" t="str">
        <f t="shared" si="44"/>
        <v>Japan</v>
      </c>
    </row>
    <row r="162" spans="1:23" x14ac:dyDescent="0.25">
      <c r="A162" t="s">
        <v>289</v>
      </c>
      <c r="B162" t="s">
        <v>13</v>
      </c>
      <c r="C162" t="s">
        <v>41</v>
      </c>
      <c r="D162" t="s">
        <v>56</v>
      </c>
      <c r="E162" t="s">
        <v>24</v>
      </c>
      <c r="F162" s="1">
        <v>45934</v>
      </c>
      <c r="G162">
        <v>9443.26</v>
      </c>
      <c r="H162">
        <v>93027.54</v>
      </c>
      <c r="I162" t="str">
        <f t="shared" si="30"/>
        <v>Bengaluru</v>
      </c>
      <c r="J162" t="str">
        <f t="shared" si="31"/>
        <v>Bengaluru</v>
      </c>
      <c r="K162" t="str">
        <f t="shared" si="32"/>
        <v>Ather Grid</v>
      </c>
      <c r="L162" s="4" t="str">
        <f t="shared" si="33"/>
        <v>Ather Grid</v>
      </c>
      <c r="M162" s="4" t="str">
        <f t="shared" si="34"/>
        <v>Ccs2</v>
      </c>
      <c r="N162" s="4" t="str">
        <f t="shared" si="35"/>
        <v>Ccs2</v>
      </c>
      <c r="O162" s="4" t="str">
        <f t="shared" si="36"/>
        <v>Active</v>
      </c>
      <c r="P162" s="4" t="str">
        <f t="shared" si="37"/>
        <v>Active</v>
      </c>
      <c r="Q162" s="4" t="str">
        <f t="shared" si="38"/>
        <v>Bengaluru</v>
      </c>
      <c r="R162" s="4" t="b">
        <f t="shared" si="39"/>
        <v>1</v>
      </c>
      <c r="S162" s="5" t="str">
        <f t="shared" si="40"/>
        <v>45934</v>
      </c>
      <c r="T162" s="4" t="str">
        <f t="shared" si="41"/>
        <v>Private</v>
      </c>
      <c r="U162" s="4" t="str">
        <f t="shared" si="42"/>
        <v>Ultra Fast</v>
      </c>
      <c r="V162" s="4">
        <f t="shared" si="43"/>
        <v>2025</v>
      </c>
      <c r="W162" s="4" t="str">
        <f t="shared" si="44"/>
        <v>Europe</v>
      </c>
    </row>
    <row r="163" spans="1:23" x14ac:dyDescent="0.25">
      <c r="A163" t="s">
        <v>290</v>
      </c>
      <c r="B163" t="s">
        <v>30</v>
      </c>
      <c r="C163" t="s">
        <v>63</v>
      </c>
      <c r="D163" t="s">
        <v>17</v>
      </c>
      <c r="E163" t="s">
        <v>54</v>
      </c>
      <c r="F163" s="1">
        <v>45455</v>
      </c>
      <c r="G163">
        <v>242.3</v>
      </c>
      <c r="H163">
        <v>2148.02</v>
      </c>
      <c r="I163" t="str">
        <f t="shared" si="30"/>
        <v>Hyderabad</v>
      </c>
      <c r="J163" t="str">
        <f t="shared" si="31"/>
        <v>Hyderabad</v>
      </c>
      <c r="K163" t="str">
        <f t="shared" si="32"/>
        <v>Tata Power</v>
      </c>
      <c r="L163" s="4" t="str">
        <f t="shared" si="33"/>
        <v>Tata Power</v>
      </c>
      <c r="M163" s="4" t="str">
        <f t="shared" si="34"/>
        <v>Type2 Ac</v>
      </c>
      <c r="N163" s="4" t="str">
        <f t="shared" si="35"/>
        <v>Type2 Ac</v>
      </c>
      <c r="O163" s="4" t="str">
        <f t="shared" si="36"/>
        <v>Inactive</v>
      </c>
      <c r="P163" s="4" t="str">
        <f t="shared" si="37"/>
        <v>Inactive</v>
      </c>
      <c r="Q163" s="4" t="str">
        <f t="shared" si="38"/>
        <v>Hyderabad</v>
      </c>
      <c r="R163" s="4" t="b">
        <f t="shared" si="39"/>
        <v>1</v>
      </c>
      <c r="S163" s="5" t="str">
        <f t="shared" si="40"/>
        <v>45455</v>
      </c>
      <c r="T163" s="4" t="str">
        <f t="shared" si="41"/>
        <v>Government</v>
      </c>
      <c r="U163" s="4" t="str">
        <f t="shared" si="42"/>
        <v>Slow</v>
      </c>
      <c r="V163" s="4">
        <f t="shared" si="43"/>
        <v>2024</v>
      </c>
      <c r="W163" s="4" t="str">
        <f t="shared" si="44"/>
        <v>Germany</v>
      </c>
    </row>
    <row r="164" spans="1:23" x14ac:dyDescent="0.25">
      <c r="A164" t="s">
        <v>291</v>
      </c>
      <c r="B164" t="s">
        <v>30</v>
      </c>
      <c r="C164" t="s">
        <v>36</v>
      </c>
      <c r="D164" t="s">
        <v>17</v>
      </c>
      <c r="E164" t="s">
        <v>24</v>
      </c>
      <c r="F164" s="1">
        <v>46103</v>
      </c>
      <c r="G164">
        <v>3251.33</v>
      </c>
      <c r="H164">
        <v>34399.4</v>
      </c>
      <c r="I164" t="str">
        <f t="shared" si="30"/>
        <v>Hyderabad</v>
      </c>
      <c r="J164" t="str">
        <f t="shared" si="31"/>
        <v>Hyderabad</v>
      </c>
      <c r="K164" t="str">
        <f t="shared" si="32"/>
        <v>Zeon Charging</v>
      </c>
      <c r="L164" s="4" t="str">
        <f t="shared" si="33"/>
        <v>Zeon Charging</v>
      </c>
      <c r="M164" s="4" t="str">
        <f t="shared" si="34"/>
        <v>Type2 Ac</v>
      </c>
      <c r="N164" s="4" t="str">
        <f t="shared" si="35"/>
        <v>Type2 Ac</v>
      </c>
      <c r="O164" s="4" t="str">
        <f t="shared" si="36"/>
        <v>Active</v>
      </c>
      <c r="P164" s="4" t="str">
        <f t="shared" si="37"/>
        <v>Active</v>
      </c>
      <c r="Q164" s="4" t="str">
        <f t="shared" si="38"/>
        <v>Hyderabad</v>
      </c>
      <c r="R164" s="4" t="b">
        <f t="shared" si="39"/>
        <v>1</v>
      </c>
      <c r="S164" s="5" t="str">
        <f t="shared" si="40"/>
        <v>46103</v>
      </c>
      <c r="T164" s="4" t="str">
        <f t="shared" si="41"/>
        <v>Private</v>
      </c>
      <c r="U164" s="4" t="str">
        <f t="shared" si="42"/>
        <v>Slow</v>
      </c>
      <c r="V164" s="4">
        <f t="shared" si="43"/>
        <v>2026</v>
      </c>
      <c r="W164" s="4" t="str">
        <f t="shared" si="44"/>
        <v>Germany</v>
      </c>
    </row>
    <row r="165" spans="1:23" x14ac:dyDescent="0.25">
      <c r="A165" t="s">
        <v>293</v>
      </c>
      <c r="B165" t="s">
        <v>35</v>
      </c>
      <c r="C165" t="s">
        <v>63</v>
      </c>
      <c r="D165" t="s">
        <v>17</v>
      </c>
      <c r="E165" t="s">
        <v>54</v>
      </c>
      <c r="F165" s="1">
        <v>45988</v>
      </c>
      <c r="G165">
        <v>219.94</v>
      </c>
      <c r="H165">
        <v>2912.68</v>
      </c>
      <c r="I165" t="str">
        <f t="shared" si="30"/>
        <v>Chennai</v>
      </c>
      <c r="J165" t="str">
        <f t="shared" si="31"/>
        <v>Chennai</v>
      </c>
      <c r="K165" t="str">
        <f t="shared" si="32"/>
        <v>Tata Power</v>
      </c>
      <c r="L165" s="4" t="str">
        <f t="shared" si="33"/>
        <v>Tata Power</v>
      </c>
      <c r="M165" s="4" t="str">
        <f t="shared" si="34"/>
        <v>Type2 Ac</v>
      </c>
      <c r="N165" s="4" t="str">
        <f t="shared" si="35"/>
        <v>Type2 Ac</v>
      </c>
      <c r="O165" s="4" t="str">
        <f t="shared" si="36"/>
        <v>Inactive</v>
      </c>
      <c r="P165" s="4" t="str">
        <f t="shared" si="37"/>
        <v>Inactive</v>
      </c>
      <c r="Q165" s="4" t="str">
        <f t="shared" si="38"/>
        <v>Chennai</v>
      </c>
      <c r="R165" s="4" t="b">
        <f t="shared" si="39"/>
        <v>1</v>
      </c>
      <c r="S165" s="5" t="str">
        <f t="shared" si="40"/>
        <v>45988</v>
      </c>
      <c r="T165" s="4" t="str">
        <f t="shared" si="41"/>
        <v>Government</v>
      </c>
      <c r="U165" s="4" t="str">
        <f t="shared" si="42"/>
        <v>Slow</v>
      </c>
      <c r="V165" s="4">
        <f t="shared" si="43"/>
        <v>2025</v>
      </c>
      <c r="W165" s="4" t="str">
        <f t="shared" si="44"/>
        <v>Germany</v>
      </c>
    </row>
    <row r="166" spans="1:23" x14ac:dyDescent="0.25">
      <c r="A166" t="s">
        <v>295</v>
      </c>
      <c r="B166" t="s">
        <v>40</v>
      </c>
      <c r="C166" t="s">
        <v>764</v>
      </c>
      <c r="D166" t="s">
        <v>26</v>
      </c>
      <c r="E166" t="s">
        <v>24</v>
      </c>
      <c r="F166" s="1">
        <v>45724</v>
      </c>
      <c r="G166">
        <v>8705.77</v>
      </c>
      <c r="H166">
        <v>85622.38</v>
      </c>
      <c r="I166" t="str">
        <f t="shared" si="30"/>
        <v>Mumbai</v>
      </c>
      <c r="J166" t="str">
        <f t="shared" si="31"/>
        <v>Mumbai</v>
      </c>
      <c r="K166" t="str">
        <f t="shared" si="32"/>
        <v>Bpcl</v>
      </c>
      <c r="L166" s="4" t="str">
        <f t="shared" si="33"/>
        <v>Bpcl</v>
      </c>
      <c r="M166" s="4" t="str">
        <f t="shared" si="34"/>
        <v>Chademo</v>
      </c>
      <c r="N166" s="4" t="str">
        <f t="shared" si="35"/>
        <v>Chademo</v>
      </c>
      <c r="O166" s="4" t="str">
        <f t="shared" si="36"/>
        <v>Active</v>
      </c>
      <c r="P166" s="4" t="str">
        <f t="shared" si="37"/>
        <v>Active</v>
      </c>
      <c r="Q166" s="4" t="str">
        <f t="shared" si="38"/>
        <v>Mumbai</v>
      </c>
      <c r="R166" s="4" t="b">
        <f t="shared" si="39"/>
        <v>1</v>
      </c>
      <c r="S166" s="5" t="str">
        <f t="shared" si="40"/>
        <v>45724</v>
      </c>
      <c r="T166" s="4" t="str">
        <f t="shared" si="41"/>
        <v>Government</v>
      </c>
      <c r="U166" s="4" t="str">
        <f t="shared" si="42"/>
        <v>fast</v>
      </c>
      <c r="V166" s="4">
        <f t="shared" si="43"/>
        <v>2025</v>
      </c>
      <c r="W166" s="4" t="str">
        <f t="shared" si="44"/>
        <v>Japan</v>
      </c>
    </row>
    <row r="167" spans="1:23" x14ac:dyDescent="0.25">
      <c r="A167" t="s">
        <v>296</v>
      </c>
      <c r="B167" t="s">
        <v>66</v>
      </c>
      <c r="C167" t="s">
        <v>764</v>
      </c>
      <c r="D167" t="s">
        <v>56</v>
      </c>
      <c r="E167" t="s">
        <v>24</v>
      </c>
      <c r="F167" s="1">
        <v>45902</v>
      </c>
      <c r="G167">
        <v>3196.68</v>
      </c>
      <c r="H167">
        <v>34099.56</v>
      </c>
      <c r="I167" t="str">
        <f t="shared" si="30"/>
        <v>Pune</v>
      </c>
      <c r="J167" t="str">
        <f t="shared" si="31"/>
        <v>Pune</v>
      </c>
      <c r="K167" t="str">
        <f t="shared" si="32"/>
        <v>Bpcl</v>
      </c>
      <c r="L167" s="4" t="str">
        <f t="shared" si="33"/>
        <v>Bpcl</v>
      </c>
      <c r="M167" s="4" t="str">
        <f t="shared" si="34"/>
        <v>Ccs2</v>
      </c>
      <c r="N167" s="4" t="str">
        <f t="shared" si="35"/>
        <v>Ccs2</v>
      </c>
      <c r="O167" s="4" t="str">
        <f t="shared" si="36"/>
        <v>Active</v>
      </c>
      <c r="P167" s="4" t="str">
        <f t="shared" si="37"/>
        <v>Active</v>
      </c>
      <c r="Q167" s="4" t="str">
        <f t="shared" si="38"/>
        <v>Pune</v>
      </c>
      <c r="R167" s="4" t="b">
        <f t="shared" si="39"/>
        <v>1</v>
      </c>
      <c r="S167" s="5" t="str">
        <f t="shared" si="40"/>
        <v>45902</v>
      </c>
      <c r="T167" s="4" t="str">
        <f t="shared" si="41"/>
        <v>Government</v>
      </c>
      <c r="U167" s="4" t="str">
        <f t="shared" si="42"/>
        <v>Ultra Fast</v>
      </c>
      <c r="V167" s="4">
        <f t="shared" si="43"/>
        <v>2025</v>
      </c>
      <c r="W167" s="4" t="str">
        <f t="shared" si="44"/>
        <v>Europe</v>
      </c>
    </row>
    <row r="168" spans="1:23" x14ac:dyDescent="0.25">
      <c r="A168" t="s">
        <v>297</v>
      </c>
      <c r="B168" t="s">
        <v>784</v>
      </c>
      <c r="C168" t="s">
        <v>764</v>
      </c>
      <c r="D168" t="s">
        <v>48</v>
      </c>
      <c r="E168" t="s">
        <v>24</v>
      </c>
      <c r="F168" s="1">
        <v>45357</v>
      </c>
      <c r="G168">
        <v>4362.25</v>
      </c>
      <c r="H168">
        <v>54396.58</v>
      </c>
      <c r="I168" t="str">
        <f t="shared" si="30"/>
        <v>Delhi</v>
      </c>
      <c r="J168" t="str">
        <f t="shared" si="31"/>
        <v>Delhi</v>
      </c>
      <c r="K168" t="str">
        <f t="shared" si="32"/>
        <v>Bpcl</v>
      </c>
      <c r="L168" s="4" t="str">
        <f t="shared" si="33"/>
        <v>Bpcl</v>
      </c>
      <c r="M168" s="4" t="str">
        <f t="shared" si="34"/>
        <v>Bharat Dc-001</v>
      </c>
      <c r="N168" s="4" t="str">
        <f t="shared" si="35"/>
        <v>Bharat Dc-001</v>
      </c>
      <c r="O168" s="4" t="str">
        <f t="shared" si="36"/>
        <v>Active</v>
      </c>
      <c r="P168" s="4" t="str">
        <f t="shared" si="37"/>
        <v>Active</v>
      </c>
      <c r="Q168" s="4" t="str">
        <f t="shared" si="38"/>
        <v>Delhi</v>
      </c>
      <c r="R168" s="4" t="b">
        <f t="shared" si="39"/>
        <v>1</v>
      </c>
      <c r="S168" s="5" t="str">
        <f t="shared" si="40"/>
        <v>45357</v>
      </c>
      <c r="T168" s="4" t="str">
        <f t="shared" si="41"/>
        <v>Government</v>
      </c>
      <c r="U168" s="4" t="str">
        <f t="shared" si="42"/>
        <v>fast</v>
      </c>
      <c r="V168" s="4">
        <f t="shared" si="43"/>
        <v>2024</v>
      </c>
      <c r="W168" s="4" t="str">
        <f t="shared" si="44"/>
        <v>India</v>
      </c>
    </row>
    <row r="169" spans="1:23" x14ac:dyDescent="0.25">
      <c r="A169" t="s">
        <v>298</v>
      </c>
      <c r="B169" t="s">
        <v>70</v>
      </c>
      <c r="C169" t="s">
        <v>764</v>
      </c>
      <c r="D169" t="s">
        <v>48</v>
      </c>
      <c r="E169" t="s">
        <v>24</v>
      </c>
      <c r="F169" s="1">
        <v>45686</v>
      </c>
      <c r="G169">
        <v>10769.81</v>
      </c>
      <c r="H169">
        <v>114163.38</v>
      </c>
      <c r="I169" t="str">
        <f t="shared" si="30"/>
        <v>Delhi</v>
      </c>
      <c r="J169" t="str">
        <f t="shared" si="31"/>
        <v>Delhi</v>
      </c>
      <c r="K169" t="str">
        <f t="shared" si="32"/>
        <v>Bpcl</v>
      </c>
      <c r="L169" s="4" t="str">
        <f t="shared" si="33"/>
        <v>Bpcl</v>
      </c>
      <c r="M169" s="4" t="str">
        <f t="shared" si="34"/>
        <v>Bharat Dc-001</v>
      </c>
      <c r="N169" s="4" t="str">
        <f t="shared" si="35"/>
        <v>Bharat Dc-001</v>
      </c>
      <c r="O169" s="4" t="str">
        <f t="shared" si="36"/>
        <v>Active</v>
      </c>
      <c r="P169" s="4" t="str">
        <f t="shared" si="37"/>
        <v>Active</v>
      </c>
      <c r="Q169" s="4" t="str">
        <f t="shared" si="38"/>
        <v>Delhi</v>
      </c>
      <c r="R169" s="4" t="b">
        <f t="shared" si="39"/>
        <v>1</v>
      </c>
      <c r="S169" s="5" t="str">
        <f t="shared" si="40"/>
        <v>45686</v>
      </c>
      <c r="T169" s="4" t="str">
        <f t="shared" si="41"/>
        <v>Government</v>
      </c>
      <c r="U169" s="4" t="str">
        <f t="shared" si="42"/>
        <v>fast</v>
      </c>
      <c r="V169" s="4">
        <f t="shared" si="43"/>
        <v>2025</v>
      </c>
      <c r="W169" s="4" t="str">
        <f t="shared" si="44"/>
        <v>India</v>
      </c>
    </row>
    <row r="170" spans="1:23" x14ac:dyDescent="0.25">
      <c r="A170" t="s">
        <v>300</v>
      </c>
      <c r="B170" t="s">
        <v>40</v>
      </c>
      <c r="C170" t="s">
        <v>41</v>
      </c>
      <c r="D170" t="s">
        <v>17</v>
      </c>
      <c r="E170" t="s">
        <v>54</v>
      </c>
      <c r="F170" s="1">
        <v>45682</v>
      </c>
      <c r="G170">
        <v>40.29</v>
      </c>
      <c r="H170">
        <v>512.64</v>
      </c>
      <c r="I170" t="str">
        <f t="shared" si="30"/>
        <v>Mumbai</v>
      </c>
      <c r="J170" t="str">
        <f t="shared" si="31"/>
        <v>Mumbai</v>
      </c>
      <c r="K170" t="str">
        <f t="shared" si="32"/>
        <v>Ather Grid</v>
      </c>
      <c r="L170" s="4" t="str">
        <f t="shared" si="33"/>
        <v>Ather Grid</v>
      </c>
      <c r="M170" s="4" t="str">
        <f t="shared" si="34"/>
        <v>Type2 Ac</v>
      </c>
      <c r="N170" s="4" t="str">
        <f t="shared" si="35"/>
        <v>Type2 Ac</v>
      </c>
      <c r="O170" s="4" t="str">
        <f t="shared" si="36"/>
        <v>Inactive</v>
      </c>
      <c r="P170" s="4" t="str">
        <f t="shared" si="37"/>
        <v>Inactive</v>
      </c>
      <c r="Q170" s="4" t="str">
        <f t="shared" si="38"/>
        <v>Mumbai</v>
      </c>
      <c r="R170" s="4" t="b">
        <f t="shared" si="39"/>
        <v>1</v>
      </c>
      <c r="S170" s="5" t="str">
        <f t="shared" si="40"/>
        <v>45682</v>
      </c>
      <c r="T170" s="4" t="str">
        <f t="shared" si="41"/>
        <v>Private</v>
      </c>
      <c r="U170" s="4" t="str">
        <f t="shared" si="42"/>
        <v>Slow</v>
      </c>
      <c r="V170" s="4">
        <f t="shared" si="43"/>
        <v>2025</v>
      </c>
      <c r="W170" s="4" t="str">
        <f t="shared" si="44"/>
        <v>Germany</v>
      </c>
    </row>
    <row r="171" spans="1:23" x14ac:dyDescent="0.25">
      <c r="A171" t="s">
        <v>302</v>
      </c>
      <c r="B171" t="s">
        <v>35</v>
      </c>
      <c r="C171" t="s">
        <v>36</v>
      </c>
      <c r="D171" t="s">
        <v>26</v>
      </c>
      <c r="E171" t="s">
        <v>31</v>
      </c>
      <c r="F171" s="1">
        <v>45902</v>
      </c>
      <c r="G171">
        <v>537.41</v>
      </c>
      <c r="H171">
        <v>6072.91</v>
      </c>
      <c r="I171" t="str">
        <f t="shared" si="30"/>
        <v>Chennai</v>
      </c>
      <c r="J171" t="str">
        <f t="shared" si="31"/>
        <v>Chennai</v>
      </c>
      <c r="K171" t="str">
        <f t="shared" si="32"/>
        <v>Zeon Charging</v>
      </c>
      <c r="L171" s="4" t="str">
        <f t="shared" si="33"/>
        <v>Zeon Charging</v>
      </c>
      <c r="M171" s="4" t="str">
        <f t="shared" si="34"/>
        <v>Chademo</v>
      </c>
      <c r="N171" s="4" t="str">
        <f t="shared" si="35"/>
        <v>Chademo</v>
      </c>
      <c r="O171" s="4" t="str">
        <f t="shared" si="36"/>
        <v>Maintenance</v>
      </c>
      <c r="P171" s="4" t="str">
        <f t="shared" si="37"/>
        <v>Maintenance</v>
      </c>
      <c r="Q171" s="4" t="str">
        <f t="shared" si="38"/>
        <v>Chennai</v>
      </c>
      <c r="R171" s="4" t="b">
        <f t="shared" si="39"/>
        <v>1</v>
      </c>
      <c r="S171" s="5" t="str">
        <f t="shared" si="40"/>
        <v>45902</v>
      </c>
      <c r="T171" s="4" t="str">
        <f t="shared" si="41"/>
        <v>Private</v>
      </c>
      <c r="U171" s="4" t="str">
        <f t="shared" si="42"/>
        <v>fast</v>
      </c>
      <c r="V171" s="4">
        <f t="shared" si="43"/>
        <v>2025</v>
      </c>
      <c r="W171" s="4" t="str">
        <f t="shared" si="44"/>
        <v>Japan</v>
      </c>
    </row>
    <row r="172" spans="1:23" x14ac:dyDescent="0.25">
      <c r="A172" t="s">
        <v>303</v>
      </c>
      <c r="B172" t="s">
        <v>30</v>
      </c>
      <c r="C172" t="s">
        <v>63</v>
      </c>
      <c r="D172" t="s">
        <v>26</v>
      </c>
      <c r="E172" t="s">
        <v>24</v>
      </c>
      <c r="F172" s="1">
        <v>45771</v>
      </c>
      <c r="G172">
        <v>4904.91</v>
      </c>
      <c r="H172">
        <v>60511.03</v>
      </c>
      <c r="I172" t="str">
        <f t="shared" si="30"/>
        <v>Hyderabad</v>
      </c>
      <c r="J172" t="str">
        <f t="shared" si="31"/>
        <v>Hyderabad</v>
      </c>
      <c r="K172" t="str">
        <f t="shared" si="32"/>
        <v>Tata Power</v>
      </c>
      <c r="L172" s="4" t="str">
        <f t="shared" si="33"/>
        <v>Tata Power</v>
      </c>
      <c r="M172" s="4" t="str">
        <f t="shared" si="34"/>
        <v>Chademo</v>
      </c>
      <c r="N172" s="4" t="str">
        <f t="shared" si="35"/>
        <v>Chademo</v>
      </c>
      <c r="O172" s="4" t="str">
        <f t="shared" si="36"/>
        <v>Active</v>
      </c>
      <c r="P172" s="4" t="str">
        <f t="shared" si="37"/>
        <v>Active</v>
      </c>
      <c r="Q172" s="4" t="str">
        <f t="shared" si="38"/>
        <v>Hyderabad</v>
      </c>
      <c r="R172" s="4" t="b">
        <f t="shared" si="39"/>
        <v>1</v>
      </c>
      <c r="S172" s="5" t="str">
        <f t="shared" si="40"/>
        <v>45771</v>
      </c>
      <c r="T172" s="4" t="str">
        <f t="shared" si="41"/>
        <v>Government</v>
      </c>
      <c r="U172" s="4" t="str">
        <f t="shared" si="42"/>
        <v>fast</v>
      </c>
      <c r="V172" s="4">
        <f t="shared" si="43"/>
        <v>2025</v>
      </c>
      <c r="W172" s="4" t="str">
        <f t="shared" si="44"/>
        <v>Japan</v>
      </c>
    </row>
    <row r="173" spans="1:23" x14ac:dyDescent="0.25">
      <c r="A173" t="s">
        <v>305</v>
      </c>
      <c r="B173" t="s">
        <v>40</v>
      </c>
      <c r="C173" t="s">
        <v>783</v>
      </c>
      <c r="D173" t="s">
        <v>26</v>
      </c>
      <c r="E173" t="s">
        <v>24</v>
      </c>
      <c r="F173" s="1">
        <v>45833</v>
      </c>
      <c r="G173">
        <v>2257.2600000000002</v>
      </c>
      <c r="H173">
        <v>32960.93</v>
      </c>
      <c r="I173" t="str">
        <f t="shared" si="30"/>
        <v>Mumbai</v>
      </c>
      <c r="J173" t="str">
        <f t="shared" si="31"/>
        <v>Mumbai</v>
      </c>
      <c r="K173" t="str">
        <f t="shared" si="32"/>
        <v>Tata Power</v>
      </c>
      <c r="L173" s="4" t="str">
        <f t="shared" si="33"/>
        <v>Tata Power</v>
      </c>
      <c r="M173" s="4" t="str">
        <f t="shared" si="34"/>
        <v>Chademo</v>
      </c>
      <c r="N173" s="4" t="str">
        <f t="shared" si="35"/>
        <v>Chademo</v>
      </c>
      <c r="O173" s="4" t="str">
        <f t="shared" si="36"/>
        <v>Active</v>
      </c>
      <c r="P173" s="4" t="str">
        <f t="shared" si="37"/>
        <v>Active</v>
      </c>
      <c r="Q173" s="4" t="str">
        <f t="shared" si="38"/>
        <v>Mumbai</v>
      </c>
      <c r="R173" s="4" t="b">
        <f t="shared" si="39"/>
        <v>1</v>
      </c>
      <c r="S173" s="5" t="str">
        <f t="shared" si="40"/>
        <v>45833</v>
      </c>
      <c r="T173" s="4" t="str">
        <f t="shared" si="41"/>
        <v>Government</v>
      </c>
      <c r="U173" s="4" t="str">
        <f t="shared" si="42"/>
        <v>fast</v>
      </c>
      <c r="V173" s="4">
        <f t="shared" si="43"/>
        <v>2025</v>
      </c>
      <c r="W173" s="4" t="str">
        <f t="shared" si="44"/>
        <v>Japan</v>
      </c>
    </row>
    <row r="174" spans="1:23" x14ac:dyDescent="0.25">
      <c r="A174" t="s">
        <v>307</v>
      </c>
      <c r="B174" t="s">
        <v>35</v>
      </c>
      <c r="C174" t="s">
        <v>764</v>
      </c>
      <c r="D174" t="s">
        <v>48</v>
      </c>
      <c r="E174" t="s">
        <v>24</v>
      </c>
      <c r="F174" s="1">
        <v>45549</v>
      </c>
      <c r="G174">
        <v>2960.46</v>
      </c>
      <c r="H174">
        <v>30481.03</v>
      </c>
      <c r="I174" t="str">
        <f t="shared" si="30"/>
        <v>Chennai</v>
      </c>
      <c r="J174" t="str">
        <f t="shared" si="31"/>
        <v>Chennai</v>
      </c>
      <c r="K174" t="str">
        <f t="shared" si="32"/>
        <v>Bpcl</v>
      </c>
      <c r="L174" s="4" t="str">
        <f t="shared" si="33"/>
        <v>Bpcl</v>
      </c>
      <c r="M174" s="4" t="str">
        <f t="shared" si="34"/>
        <v>Bharat Dc-001</v>
      </c>
      <c r="N174" s="4" t="str">
        <f t="shared" si="35"/>
        <v>Bharat Dc-001</v>
      </c>
      <c r="O174" s="4" t="str">
        <f t="shared" si="36"/>
        <v>Active</v>
      </c>
      <c r="P174" s="4" t="str">
        <f t="shared" si="37"/>
        <v>Active</v>
      </c>
      <c r="Q174" s="4" t="str">
        <f t="shared" si="38"/>
        <v>Chennai</v>
      </c>
      <c r="R174" s="4" t="b">
        <f t="shared" si="39"/>
        <v>1</v>
      </c>
      <c r="S174" s="5" t="str">
        <f t="shared" si="40"/>
        <v>45549</v>
      </c>
      <c r="T174" s="4" t="str">
        <f t="shared" si="41"/>
        <v>Government</v>
      </c>
      <c r="U174" s="4" t="str">
        <f t="shared" si="42"/>
        <v>fast</v>
      </c>
      <c r="V174" s="4">
        <f t="shared" si="43"/>
        <v>2024</v>
      </c>
      <c r="W174" s="4" t="str">
        <f t="shared" si="44"/>
        <v>India</v>
      </c>
    </row>
    <row r="175" spans="1:23" x14ac:dyDescent="0.25">
      <c r="A175" t="s">
        <v>309</v>
      </c>
      <c r="B175" t="s">
        <v>70</v>
      </c>
      <c r="C175" t="s">
        <v>53</v>
      </c>
      <c r="D175" t="s">
        <v>17</v>
      </c>
      <c r="E175" t="s">
        <v>24</v>
      </c>
      <c r="F175" s="1">
        <v>45858</v>
      </c>
      <c r="G175">
        <v>5270.98</v>
      </c>
      <c r="H175">
        <v>64677.96</v>
      </c>
      <c r="I175" t="str">
        <f t="shared" si="30"/>
        <v>Delhi</v>
      </c>
      <c r="J175" t="str">
        <f t="shared" si="31"/>
        <v>Delhi</v>
      </c>
      <c r="K175" t="str">
        <f t="shared" si="32"/>
        <v>Bpcl</v>
      </c>
      <c r="L175" s="4" t="str">
        <f t="shared" si="33"/>
        <v>Bpcl</v>
      </c>
      <c r="M175" s="4" t="str">
        <f t="shared" si="34"/>
        <v>Type2 Ac</v>
      </c>
      <c r="N175" s="4" t="str">
        <f t="shared" si="35"/>
        <v>Type2 Ac</v>
      </c>
      <c r="O175" s="4" t="str">
        <f t="shared" si="36"/>
        <v>Active</v>
      </c>
      <c r="P175" s="4" t="str">
        <f t="shared" si="37"/>
        <v>Active</v>
      </c>
      <c r="Q175" s="4" t="str">
        <f t="shared" si="38"/>
        <v>Delhi</v>
      </c>
      <c r="R175" s="4" t="b">
        <f t="shared" si="39"/>
        <v>1</v>
      </c>
      <c r="S175" s="5" t="str">
        <f t="shared" si="40"/>
        <v>45858</v>
      </c>
      <c r="T175" s="4" t="str">
        <f t="shared" si="41"/>
        <v>Government</v>
      </c>
      <c r="U175" s="4" t="str">
        <f t="shared" si="42"/>
        <v>Slow</v>
      </c>
      <c r="V175" s="4">
        <f t="shared" si="43"/>
        <v>2025</v>
      </c>
      <c r="W175" s="4" t="str">
        <f t="shared" si="44"/>
        <v>Germany</v>
      </c>
    </row>
    <row r="176" spans="1:23" x14ac:dyDescent="0.25">
      <c r="A176" t="s">
        <v>311</v>
      </c>
      <c r="B176" t="s">
        <v>30</v>
      </c>
      <c r="C176" t="s">
        <v>14</v>
      </c>
      <c r="D176" t="s">
        <v>56</v>
      </c>
      <c r="E176" t="s">
        <v>54</v>
      </c>
      <c r="F176" s="1">
        <v>45303</v>
      </c>
      <c r="G176">
        <v>165.44</v>
      </c>
      <c r="I176" t="str">
        <f t="shared" si="30"/>
        <v>Hyderabad</v>
      </c>
      <c r="J176" t="str">
        <f t="shared" si="31"/>
        <v>Hyderabad</v>
      </c>
      <c r="K176" t="str">
        <f t="shared" si="32"/>
        <v>Charge Point</v>
      </c>
      <c r="L176" s="4" t="str">
        <f t="shared" si="33"/>
        <v>Charge Point</v>
      </c>
      <c r="M176" s="4" t="str">
        <f t="shared" si="34"/>
        <v>Ccs2</v>
      </c>
      <c r="N176" s="4" t="str">
        <f t="shared" si="35"/>
        <v>Ccs2</v>
      </c>
      <c r="O176" s="4" t="str">
        <f t="shared" si="36"/>
        <v>Inactive</v>
      </c>
      <c r="P176" s="4" t="str">
        <f t="shared" si="37"/>
        <v>Inactive</v>
      </c>
      <c r="Q176" s="4" t="str">
        <f t="shared" si="38"/>
        <v>Hyderabad</v>
      </c>
      <c r="R176" s="4" t="b">
        <f t="shared" si="39"/>
        <v>1</v>
      </c>
      <c r="S176" s="5" t="str">
        <f t="shared" si="40"/>
        <v>45303</v>
      </c>
      <c r="T176" s="4" t="str">
        <f t="shared" si="41"/>
        <v>Private</v>
      </c>
      <c r="U176" s="4" t="str">
        <f t="shared" si="42"/>
        <v>Ultra Fast</v>
      </c>
      <c r="V176" s="4">
        <f t="shared" si="43"/>
        <v>2024</v>
      </c>
      <c r="W176" s="4" t="str">
        <f t="shared" si="44"/>
        <v>Europe</v>
      </c>
    </row>
    <row r="177" spans="1:23" x14ac:dyDescent="0.25">
      <c r="A177" t="s">
        <v>312</v>
      </c>
      <c r="B177" t="s">
        <v>40</v>
      </c>
      <c r="C177" t="s">
        <v>36</v>
      </c>
      <c r="D177" t="s">
        <v>48</v>
      </c>
      <c r="E177" t="s">
        <v>24</v>
      </c>
      <c r="F177" s="1">
        <v>45988</v>
      </c>
      <c r="G177">
        <v>5858.13</v>
      </c>
      <c r="H177">
        <v>72920.990000000005</v>
      </c>
      <c r="I177" t="str">
        <f t="shared" si="30"/>
        <v>Mumbai</v>
      </c>
      <c r="J177" t="str">
        <f t="shared" si="31"/>
        <v>Mumbai</v>
      </c>
      <c r="K177" t="str">
        <f t="shared" si="32"/>
        <v>Zeon Charging</v>
      </c>
      <c r="L177" s="4" t="str">
        <f t="shared" si="33"/>
        <v>Zeon Charging</v>
      </c>
      <c r="M177" s="4" t="str">
        <f t="shared" si="34"/>
        <v>Bharat Dc-001</v>
      </c>
      <c r="N177" s="4" t="str">
        <f t="shared" si="35"/>
        <v>Bharat Dc-001</v>
      </c>
      <c r="O177" s="4" t="str">
        <f t="shared" si="36"/>
        <v>Active</v>
      </c>
      <c r="P177" s="4" t="str">
        <f t="shared" si="37"/>
        <v>Active</v>
      </c>
      <c r="Q177" s="4" t="str">
        <f t="shared" si="38"/>
        <v>Mumbai</v>
      </c>
      <c r="R177" s="4" t="b">
        <f t="shared" si="39"/>
        <v>1</v>
      </c>
      <c r="S177" s="5" t="str">
        <f t="shared" si="40"/>
        <v>45988</v>
      </c>
      <c r="T177" s="4" t="str">
        <f t="shared" si="41"/>
        <v>Private</v>
      </c>
      <c r="U177" s="4" t="str">
        <f t="shared" si="42"/>
        <v>fast</v>
      </c>
      <c r="V177" s="4">
        <f t="shared" si="43"/>
        <v>2025</v>
      </c>
      <c r="W177" s="4" t="str">
        <f t="shared" si="44"/>
        <v>India</v>
      </c>
    </row>
    <row r="178" spans="1:23" x14ac:dyDescent="0.25">
      <c r="A178" t="s">
        <v>313</v>
      </c>
      <c r="B178" t="s">
        <v>30</v>
      </c>
      <c r="C178" t="s">
        <v>41</v>
      </c>
      <c r="D178" t="s">
        <v>17</v>
      </c>
      <c r="E178" t="s">
        <v>24</v>
      </c>
      <c r="F178" s="1">
        <v>46030</v>
      </c>
      <c r="G178">
        <v>1216.06</v>
      </c>
      <c r="H178">
        <v>13680.52</v>
      </c>
      <c r="I178" t="str">
        <f t="shared" si="30"/>
        <v>Hyderabad</v>
      </c>
      <c r="J178" t="str">
        <f t="shared" si="31"/>
        <v>Hyderabad</v>
      </c>
      <c r="K178" t="str">
        <f t="shared" si="32"/>
        <v>Ather Grid</v>
      </c>
      <c r="L178" s="4" t="str">
        <f t="shared" si="33"/>
        <v>Ather Grid</v>
      </c>
      <c r="M178" s="4" t="str">
        <f t="shared" si="34"/>
        <v>Type2 Ac</v>
      </c>
      <c r="N178" s="4" t="str">
        <f t="shared" si="35"/>
        <v>Type2 Ac</v>
      </c>
      <c r="O178" s="4" t="str">
        <f t="shared" si="36"/>
        <v>Active</v>
      </c>
      <c r="P178" s="4" t="str">
        <f t="shared" si="37"/>
        <v>Active</v>
      </c>
      <c r="Q178" s="4" t="str">
        <f t="shared" si="38"/>
        <v>Hyderabad</v>
      </c>
      <c r="R178" s="4" t="b">
        <f t="shared" si="39"/>
        <v>1</v>
      </c>
      <c r="S178" s="5" t="str">
        <f t="shared" si="40"/>
        <v>46030</v>
      </c>
      <c r="T178" s="4" t="str">
        <f t="shared" si="41"/>
        <v>Private</v>
      </c>
      <c r="U178" s="4" t="str">
        <f t="shared" si="42"/>
        <v>Slow</v>
      </c>
      <c r="V178" s="4">
        <f t="shared" si="43"/>
        <v>2026</v>
      </c>
      <c r="W178" s="4" t="str">
        <f t="shared" si="44"/>
        <v>Germany</v>
      </c>
    </row>
    <row r="179" spans="1:23" x14ac:dyDescent="0.25">
      <c r="A179" t="s">
        <v>314</v>
      </c>
      <c r="B179" t="s">
        <v>13</v>
      </c>
      <c r="D179" t="s">
        <v>17</v>
      </c>
      <c r="E179" t="s">
        <v>24</v>
      </c>
      <c r="F179" s="1">
        <v>45409</v>
      </c>
      <c r="G179">
        <v>10078.25</v>
      </c>
      <c r="H179">
        <v>130085.42</v>
      </c>
      <c r="I179" t="str">
        <f t="shared" si="30"/>
        <v>Bengaluru</v>
      </c>
      <c r="J179" t="str">
        <f t="shared" si="31"/>
        <v>Bengaluru</v>
      </c>
      <c r="K179" t="str">
        <f t="shared" si="32"/>
        <v/>
      </c>
      <c r="L179" s="4" t="str">
        <f t="shared" si="33"/>
        <v/>
      </c>
      <c r="M179" s="4" t="str">
        <f t="shared" si="34"/>
        <v>Type2 Ac</v>
      </c>
      <c r="N179" s="4" t="str">
        <f t="shared" si="35"/>
        <v>Type2 Ac</v>
      </c>
      <c r="O179" s="4" t="str">
        <f t="shared" si="36"/>
        <v>Active</v>
      </c>
      <c r="P179" s="4" t="str">
        <f t="shared" si="37"/>
        <v>Active</v>
      </c>
      <c r="Q179" s="4" t="str">
        <f t="shared" si="38"/>
        <v>Bengaluru</v>
      </c>
      <c r="R179" s="4" t="b">
        <f t="shared" si="39"/>
        <v>1</v>
      </c>
      <c r="S179" s="5" t="str">
        <f t="shared" si="40"/>
        <v>45409</v>
      </c>
      <c r="T179" s="4" t="str">
        <f t="shared" si="41"/>
        <v>Private</v>
      </c>
      <c r="U179" s="4" t="str">
        <f t="shared" si="42"/>
        <v>Slow</v>
      </c>
      <c r="V179" s="4">
        <f t="shared" si="43"/>
        <v>2024</v>
      </c>
      <c r="W179" s="4" t="str">
        <f t="shared" si="44"/>
        <v>Germany</v>
      </c>
    </row>
    <row r="180" spans="1:23" x14ac:dyDescent="0.25">
      <c r="A180" t="s">
        <v>316</v>
      </c>
      <c r="B180" t="s">
        <v>23</v>
      </c>
      <c r="C180" t="s">
        <v>14</v>
      </c>
      <c r="D180" t="s">
        <v>56</v>
      </c>
      <c r="E180" t="s">
        <v>24</v>
      </c>
      <c r="F180" s="1">
        <v>45990</v>
      </c>
      <c r="G180">
        <v>4978.9799999999996</v>
      </c>
      <c r="H180">
        <v>62459.69</v>
      </c>
      <c r="I180" t="str">
        <f t="shared" si="30"/>
        <v>Ahemdabad</v>
      </c>
      <c r="J180" t="str">
        <f t="shared" si="31"/>
        <v>Ahemdabad</v>
      </c>
      <c r="K180" t="str">
        <f t="shared" si="32"/>
        <v>Charge Point</v>
      </c>
      <c r="L180" s="4" t="str">
        <f t="shared" si="33"/>
        <v>Charge Point</v>
      </c>
      <c r="M180" s="4" t="str">
        <f t="shared" si="34"/>
        <v>Ccs2</v>
      </c>
      <c r="N180" s="4" t="str">
        <f t="shared" si="35"/>
        <v>Ccs2</v>
      </c>
      <c r="O180" s="4" t="str">
        <f t="shared" si="36"/>
        <v>Active</v>
      </c>
      <c r="P180" s="4" t="str">
        <f t="shared" si="37"/>
        <v>Active</v>
      </c>
      <c r="Q180" s="4" t="str">
        <f t="shared" si="38"/>
        <v>Ahemdabad</v>
      </c>
      <c r="R180" s="4" t="b">
        <f t="shared" si="39"/>
        <v>1</v>
      </c>
      <c r="S180" s="5" t="str">
        <f t="shared" si="40"/>
        <v>45990</v>
      </c>
      <c r="T180" s="4" t="str">
        <f t="shared" si="41"/>
        <v>Private</v>
      </c>
      <c r="U180" s="4" t="str">
        <f t="shared" si="42"/>
        <v>Ultra Fast</v>
      </c>
      <c r="V180" s="4">
        <f t="shared" si="43"/>
        <v>2025</v>
      </c>
      <c r="W180" s="4" t="str">
        <f t="shared" si="44"/>
        <v>Europe</v>
      </c>
    </row>
    <row r="181" spans="1:23" x14ac:dyDescent="0.25">
      <c r="A181" t="s">
        <v>318</v>
      </c>
      <c r="B181" t="s">
        <v>40</v>
      </c>
      <c r="C181" t="s">
        <v>14</v>
      </c>
      <c r="D181" t="s">
        <v>56</v>
      </c>
      <c r="E181" t="s">
        <v>24</v>
      </c>
      <c r="F181" s="1">
        <v>45723</v>
      </c>
      <c r="G181">
        <v>9352.65</v>
      </c>
      <c r="H181">
        <v>82459.8</v>
      </c>
      <c r="I181" t="str">
        <f t="shared" si="30"/>
        <v>Mumbai</v>
      </c>
      <c r="J181" t="str">
        <f t="shared" si="31"/>
        <v>Mumbai</v>
      </c>
      <c r="K181" t="str">
        <f t="shared" si="32"/>
        <v>Charge Point</v>
      </c>
      <c r="L181" s="4" t="str">
        <f t="shared" si="33"/>
        <v>Charge Point</v>
      </c>
      <c r="M181" s="4" t="str">
        <f t="shared" si="34"/>
        <v>Ccs2</v>
      </c>
      <c r="N181" s="4" t="str">
        <f t="shared" si="35"/>
        <v>Ccs2</v>
      </c>
      <c r="O181" s="4" t="str">
        <f t="shared" si="36"/>
        <v>Active</v>
      </c>
      <c r="P181" s="4" t="str">
        <f t="shared" si="37"/>
        <v>Active</v>
      </c>
      <c r="Q181" s="4" t="str">
        <f t="shared" si="38"/>
        <v>Mumbai</v>
      </c>
      <c r="R181" s="4" t="b">
        <f t="shared" si="39"/>
        <v>1</v>
      </c>
      <c r="S181" s="5" t="str">
        <f t="shared" si="40"/>
        <v>45723</v>
      </c>
      <c r="T181" s="4" t="str">
        <f t="shared" si="41"/>
        <v>Private</v>
      </c>
      <c r="U181" s="4" t="str">
        <f t="shared" si="42"/>
        <v>Ultra Fast</v>
      </c>
      <c r="V181" s="4">
        <f t="shared" si="43"/>
        <v>2025</v>
      </c>
      <c r="W181" s="4" t="str">
        <f t="shared" si="44"/>
        <v>Europe</v>
      </c>
    </row>
    <row r="182" spans="1:23" x14ac:dyDescent="0.25">
      <c r="A182" t="s">
        <v>319</v>
      </c>
      <c r="B182" t="s">
        <v>70</v>
      </c>
      <c r="C182" t="s">
        <v>63</v>
      </c>
      <c r="D182" t="s">
        <v>56</v>
      </c>
      <c r="E182" t="s">
        <v>24</v>
      </c>
      <c r="F182" s="1">
        <v>46060</v>
      </c>
      <c r="G182">
        <v>11379.71</v>
      </c>
      <c r="H182">
        <v>94649.91</v>
      </c>
      <c r="I182" t="str">
        <f t="shared" si="30"/>
        <v>Delhi</v>
      </c>
      <c r="J182" t="str">
        <f t="shared" si="31"/>
        <v>Delhi</v>
      </c>
      <c r="K182" t="str">
        <f t="shared" si="32"/>
        <v>Tata Power</v>
      </c>
      <c r="L182" s="4" t="str">
        <f t="shared" si="33"/>
        <v>Tata Power</v>
      </c>
      <c r="M182" s="4" t="str">
        <f t="shared" si="34"/>
        <v>Ccs2</v>
      </c>
      <c r="N182" s="4" t="str">
        <f t="shared" si="35"/>
        <v>Ccs2</v>
      </c>
      <c r="O182" s="4" t="str">
        <f t="shared" si="36"/>
        <v>Active</v>
      </c>
      <c r="P182" s="4" t="str">
        <f t="shared" si="37"/>
        <v>Active</v>
      </c>
      <c r="Q182" s="4" t="str">
        <f t="shared" si="38"/>
        <v>Delhi</v>
      </c>
      <c r="R182" s="4" t="b">
        <f t="shared" si="39"/>
        <v>1</v>
      </c>
      <c r="S182" s="5" t="str">
        <f t="shared" si="40"/>
        <v>46060</v>
      </c>
      <c r="T182" s="4" t="str">
        <f t="shared" si="41"/>
        <v>Government</v>
      </c>
      <c r="U182" s="4" t="str">
        <f t="shared" si="42"/>
        <v>Ultra Fast</v>
      </c>
      <c r="V182" s="4">
        <f t="shared" si="43"/>
        <v>2026</v>
      </c>
      <c r="W182" s="4" t="str">
        <f t="shared" si="44"/>
        <v>Europe</v>
      </c>
    </row>
    <row r="183" spans="1:23" x14ac:dyDescent="0.25">
      <c r="A183" t="s">
        <v>320</v>
      </c>
      <c r="B183" t="s">
        <v>40</v>
      </c>
      <c r="C183" t="s">
        <v>41</v>
      </c>
      <c r="D183" t="s">
        <v>26</v>
      </c>
      <c r="E183" t="s">
        <v>24</v>
      </c>
      <c r="F183" s="1">
        <v>45565</v>
      </c>
      <c r="G183">
        <v>724.62</v>
      </c>
      <c r="H183">
        <v>5985.71</v>
      </c>
      <c r="I183" t="str">
        <f t="shared" si="30"/>
        <v>Mumbai</v>
      </c>
      <c r="J183" t="str">
        <f t="shared" si="31"/>
        <v>Mumbai</v>
      </c>
      <c r="K183" t="str">
        <f t="shared" si="32"/>
        <v>Ather Grid</v>
      </c>
      <c r="L183" s="4" t="str">
        <f t="shared" si="33"/>
        <v>Ather Grid</v>
      </c>
      <c r="M183" s="4" t="str">
        <f t="shared" si="34"/>
        <v>Chademo</v>
      </c>
      <c r="N183" s="4" t="str">
        <f t="shared" si="35"/>
        <v>Chademo</v>
      </c>
      <c r="O183" s="4" t="str">
        <f t="shared" si="36"/>
        <v>Active</v>
      </c>
      <c r="P183" s="4" t="str">
        <f t="shared" si="37"/>
        <v>Active</v>
      </c>
      <c r="Q183" s="4" t="str">
        <f t="shared" si="38"/>
        <v>Mumbai</v>
      </c>
      <c r="R183" s="4" t="b">
        <f t="shared" si="39"/>
        <v>1</v>
      </c>
      <c r="S183" s="5" t="str">
        <f t="shared" si="40"/>
        <v>45565</v>
      </c>
      <c r="T183" s="4" t="str">
        <f t="shared" si="41"/>
        <v>Private</v>
      </c>
      <c r="U183" s="4" t="str">
        <f t="shared" si="42"/>
        <v>fast</v>
      </c>
      <c r="V183" s="4">
        <f t="shared" si="43"/>
        <v>2024</v>
      </c>
      <c r="W183" s="4" t="str">
        <f t="shared" si="44"/>
        <v>Japan</v>
      </c>
    </row>
    <row r="184" spans="1:23" x14ac:dyDescent="0.25">
      <c r="A184" t="s">
        <v>321</v>
      </c>
      <c r="B184" t="s">
        <v>46</v>
      </c>
      <c r="C184" t="s">
        <v>14</v>
      </c>
      <c r="D184" t="s">
        <v>56</v>
      </c>
      <c r="E184" t="s">
        <v>24</v>
      </c>
      <c r="F184" s="1">
        <v>46079</v>
      </c>
      <c r="G184">
        <v>10627.55</v>
      </c>
      <c r="H184">
        <v>159110.28</v>
      </c>
      <c r="I184" t="str">
        <f t="shared" si="30"/>
        <v>Kolkata</v>
      </c>
      <c r="J184" t="str">
        <f t="shared" si="31"/>
        <v>Kolkata</v>
      </c>
      <c r="K184" t="str">
        <f t="shared" si="32"/>
        <v>Charge Point</v>
      </c>
      <c r="L184" s="4" t="str">
        <f t="shared" si="33"/>
        <v>Charge Point</v>
      </c>
      <c r="M184" s="4" t="str">
        <f t="shared" si="34"/>
        <v>Ccs2</v>
      </c>
      <c r="N184" s="4" t="str">
        <f t="shared" si="35"/>
        <v>Ccs2</v>
      </c>
      <c r="O184" s="4" t="str">
        <f t="shared" si="36"/>
        <v>Active</v>
      </c>
      <c r="P184" s="4" t="str">
        <f t="shared" si="37"/>
        <v>Active</v>
      </c>
      <c r="Q184" s="4" t="str">
        <f t="shared" si="38"/>
        <v>Kolkata</v>
      </c>
      <c r="R184" s="4" t="b">
        <f t="shared" si="39"/>
        <v>1</v>
      </c>
      <c r="S184" s="5" t="str">
        <f t="shared" si="40"/>
        <v>46079</v>
      </c>
      <c r="T184" s="4" t="str">
        <f t="shared" si="41"/>
        <v>Private</v>
      </c>
      <c r="U184" s="4" t="str">
        <f t="shared" si="42"/>
        <v>Ultra Fast</v>
      </c>
      <c r="V184" s="4">
        <f t="shared" si="43"/>
        <v>2026</v>
      </c>
      <c r="W184" s="4" t="str">
        <f t="shared" si="44"/>
        <v>Europe</v>
      </c>
    </row>
    <row r="185" spans="1:23" x14ac:dyDescent="0.25">
      <c r="A185" t="s">
        <v>323</v>
      </c>
      <c r="C185" t="s">
        <v>14</v>
      </c>
      <c r="D185" t="s">
        <v>17</v>
      </c>
      <c r="E185" t="s">
        <v>31</v>
      </c>
      <c r="F185" s="1">
        <v>45948</v>
      </c>
      <c r="G185">
        <v>1769.5</v>
      </c>
      <c r="H185">
        <v>15594.33</v>
      </c>
      <c r="I185" t="str">
        <f t="shared" si="30"/>
        <v/>
      </c>
      <c r="J185" t="str">
        <f t="shared" si="31"/>
        <v/>
      </c>
      <c r="K185" t="str">
        <f t="shared" si="32"/>
        <v>Charge Point</v>
      </c>
      <c r="L185" s="4" t="str">
        <f t="shared" si="33"/>
        <v>Charge Point</v>
      </c>
      <c r="M185" s="4" t="str">
        <f t="shared" si="34"/>
        <v>Type2 Ac</v>
      </c>
      <c r="N185" s="4" t="str">
        <f t="shared" si="35"/>
        <v>Type2 Ac</v>
      </c>
      <c r="O185" s="4" t="str">
        <f t="shared" si="36"/>
        <v>Maintenance</v>
      </c>
      <c r="P185" s="4" t="str">
        <f t="shared" si="37"/>
        <v>Maintenance</v>
      </c>
      <c r="Q185" s="4" t="str">
        <f t="shared" si="38"/>
        <v/>
      </c>
      <c r="R185" s="4" t="b">
        <f t="shared" si="39"/>
        <v>1</v>
      </c>
      <c r="S185" s="5" t="str">
        <f t="shared" si="40"/>
        <v>45948</v>
      </c>
      <c r="T185" s="4" t="str">
        <f t="shared" si="41"/>
        <v>Private</v>
      </c>
      <c r="U185" s="4" t="str">
        <f t="shared" si="42"/>
        <v>Slow</v>
      </c>
      <c r="V185" s="4">
        <f t="shared" si="43"/>
        <v>2025</v>
      </c>
      <c r="W185" s="4" t="str">
        <f t="shared" si="44"/>
        <v>Germany</v>
      </c>
    </row>
    <row r="186" spans="1:23" x14ac:dyDescent="0.25">
      <c r="A186" t="s">
        <v>325</v>
      </c>
      <c r="B186" t="s">
        <v>70</v>
      </c>
      <c r="C186" t="s">
        <v>36</v>
      </c>
      <c r="D186" t="s">
        <v>56</v>
      </c>
      <c r="E186" t="s">
        <v>24</v>
      </c>
      <c r="F186" s="1">
        <v>45640</v>
      </c>
      <c r="G186">
        <v>5985.27</v>
      </c>
      <c r="H186">
        <v>57719.55</v>
      </c>
      <c r="I186" t="str">
        <f t="shared" si="30"/>
        <v>Delhi</v>
      </c>
      <c r="J186" t="str">
        <f t="shared" si="31"/>
        <v>Delhi</v>
      </c>
      <c r="K186" t="str">
        <f t="shared" si="32"/>
        <v>Zeon Charging</v>
      </c>
      <c r="L186" s="4" t="str">
        <f t="shared" si="33"/>
        <v>Zeon Charging</v>
      </c>
      <c r="M186" s="4" t="str">
        <f t="shared" si="34"/>
        <v>Ccs2</v>
      </c>
      <c r="N186" s="4" t="str">
        <f t="shared" si="35"/>
        <v>Ccs2</v>
      </c>
      <c r="O186" s="4" t="str">
        <f t="shared" si="36"/>
        <v>Active</v>
      </c>
      <c r="P186" s="4" t="str">
        <f t="shared" si="37"/>
        <v>Active</v>
      </c>
      <c r="Q186" s="4" t="str">
        <f t="shared" si="38"/>
        <v>Delhi</v>
      </c>
      <c r="R186" s="4" t="b">
        <f t="shared" si="39"/>
        <v>1</v>
      </c>
      <c r="S186" s="5" t="str">
        <f t="shared" si="40"/>
        <v>45640</v>
      </c>
      <c r="T186" s="4" t="str">
        <f t="shared" si="41"/>
        <v>Private</v>
      </c>
      <c r="U186" s="4" t="str">
        <f t="shared" si="42"/>
        <v>Ultra Fast</v>
      </c>
      <c r="V186" s="4">
        <f t="shared" si="43"/>
        <v>2024</v>
      </c>
      <c r="W186" s="4" t="str">
        <f t="shared" si="44"/>
        <v>Europe</v>
      </c>
    </row>
    <row r="187" spans="1:23" x14ac:dyDescent="0.25">
      <c r="A187" t="s">
        <v>326</v>
      </c>
      <c r="B187" t="s">
        <v>782</v>
      </c>
      <c r="C187" t="s">
        <v>41</v>
      </c>
      <c r="D187" t="s">
        <v>17</v>
      </c>
      <c r="E187" t="s">
        <v>15</v>
      </c>
      <c r="F187" s="1">
        <v>45406</v>
      </c>
      <c r="G187">
        <v>188.55</v>
      </c>
      <c r="H187">
        <v>2217.88</v>
      </c>
      <c r="I187" t="str">
        <f t="shared" si="30"/>
        <v>Hyderabad</v>
      </c>
      <c r="J187" t="str">
        <f t="shared" si="31"/>
        <v>Hyderabad</v>
      </c>
      <c r="K187" t="str">
        <f t="shared" si="32"/>
        <v>Ather Grid</v>
      </c>
      <c r="L187" s="4" t="str">
        <f t="shared" si="33"/>
        <v>Ather Grid</v>
      </c>
      <c r="M187" s="4" t="str">
        <f t="shared" si="34"/>
        <v>Type2 Ac</v>
      </c>
      <c r="N187" s="4" t="str">
        <f t="shared" si="35"/>
        <v>Type2 Ac</v>
      </c>
      <c r="O187" s="4" t="str">
        <f t="shared" si="36"/>
        <v>Decommissioned</v>
      </c>
      <c r="P187" s="4" t="str">
        <f t="shared" si="37"/>
        <v>Decommissioned</v>
      </c>
      <c r="Q187" s="4" t="str">
        <f t="shared" si="38"/>
        <v>Hyderabad</v>
      </c>
      <c r="R187" s="4" t="b">
        <f t="shared" si="39"/>
        <v>1</v>
      </c>
      <c r="S187" s="5" t="str">
        <f t="shared" si="40"/>
        <v>45406</v>
      </c>
      <c r="T187" s="4" t="str">
        <f t="shared" si="41"/>
        <v>Private</v>
      </c>
      <c r="U187" s="4" t="str">
        <f t="shared" si="42"/>
        <v>Slow</v>
      </c>
      <c r="V187" s="4">
        <f t="shared" si="43"/>
        <v>2024</v>
      </c>
      <c r="W187" s="4" t="str">
        <f t="shared" si="44"/>
        <v>Germany</v>
      </c>
    </row>
    <row r="188" spans="1:23" x14ac:dyDescent="0.25">
      <c r="A188" t="s">
        <v>327</v>
      </c>
      <c r="B188" t="s">
        <v>66</v>
      </c>
      <c r="C188" t="s">
        <v>14</v>
      </c>
      <c r="D188" t="s">
        <v>48</v>
      </c>
      <c r="E188" t="s">
        <v>24</v>
      </c>
      <c r="F188" s="1">
        <v>45592</v>
      </c>
      <c r="G188">
        <v>3934.05</v>
      </c>
      <c r="H188">
        <v>42175.06</v>
      </c>
      <c r="I188" t="str">
        <f t="shared" si="30"/>
        <v>Pune</v>
      </c>
      <c r="J188" t="str">
        <f t="shared" si="31"/>
        <v>Pune</v>
      </c>
      <c r="K188" t="str">
        <f t="shared" si="32"/>
        <v>Charge Point</v>
      </c>
      <c r="L188" s="4" t="str">
        <f t="shared" si="33"/>
        <v>Charge Point</v>
      </c>
      <c r="M188" s="4" t="str">
        <f t="shared" si="34"/>
        <v>Bharat Dc-001</v>
      </c>
      <c r="N188" s="4" t="str">
        <f t="shared" si="35"/>
        <v>Bharat Dc-001</v>
      </c>
      <c r="O188" s="4" t="str">
        <f t="shared" si="36"/>
        <v>Active</v>
      </c>
      <c r="P188" s="4" t="str">
        <f t="shared" si="37"/>
        <v>Active</v>
      </c>
      <c r="Q188" s="4" t="str">
        <f t="shared" si="38"/>
        <v>Pune</v>
      </c>
      <c r="R188" s="4" t="b">
        <f t="shared" si="39"/>
        <v>1</v>
      </c>
      <c r="S188" s="5" t="str">
        <f t="shared" si="40"/>
        <v>45592</v>
      </c>
      <c r="T188" s="4" t="str">
        <f t="shared" si="41"/>
        <v>Private</v>
      </c>
      <c r="U188" s="4" t="str">
        <f t="shared" si="42"/>
        <v>fast</v>
      </c>
      <c r="V188" s="4">
        <f t="shared" si="43"/>
        <v>2024</v>
      </c>
      <c r="W188" s="4" t="str">
        <f t="shared" si="44"/>
        <v>India</v>
      </c>
    </row>
    <row r="189" spans="1:23" x14ac:dyDescent="0.25">
      <c r="A189" t="s">
        <v>328</v>
      </c>
      <c r="B189" t="s">
        <v>35</v>
      </c>
      <c r="C189" t="s">
        <v>41</v>
      </c>
      <c r="D189" t="s">
        <v>26</v>
      </c>
      <c r="E189" t="s">
        <v>31</v>
      </c>
      <c r="F189" s="1">
        <v>45737</v>
      </c>
      <c r="G189">
        <v>1230.96</v>
      </c>
      <c r="H189">
        <v>13044.58</v>
      </c>
      <c r="I189" t="str">
        <f t="shared" si="30"/>
        <v>Chennai</v>
      </c>
      <c r="J189" t="str">
        <f t="shared" si="31"/>
        <v>Chennai</v>
      </c>
      <c r="K189" t="str">
        <f t="shared" si="32"/>
        <v>Ather Grid</v>
      </c>
      <c r="L189" s="4" t="str">
        <f t="shared" si="33"/>
        <v>Ather Grid</v>
      </c>
      <c r="M189" s="4" t="str">
        <f t="shared" si="34"/>
        <v>Chademo</v>
      </c>
      <c r="N189" s="4" t="str">
        <f t="shared" si="35"/>
        <v>Chademo</v>
      </c>
      <c r="O189" s="4" t="str">
        <f t="shared" si="36"/>
        <v>Maintenance</v>
      </c>
      <c r="P189" s="4" t="str">
        <f t="shared" si="37"/>
        <v>Maintenance</v>
      </c>
      <c r="Q189" s="4" t="str">
        <f t="shared" si="38"/>
        <v>Chennai</v>
      </c>
      <c r="R189" s="4" t="b">
        <f t="shared" si="39"/>
        <v>1</v>
      </c>
      <c r="S189" s="5" t="str">
        <f t="shared" si="40"/>
        <v>45737</v>
      </c>
      <c r="T189" s="4" t="str">
        <f t="shared" si="41"/>
        <v>Private</v>
      </c>
      <c r="U189" s="4" t="str">
        <f t="shared" si="42"/>
        <v>fast</v>
      </c>
      <c r="V189" s="4">
        <f t="shared" si="43"/>
        <v>2025</v>
      </c>
      <c r="W189" s="4" t="str">
        <f t="shared" si="44"/>
        <v>Japan</v>
      </c>
    </row>
    <row r="190" spans="1:23" x14ac:dyDescent="0.25">
      <c r="A190" t="s">
        <v>330</v>
      </c>
      <c r="B190" t="s">
        <v>766</v>
      </c>
      <c r="C190" t="s">
        <v>63</v>
      </c>
      <c r="D190" t="s">
        <v>48</v>
      </c>
      <c r="E190" t="s">
        <v>24</v>
      </c>
      <c r="F190" s="1">
        <v>45453</v>
      </c>
      <c r="G190">
        <v>10753.88</v>
      </c>
      <c r="H190">
        <v>157497.73000000001</v>
      </c>
      <c r="I190" t="str">
        <f t="shared" si="30"/>
        <v>Chennai</v>
      </c>
      <c r="J190" t="str">
        <f t="shared" si="31"/>
        <v>Chennai</v>
      </c>
      <c r="K190" t="str">
        <f t="shared" si="32"/>
        <v>Tata Power</v>
      </c>
      <c r="L190" s="4" t="str">
        <f t="shared" si="33"/>
        <v>Tata Power</v>
      </c>
      <c r="M190" s="4" t="str">
        <f t="shared" si="34"/>
        <v>Bharat Dc-001</v>
      </c>
      <c r="N190" s="4" t="str">
        <f t="shared" si="35"/>
        <v>Bharat Dc-001</v>
      </c>
      <c r="O190" s="4" t="str">
        <f t="shared" si="36"/>
        <v>Active</v>
      </c>
      <c r="P190" s="4" t="str">
        <f t="shared" si="37"/>
        <v>Active</v>
      </c>
      <c r="Q190" s="4" t="str">
        <f t="shared" si="38"/>
        <v>Chennai</v>
      </c>
      <c r="R190" s="4" t="b">
        <f t="shared" si="39"/>
        <v>1</v>
      </c>
      <c r="S190" s="5" t="str">
        <f t="shared" si="40"/>
        <v>45453</v>
      </c>
      <c r="T190" s="4" t="str">
        <f t="shared" si="41"/>
        <v>Government</v>
      </c>
      <c r="U190" s="4" t="str">
        <f t="shared" si="42"/>
        <v>fast</v>
      </c>
      <c r="V190" s="4">
        <f t="shared" si="43"/>
        <v>2024</v>
      </c>
      <c r="W190" s="4" t="str">
        <f t="shared" si="44"/>
        <v>India</v>
      </c>
    </row>
    <row r="191" spans="1:23" x14ac:dyDescent="0.25">
      <c r="A191" t="s">
        <v>331</v>
      </c>
      <c r="B191" t="s">
        <v>70</v>
      </c>
      <c r="C191" t="s">
        <v>764</v>
      </c>
      <c r="D191" t="s">
        <v>48</v>
      </c>
      <c r="F191" s="1">
        <v>45756</v>
      </c>
      <c r="G191">
        <v>417.86</v>
      </c>
      <c r="H191">
        <v>5380.11</v>
      </c>
      <c r="I191" t="str">
        <f t="shared" si="30"/>
        <v>Delhi</v>
      </c>
      <c r="J191" t="str">
        <f t="shared" si="31"/>
        <v>Delhi</v>
      </c>
      <c r="K191" t="str">
        <f t="shared" si="32"/>
        <v>Bpcl</v>
      </c>
      <c r="L191" s="4" t="str">
        <f t="shared" si="33"/>
        <v>Bpcl</v>
      </c>
      <c r="M191" s="4" t="str">
        <f t="shared" si="34"/>
        <v>Bharat Dc-001</v>
      </c>
      <c r="N191" s="4" t="str">
        <f t="shared" si="35"/>
        <v>Bharat Dc-001</v>
      </c>
      <c r="O191" s="4" t="str">
        <f t="shared" si="36"/>
        <v/>
      </c>
      <c r="P191" s="4" t="str">
        <f t="shared" si="37"/>
        <v/>
      </c>
      <c r="Q191" s="4" t="str">
        <f t="shared" si="38"/>
        <v>Delhi</v>
      </c>
      <c r="R191" s="4" t="b">
        <f t="shared" si="39"/>
        <v>1</v>
      </c>
      <c r="S191" s="5" t="str">
        <f t="shared" si="40"/>
        <v>45756</v>
      </c>
      <c r="T191" s="4" t="str">
        <f t="shared" si="41"/>
        <v>Government</v>
      </c>
      <c r="U191" s="4" t="str">
        <f t="shared" si="42"/>
        <v>fast</v>
      </c>
      <c r="V191" s="4">
        <f t="shared" si="43"/>
        <v>2025</v>
      </c>
      <c r="W191" s="4" t="str">
        <f t="shared" si="44"/>
        <v>India</v>
      </c>
    </row>
    <row r="192" spans="1:23" x14ac:dyDescent="0.25">
      <c r="A192" t="s">
        <v>332</v>
      </c>
      <c r="B192" t="s">
        <v>40</v>
      </c>
      <c r="C192" t="s">
        <v>14</v>
      </c>
      <c r="D192" t="s">
        <v>17</v>
      </c>
      <c r="E192" t="s">
        <v>54</v>
      </c>
      <c r="F192" s="1">
        <v>45295</v>
      </c>
      <c r="G192">
        <v>269.11</v>
      </c>
      <c r="H192">
        <v>3170.48</v>
      </c>
      <c r="I192" t="str">
        <f t="shared" si="30"/>
        <v>Mumbai</v>
      </c>
      <c r="J192" t="str">
        <f t="shared" si="31"/>
        <v>Mumbai</v>
      </c>
      <c r="K192" t="str">
        <f t="shared" si="32"/>
        <v>Charge Point</v>
      </c>
      <c r="L192" s="4" t="str">
        <f t="shared" si="33"/>
        <v>Charge Point</v>
      </c>
      <c r="M192" s="4" t="str">
        <f t="shared" si="34"/>
        <v>Type2 Ac</v>
      </c>
      <c r="N192" s="4" t="str">
        <f t="shared" si="35"/>
        <v>Type2 Ac</v>
      </c>
      <c r="O192" s="4" t="str">
        <f t="shared" si="36"/>
        <v>Inactive</v>
      </c>
      <c r="P192" s="4" t="str">
        <f t="shared" si="37"/>
        <v>Inactive</v>
      </c>
      <c r="Q192" s="4" t="str">
        <f t="shared" si="38"/>
        <v>Mumbai</v>
      </c>
      <c r="R192" s="4" t="b">
        <f t="shared" si="39"/>
        <v>1</v>
      </c>
      <c r="S192" s="5" t="str">
        <f t="shared" si="40"/>
        <v>45295</v>
      </c>
      <c r="T192" s="4" t="str">
        <f t="shared" si="41"/>
        <v>Private</v>
      </c>
      <c r="U192" s="4" t="str">
        <f t="shared" si="42"/>
        <v>Slow</v>
      </c>
      <c r="V192" s="4">
        <f t="shared" si="43"/>
        <v>2024</v>
      </c>
      <c r="W192" s="4" t="str">
        <f t="shared" si="44"/>
        <v>Germany</v>
      </c>
    </row>
    <row r="193" spans="1:23" x14ac:dyDescent="0.25">
      <c r="A193" t="s">
        <v>333</v>
      </c>
      <c r="B193" t="s">
        <v>46</v>
      </c>
      <c r="C193" t="s">
        <v>36</v>
      </c>
      <c r="D193" t="s">
        <v>48</v>
      </c>
      <c r="E193" t="s">
        <v>24</v>
      </c>
      <c r="F193" s="1">
        <v>46266</v>
      </c>
      <c r="G193">
        <v>8948.2900000000009</v>
      </c>
      <c r="H193">
        <v>108376.16</v>
      </c>
      <c r="I193" t="str">
        <f t="shared" si="30"/>
        <v>Kolkata</v>
      </c>
      <c r="J193" t="str">
        <f t="shared" si="31"/>
        <v>Kolkata</v>
      </c>
      <c r="K193" t="str">
        <f t="shared" si="32"/>
        <v>Zeon Charging</v>
      </c>
      <c r="L193" s="4" t="str">
        <f t="shared" si="33"/>
        <v>Zeon Charging</v>
      </c>
      <c r="M193" s="4" t="str">
        <f t="shared" si="34"/>
        <v>Bharat Dc-001</v>
      </c>
      <c r="N193" s="4" t="str">
        <f t="shared" si="35"/>
        <v>Bharat Dc-001</v>
      </c>
      <c r="O193" s="4" t="str">
        <f t="shared" si="36"/>
        <v>Active</v>
      </c>
      <c r="P193" s="4" t="str">
        <f t="shared" si="37"/>
        <v>Active</v>
      </c>
      <c r="Q193" s="4" t="str">
        <f t="shared" si="38"/>
        <v>Kolkata</v>
      </c>
      <c r="R193" s="4" t="b">
        <f t="shared" si="39"/>
        <v>1</v>
      </c>
      <c r="S193" s="5" t="str">
        <f t="shared" si="40"/>
        <v>46266</v>
      </c>
      <c r="T193" s="4" t="str">
        <f t="shared" si="41"/>
        <v>Private</v>
      </c>
      <c r="U193" s="4" t="str">
        <f t="shared" si="42"/>
        <v>fast</v>
      </c>
      <c r="V193" s="4">
        <f t="shared" si="43"/>
        <v>2026</v>
      </c>
      <c r="W193" s="4" t="str">
        <f t="shared" si="44"/>
        <v>India</v>
      </c>
    </row>
    <row r="194" spans="1:23" x14ac:dyDescent="0.25">
      <c r="A194" t="s">
        <v>334</v>
      </c>
      <c r="B194" t="s">
        <v>46</v>
      </c>
      <c r="C194" t="s">
        <v>63</v>
      </c>
      <c r="D194" t="s">
        <v>17</v>
      </c>
      <c r="E194" t="s">
        <v>24</v>
      </c>
      <c r="F194" s="1">
        <v>46028</v>
      </c>
      <c r="G194">
        <v>9698.48</v>
      </c>
      <c r="H194">
        <v>126916.19</v>
      </c>
      <c r="I194" t="str">
        <f t="shared" ref="I194:I257" si="45">PROPER(B194)</f>
        <v>Kolkata</v>
      </c>
      <c r="J194" t="str">
        <f t="shared" ref="J194:J257" si="46">TRIM(I194)</f>
        <v>Kolkata</v>
      </c>
      <c r="K194" t="str">
        <f t="shared" ref="K194:K257" si="47">PROPER(C194)</f>
        <v>Tata Power</v>
      </c>
      <c r="L194" s="4" t="str">
        <f t="shared" ref="L194:L257" si="48">TRIM(K194)</f>
        <v>Tata Power</v>
      </c>
      <c r="M194" s="4" t="str">
        <f t="shared" ref="M194:M257" si="49">PROPER(D194)</f>
        <v>Type2 Ac</v>
      </c>
      <c r="N194" s="4" t="str">
        <f t="shared" ref="N194:N257" si="50">TRIM(M194)</f>
        <v>Type2 Ac</v>
      </c>
      <c r="O194" s="4" t="str">
        <f t="shared" ref="O194:O257" si="51">PROPER(E194)</f>
        <v>Active</v>
      </c>
      <c r="P194" s="4" t="str">
        <f t="shared" ref="P194:P257" si="52">TRIM(O194)</f>
        <v>Active</v>
      </c>
      <c r="Q194" s="4" t="str">
        <f t="shared" ref="Q194:Q257" si="53">IF(TRIM(I193)=" ","Mumbai",I194)</f>
        <v>Kolkata</v>
      </c>
      <c r="R194" s="4" t="b">
        <f t="shared" ref="R194:R257" si="54">ISNUMBER(F194)</f>
        <v>1</v>
      </c>
      <c r="S194" s="5" t="str">
        <f t="shared" ref="S194:S257" si="55">TRIM(F194)</f>
        <v>46028</v>
      </c>
      <c r="T194" s="4" t="str">
        <f t="shared" ref="T194:T257" si="56">IF(L194="Tata Power","Government",IF(L194="Bpcl","Government","Private"))</f>
        <v>Government</v>
      </c>
      <c r="U194" s="4" t="str">
        <f t="shared" ref="U194:U257" si="57">IF(N194="Type2 Ac","Slow",IF(N194="Ccs2","Ultra Fast","fast"))</f>
        <v>Slow</v>
      </c>
      <c r="V194" s="4">
        <f t="shared" ref="V194:V257" si="58">YEAR(F194)</f>
        <v>2026</v>
      </c>
      <c r="W194" s="4" t="str">
        <f t="shared" ref="W194:W257" si="59">IF(N194="Type2 Ac","Germany",IF(N194="Chademo","Japan",IF(N194="Ccs2","Europe","India")))</f>
        <v>Germany</v>
      </c>
    </row>
    <row r="195" spans="1:23" x14ac:dyDescent="0.25">
      <c r="A195" t="s">
        <v>335</v>
      </c>
      <c r="B195" t="s">
        <v>30</v>
      </c>
      <c r="C195" t="s">
        <v>41</v>
      </c>
      <c r="D195" t="s">
        <v>56</v>
      </c>
      <c r="E195" t="s">
        <v>24</v>
      </c>
      <c r="F195" s="1">
        <v>45561</v>
      </c>
      <c r="G195">
        <v>10824.83</v>
      </c>
      <c r="H195">
        <v>153689.82</v>
      </c>
      <c r="I195" t="str">
        <f t="shared" si="45"/>
        <v>Hyderabad</v>
      </c>
      <c r="J195" t="str">
        <f t="shared" si="46"/>
        <v>Hyderabad</v>
      </c>
      <c r="K195" t="str">
        <f t="shared" si="47"/>
        <v>Ather Grid</v>
      </c>
      <c r="L195" s="4" t="str">
        <f t="shared" si="48"/>
        <v>Ather Grid</v>
      </c>
      <c r="M195" s="4" t="str">
        <f t="shared" si="49"/>
        <v>Ccs2</v>
      </c>
      <c r="N195" s="4" t="str">
        <f t="shared" si="50"/>
        <v>Ccs2</v>
      </c>
      <c r="O195" s="4" t="str">
        <f t="shared" si="51"/>
        <v>Active</v>
      </c>
      <c r="P195" s="4" t="str">
        <f t="shared" si="52"/>
        <v>Active</v>
      </c>
      <c r="Q195" s="4" t="str">
        <f t="shared" si="53"/>
        <v>Hyderabad</v>
      </c>
      <c r="R195" s="4" t="b">
        <f t="shared" si="54"/>
        <v>1</v>
      </c>
      <c r="S195" s="5" t="str">
        <f t="shared" si="55"/>
        <v>45561</v>
      </c>
      <c r="T195" s="4" t="str">
        <f t="shared" si="56"/>
        <v>Private</v>
      </c>
      <c r="U195" s="4" t="str">
        <f t="shared" si="57"/>
        <v>Ultra Fast</v>
      </c>
      <c r="V195" s="4">
        <f t="shared" si="58"/>
        <v>2024</v>
      </c>
      <c r="W195" s="4" t="str">
        <f t="shared" si="59"/>
        <v>Europe</v>
      </c>
    </row>
    <row r="196" spans="1:23" x14ac:dyDescent="0.25">
      <c r="A196" t="s">
        <v>336</v>
      </c>
      <c r="B196" t="s">
        <v>70</v>
      </c>
      <c r="C196" t="s">
        <v>63</v>
      </c>
      <c r="D196" t="s">
        <v>56</v>
      </c>
      <c r="E196" t="s">
        <v>24</v>
      </c>
      <c r="F196" s="1">
        <v>45804</v>
      </c>
      <c r="G196">
        <v>6114.64</v>
      </c>
      <c r="H196">
        <v>76949.399999999994</v>
      </c>
      <c r="I196" t="str">
        <f t="shared" si="45"/>
        <v>Delhi</v>
      </c>
      <c r="J196" t="str">
        <f t="shared" si="46"/>
        <v>Delhi</v>
      </c>
      <c r="K196" t="str">
        <f t="shared" si="47"/>
        <v>Tata Power</v>
      </c>
      <c r="L196" s="4" t="str">
        <f t="shared" si="48"/>
        <v>Tata Power</v>
      </c>
      <c r="M196" s="4" t="str">
        <f t="shared" si="49"/>
        <v>Ccs2</v>
      </c>
      <c r="N196" s="4" t="str">
        <f t="shared" si="50"/>
        <v>Ccs2</v>
      </c>
      <c r="O196" s="4" t="str">
        <f t="shared" si="51"/>
        <v>Active</v>
      </c>
      <c r="P196" s="4" t="str">
        <f t="shared" si="52"/>
        <v>Active</v>
      </c>
      <c r="Q196" s="4" t="str">
        <f t="shared" si="53"/>
        <v>Delhi</v>
      </c>
      <c r="R196" s="4" t="b">
        <f t="shared" si="54"/>
        <v>1</v>
      </c>
      <c r="S196" s="5" t="str">
        <f t="shared" si="55"/>
        <v>45804</v>
      </c>
      <c r="T196" s="4" t="str">
        <f t="shared" si="56"/>
        <v>Government</v>
      </c>
      <c r="U196" s="4" t="str">
        <f t="shared" si="57"/>
        <v>Ultra Fast</v>
      </c>
      <c r="V196" s="4">
        <f t="shared" si="58"/>
        <v>2025</v>
      </c>
      <c r="W196" s="4" t="str">
        <f t="shared" si="59"/>
        <v>Europe</v>
      </c>
    </row>
    <row r="197" spans="1:23" x14ac:dyDescent="0.25">
      <c r="A197" t="s">
        <v>338</v>
      </c>
      <c r="B197" t="s">
        <v>70</v>
      </c>
      <c r="C197" t="s">
        <v>14</v>
      </c>
      <c r="D197" t="s">
        <v>17</v>
      </c>
      <c r="E197" t="s">
        <v>24</v>
      </c>
      <c r="F197" s="1">
        <v>46072</v>
      </c>
      <c r="G197">
        <v>3638.76</v>
      </c>
      <c r="H197">
        <v>50345.34</v>
      </c>
      <c r="I197" t="str">
        <f t="shared" si="45"/>
        <v>Delhi</v>
      </c>
      <c r="J197" t="str">
        <f t="shared" si="46"/>
        <v>Delhi</v>
      </c>
      <c r="K197" t="str">
        <f t="shared" si="47"/>
        <v>Charge Point</v>
      </c>
      <c r="L197" s="4" t="str">
        <f t="shared" si="48"/>
        <v>Charge Point</v>
      </c>
      <c r="M197" s="4" t="str">
        <f t="shared" si="49"/>
        <v>Type2 Ac</v>
      </c>
      <c r="N197" s="4" t="str">
        <f t="shared" si="50"/>
        <v>Type2 Ac</v>
      </c>
      <c r="O197" s="4" t="str">
        <f t="shared" si="51"/>
        <v>Active</v>
      </c>
      <c r="P197" s="4" t="str">
        <f t="shared" si="52"/>
        <v>Active</v>
      </c>
      <c r="Q197" s="4" t="str">
        <f t="shared" si="53"/>
        <v>Delhi</v>
      </c>
      <c r="R197" s="4" t="b">
        <f t="shared" si="54"/>
        <v>1</v>
      </c>
      <c r="S197" s="5" t="str">
        <f t="shared" si="55"/>
        <v>46072</v>
      </c>
      <c r="T197" s="4" t="str">
        <f t="shared" si="56"/>
        <v>Private</v>
      </c>
      <c r="U197" s="4" t="str">
        <f t="shared" si="57"/>
        <v>Slow</v>
      </c>
      <c r="V197" s="4">
        <f t="shared" si="58"/>
        <v>2026</v>
      </c>
      <c r="W197" s="4" t="str">
        <f t="shared" si="59"/>
        <v>Germany</v>
      </c>
    </row>
    <row r="198" spans="1:23" x14ac:dyDescent="0.25">
      <c r="A198" t="s">
        <v>340</v>
      </c>
      <c r="B198" t="s">
        <v>779</v>
      </c>
      <c r="C198" t="s">
        <v>41</v>
      </c>
      <c r="D198" t="s">
        <v>56</v>
      </c>
      <c r="E198" t="s">
        <v>24</v>
      </c>
      <c r="F198" s="1">
        <v>45474</v>
      </c>
      <c r="G198">
        <v>6084.88</v>
      </c>
      <c r="H198">
        <v>74902.23</v>
      </c>
      <c r="I198" t="str">
        <f t="shared" si="45"/>
        <v>Hyderabad</v>
      </c>
      <c r="J198" t="str">
        <f t="shared" si="46"/>
        <v>Hyderabad</v>
      </c>
      <c r="K198" t="str">
        <f t="shared" si="47"/>
        <v>Ather Grid</v>
      </c>
      <c r="L198" s="4" t="str">
        <f t="shared" si="48"/>
        <v>Ather Grid</v>
      </c>
      <c r="M198" s="4" t="str">
        <f t="shared" si="49"/>
        <v>Ccs2</v>
      </c>
      <c r="N198" s="4" t="str">
        <f t="shared" si="50"/>
        <v>Ccs2</v>
      </c>
      <c r="O198" s="4" t="str">
        <f t="shared" si="51"/>
        <v>Active</v>
      </c>
      <c r="P198" s="4" t="str">
        <f t="shared" si="52"/>
        <v>Active</v>
      </c>
      <c r="Q198" s="4" t="str">
        <f t="shared" si="53"/>
        <v>Hyderabad</v>
      </c>
      <c r="R198" s="4" t="b">
        <f t="shared" si="54"/>
        <v>1</v>
      </c>
      <c r="S198" s="5" t="str">
        <f t="shared" si="55"/>
        <v>45474</v>
      </c>
      <c r="T198" s="4" t="str">
        <f t="shared" si="56"/>
        <v>Private</v>
      </c>
      <c r="U198" s="4" t="str">
        <f t="shared" si="57"/>
        <v>Ultra Fast</v>
      </c>
      <c r="V198" s="4">
        <f t="shared" si="58"/>
        <v>2024</v>
      </c>
      <c r="W198" s="4" t="str">
        <f t="shared" si="59"/>
        <v>Europe</v>
      </c>
    </row>
    <row r="199" spans="1:23" x14ac:dyDescent="0.25">
      <c r="A199" t="s">
        <v>341</v>
      </c>
      <c r="B199" t="s">
        <v>46</v>
      </c>
      <c r="C199" t="s">
        <v>764</v>
      </c>
      <c r="D199" t="s">
        <v>26</v>
      </c>
      <c r="E199" t="s">
        <v>769</v>
      </c>
      <c r="F199" s="1">
        <v>45811</v>
      </c>
      <c r="G199">
        <v>4971.8599999999997</v>
      </c>
      <c r="H199">
        <v>72456.759999999995</v>
      </c>
      <c r="I199" t="str">
        <f t="shared" si="45"/>
        <v>Kolkata</v>
      </c>
      <c r="J199" t="str">
        <f t="shared" si="46"/>
        <v>Kolkata</v>
      </c>
      <c r="K199" t="str">
        <f t="shared" si="47"/>
        <v>Bpcl</v>
      </c>
      <c r="L199" s="4" t="str">
        <f t="shared" si="48"/>
        <v>Bpcl</v>
      </c>
      <c r="M199" s="4" t="str">
        <f t="shared" si="49"/>
        <v>Chademo</v>
      </c>
      <c r="N199" s="4" t="str">
        <f t="shared" si="50"/>
        <v>Chademo</v>
      </c>
      <c r="O199" s="4" t="str">
        <f t="shared" si="51"/>
        <v>Active</v>
      </c>
      <c r="P199" s="4" t="str">
        <f t="shared" si="52"/>
        <v>Active</v>
      </c>
      <c r="Q199" s="4" t="str">
        <f t="shared" si="53"/>
        <v>Kolkata</v>
      </c>
      <c r="R199" s="4" t="b">
        <f t="shared" si="54"/>
        <v>1</v>
      </c>
      <c r="S199" s="5" t="str">
        <f t="shared" si="55"/>
        <v>45811</v>
      </c>
      <c r="T199" s="4" t="str">
        <f t="shared" si="56"/>
        <v>Government</v>
      </c>
      <c r="U199" s="4" t="str">
        <f t="shared" si="57"/>
        <v>fast</v>
      </c>
      <c r="V199" s="4">
        <f t="shared" si="58"/>
        <v>2025</v>
      </c>
      <c r="W199" s="4" t="str">
        <f t="shared" si="59"/>
        <v>Japan</v>
      </c>
    </row>
    <row r="200" spans="1:23" x14ac:dyDescent="0.25">
      <c r="A200" t="s">
        <v>342</v>
      </c>
      <c r="B200" t="s">
        <v>46</v>
      </c>
      <c r="D200" t="s">
        <v>48</v>
      </c>
      <c r="E200" t="s">
        <v>769</v>
      </c>
      <c r="F200" s="1">
        <v>45400</v>
      </c>
      <c r="H200">
        <v>81577.919999999998</v>
      </c>
      <c r="I200" t="str">
        <f t="shared" si="45"/>
        <v>Kolkata</v>
      </c>
      <c r="J200" t="str">
        <f t="shared" si="46"/>
        <v>Kolkata</v>
      </c>
      <c r="K200" t="str">
        <f t="shared" si="47"/>
        <v/>
      </c>
      <c r="L200" s="4" t="str">
        <f t="shared" si="48"/>
        <v/>
      </c>
      <c r="M200" s="4" t="str">
        <f t="shared" si="49"/>
        <v>Bharat Dc-001</v>
      </c>
      <c r="N200" s="4" t="str">
        <f t="shared" si="50"/>
        <v>Bharat Dc-001</v>
      </c>
      <c r="O200" s="4" t="str">
        <f t="shared" si="51"/>
        <v>Active</v>
      </c>
      <c r="P200" s="4" t="str">
        <f t="shared" si="52"/>
        <v>Active</v>
      </c>
      <c r="Q200" s="4" t="str">
        <f t="shared" si="53"/>
        <v>Kolkata</v>
      </c>
      <c r="R200" s="4" t="b">
        <f t="shared" si="54"/>
        <v>1</v>
      </c>
      <c r="S200" s="5" t="str">
        <f t="shared" si="55"/>
        <v>45400</v>
      </c>
      <c r="T200" s="4" t="str">
        <f t="shared" si="56"/>
        <v>Private</v>
      </c>
      <c r="U200" s="4" t="str">
        <f t="shared" si="57"/>
        <v>fast</v>
      </c>
      <c r="V200" s="4">
        <f t="shared" si="58"/>
        <v>2024</v>
      </c>
      <c r="W200" s="4" t="str">
        <f t="shared" si="59"/>
        <v>India</v>
      </c>
    </row>
    <row r="201" spans="1:23" x14ac:dyDescent="0.25">
      <c r="A201" t="s">
        <v>344</v>
      </c>
      <c r="B201" t="s">
        <v>66</v>
      </c>
      <c r="C201" t="s">
        <v>14</v>
      </c>
      <c r="D201" t="s">
        <v>26</v>
      </c>
      <c r="E201" t="s">
        <v>54</v>
      </c>
      <c r="F201" s="1">
        <v>45932</v>
      </c>
      <c r="G201">
        <v>399.07</v>
      </c>
      <c r="H201">
        <v>5120.8500000000004</v>
      </c>
      <c r="I201" t="str">
        <f t="shared" si="45"/>
        <v>Pune</v>
      </c>
      <c r="J201" t="str">
        <f t="shared" si="46"/>
        <v>Pune</v>
      </c>
      <c r="K201" t="str">
        <f t="shared" si="47"/>
        <v>Charge Point</v>
      </c>
      <c r="L201" s="4" t="str">
        <f t="shared" si="48"/>
        <v>Charge Point</v>
      </c>
      <c r="M201" s="4" t="str">
        <f t="shared" si="49"/>
        <v>Chademo</v>
      </c>
      <c r="N201" s="4" t="str">
        <f t="shared" si="50"/>
        <v>Chademo</v>
      </c>
      <c r="O201" s="4" t="str">
        <f t="shared" si="51"/>
        <v>Inactive</v>
      </c>
      <c r="P201" s="4" t="str">
        <f t="shared" si="52"/>
        <v>Inactive</v>
      </c>
      <c r="Q201" s="4" t="str">
        <f t="shared" si="53"/>
        <v>Pune</v>
      </c>
      <c r="R201" s="4" t="b">
        <f t="shared" si="54"/>
        <v>1</v>
      </c>
      <c r="S201" s="5" t="str">
        <f t="shared" si="55"/>
        <v>45932</v>
      </c>
      <c r="T201" s="4" t="str">
        <f t="shared" si="56"/>
        <v>Private</v>
      </c>
      <c r="U201" s="4" t="str">
        <f t="shared" si="57"/>
        <v>fast</v>
      </c>
      <c r="V201" s="4">
        <f t="shared" si="58"/>
        <v>2025</v>
      </c>
      <c r="W201" s="4" t="str">
        <f t="shared" si="59"/>
        <v>Japan</v>
      </c>
    </row>
    <row r="202" spans="1:23" x14ac:dyDescent="0.25">
      <c r="A202" t="s">
        <v>345</v>
      </c>
      <c r="B202" t="s">
        <v>30</v>
      </c>
      <c r="C202" t="s">
        <v>36</v>
      </c>
      <c r="D202" t="s">
        <v>48</v>
      </c>
      <c r="E202" t="s">
        <v>54</v>
      </c>
      <c r="F202" s="1">
        <v>45597</v>
      </c>
      <c r="G202">
        <v>362.09</v>
      </c>
      <c r="H202">
        <v>3447.42</v>
      </c>
      <c r="I202" t="str">
        <f t="shared" si="45"/>
        <v>Hyderabad</v>
      </c>
      <c r="J202" t="str">
        <f t="shared" si="46"/>
        <v>Hyderabad</v>
      </c>
      <c r="K202" t="str">
        <f t="shared" si="47"/>
        <v>Zeon Charging</v>
      </c>
      <c r="L202" s="4" t="str">
        <f t="shared" si="48"/>
        <v>Zeon Charging</v>
      </c>
      <c r="M202" s="4" t="str">
        <f t="shared" si="49"/>
        <v>Bharat Dc-001</v>
      </c>
      <c r="N202" s="4" t="str">
        <f t="shared" si="50"/>
        <v>Bharat Dc-001</v>
      </c>
      <c r="O202" s="4" t="str">
        <f t="shared" si="51"/>
        <v>Inactive</v>
      </c>
      <c r="P202" s="4" t="str">
        <f t="shared" si="52"/>
        <v>Inactive</v>
      </c>
      <c r="Q202" s="4" t="str">
        <f t="shared" si="53"/>
        <v>Hyderabad</v>
      </c>
      <c r="R202" s="4" t="b">
        <f t="shared" si="54"/>
        <v>1</v>
      </c>
      <c r="S202" s="5" t="str">
        <f t="shared" si="55"/>
        <v>45597</v>
      </c>
      <c r="T202" s="4" t="str">
        <f t="shared" si="56"/>
        <v>Private</v>
      </c>
      <c r="U202" s="4" t="str">
        <f t="shared" si="57"/>
        <v>fast</v>
      </c>
      <c r="V202" s="4">
        <f t="shared" si="58"/>
        <v>2024</v>
      </c>
      <c r="W202" s="4" t="str">
        <f t="shared" si="59"/>
        <v>India</v>
      </c>
    </row>
    <row r="203" spans="1:23" x14ac:dyDescent="0.25">
      <c r="A203" t="s">
        <v>346</v>
      </c>
      <c r="B203" t="s">
        <v>40</v>
      </c>
      <c r="C203" t="s">
        <v>773</v>
      </c>
      <c r="D203" t="s">
        <v>56</v>
      </c>
      <c r="E203" t="s">
        <v>15</v>
      </c>
      <c r="F203" s="1">
        <v>46153</v>
      </c>
      <c r="G203">
        <v>168.1</v>
      </c>
      <c r="H203">
        <v>1868.07</v>
      </c>
      <c r="I203" t="str">
        <f t="shared" si="45"/>
        <v>Mumbai</v>
      </c>
      <c r="J203" t="str">
        <f t="shared" si="46"/>
        <v>Mumbai</v>
      </c>
      <c r="K203" t="str">
        <f t="shared" si="47"/>
        <v>Ather Grid</v>
      </c>
      <c r="L203" s="4" t="str">
        <f t="shared" si="48"/>
        <v>Ather Grid</v>
      </c>
      <c r="M203" s="4" t="str">
        <f t="shared" si="49"/>
        <v>Ccs2</v>
      </c>
      <c r="N203" s="4" t="str">
        <f t="shared" si="50"/>
        <v>Ccs2</v>
      </c>
      <c r="O203" s="4" t="str">
        <f t="shared" si="51"/>
        <v>Decommissioned</v>
      </c>
      <c r="P203" s="4" t="str">
        <f t="shared" si="52"/>
        <v>Decommissioned</v>
      </c>
      <c r="Q203" s="4" t="str">
        <f t="shared" si="53"/>
        <v>Mumbai</v>
      </c>
      <c r="R203" s="4" t="b">
        <f t="shared" si="54"/>
        <v>1</v>
      </c>
      <c r="S203" s="5" t="str">
        <f t="shared" si="55"/>
        <v>46153</v>
      </c>
      <c r="T203" s="4" t="str">
        <f t="shared" si="56"/>
        <v>Private</v>
      </c>
      <c r="U203" s="4" t="str">
        <f t="shared" si="57"/>
        <v>Ultra Fast</v>
      </c>
      <c r="V203" s="4">
        <f t="shared" si="58"/>
        <v>2026</v>
      </c>
      <c r="W203" s="4" t="str">
        <f t="shared" si="59"/>
        <v>Europe</v>
      </c>
    </row>
    <row r="204" spans="1:23" x14ac:dyDescent="0.25">
      <c r="A204" t="s">
        <v>347</v>
      </c>
      <c r="B204" t="s">
        <v>40</v>
      </c>
      <c r="C204" t="s">
        <v>63</v>
      </c>
      <c r="D204" t="s">
        <v>26</v>
      </c>
      <c r="E204" t="s">
        <v>24</v>
      </c>
      <c r="F204" s="1"/>
      <c r="G204">
        <v>11074.73</v>
      </c>
      <c r="H204">
        <v>106902.03</v>
      </c>
      <c r="I204" t="str">
        <f t="shared" si="45"/>
        <v>Mumbai</v>
      </c>
      <c r="J204" t="str">
        <f t="shared" si="46"/>
        <v>Mumbai</v>
      </c>
      <c r="K204" t="str">
        <f t="shared" si="47"/>
        <v>Tata Power</v>
      </c>
      <c r="L204" s="4" t="str">
        <f t="shared" si="48"/>
        <v>Tata Power</v>
      </c>
      <c r="M204" s="4" t="str">
        <f t="shared" si="49"/>
        <v>Chademo</v>
      </c>
      <c r="N204" s="4" t="str">
        <f t="shared" si="50"/>
        <v>Chademo</v>
      </c>
      <c r="O204" s="4" t="str">
        <f t="shared" si="51"/>
        <v>Active</v>
      </c>
      <c r="P204" s="4" t="str">
        <f t="shared" si="52"/>
        <v>Active</v>
      </c>
      <c r="Q204" s="4" t="str">
        <f t="shared" si="53"/>
        <v>Mumbai</v>
      </c>
      <c r="R204" s="4" t="b">
        <f t="shared" si="54"/>
        <v>0</v>
      </c>
      <c r="S204" s="4" t="str">
        <f t="shared" si="55"/>
        <v/>
      </c>
      <c r="T204" s="4" t="str">
        <f t="shared" si="56"/>
        <v>Government</v>
      </c>
      <c r="U204" s="4" t="str">
        <f t="shared" si="57"/>
        <v>fast</v>
      </c>
      <c r="V204" s="4">
        <f t="shared" si="58"/>
        <v>1900</v>
      </c>
      <c r="W204" s="4" t="str">
        <f t="shared" si="59"/>
        <v>Japan</v>
      </c>
    </row>
    <row r="205" spans="1:23" x14ac:dyDescent="0.25">
      <c r="A205" t="s">
        <v>348</v>
      </c>
      <c r="B205" t="s">
        <v>46</v>
      </c>
      <c r="C205" t="s">
        <v>63</v>
      </c>
      <c r="D205" t="s">
        <v>56</v>
      </c>
      <c r="E205" t="s">
        <v>24</v>
      </c>
      <c r="F205" s="1">
        <v>45811</v>
      </c>
      <c r="G205">
        <v>11778.3</v>
      </c>
      <c r="H205">
        <v>124129.17</v>
      </c>
      <c r="I205" t="str">
        <f t="shared" si="45"/>
        <v>Kolkata</v>
      </c>
      <c r="J205" t="str">
        <f t="shared" si="46"/>
        <v>Kolkata</v>
      </c>
      <c r="K205" t="str">
        <f t="shared" si="47"/>
        <v>Tata Power</v>
      </c>
      <c r="L205" s="4" t="str">
        <f t="shared" si="48"/>
        <v>Tata Power</v>
      </c>
      <c r="M205" s="4" t="str">
        <f t="shared" si="49"/>
        <v>Ccs2</v>
      </c>
      <c r="N205" s="4" t="str">
        <f t="shared" si="50"/>
        <v>Ccs2</v>
      </c>
      <c r="O205" s="4" t="str">
        <f t="shared" si="51"/>
        <v>Active</v>
      </c>
      <c r="P205" s="4" t="str">
        <f t="shared" si="52"/>
        <v>Active</v>
      </c>
      <c r="Q205" s="4" t="str">
        <f t="shared" si="53"/>
        <v>Kolkata</v>
      </c>
      <c r="R205" s="4" t="b">
        <f t="shared" si="54"/>
        <v>1</v>
      </c>
      <c r="S205" s="5" t="str">
        <f t="shared" si="55"/>
        <v>45811</v>
      </c>
      <c r="T205" s="4" t="str">
        <f t="shared" si="56"/>
        <v>Government</v>
      </c>
      <c r="U205" s="4" t="str">
        <f t="shared" si="57"/>
        <v>Ultra Fast</v>
      </c>
      <c r="V205" s="4">
        <f t="shared" si="58"/>
        <v>2025</v>
      </c>
      <c r="W205" s="4" t="str">
        <f t="shared" si="59"/>
        <v>Europe</v>
      </c>
    </row>
    <row r="206" spans="1:23" x14ac:dyDescent="0.25">
      <c r="A206" t="s">
        <v>349</v>
      </c>
      <c r="B206" t="s">
        <v>35</v>
      </c>
      <c r="C206" t="s">
        <v>95</v>
      </c>
      <c r="D206" t="s">
        <v>48</v>
      </c>
      <c r="E206" t="s">
        <v>24</v>
      </c>
      <c r="F206" s="1">
        <v>45915</v>
      </c>
      <c r="G206">
        <v>6642.42</v>
      </c>
      <c r="H206">
        <v>98749.5</v>
      </c>
      <c r="I206" t="str">
        <f t="shared" si="45"/>
        <v>Chennai</v>
      </c>
      <c r="J206" t="str">
        <f t="shared" si="46"/>
        <v>Chennai</v>
      </c>
      <c r="K206" t="str">
        <f t="shared" si="47"/>
        <v>Bharat Petroleum</v>
      </c>
      <c r="L206" s="4" t="str">
        <f t="shared" si="48"/>
        <v>Bharat Petroleum</v>
      </c>
      <c r="M206" s="4" t="str">
        <f t="shared" si="49"/>
        <v>Bharat Dc-001</v>
      </c>
      <c r="N206" s="4" t="str">
        <f t="shared" si="50"/>
        <v>Bharat Dc-001</v>
      </c>
      <c r="O206" s="4" t="str">
        <f t="shared" si="51"/>
        <v>Active</v>
      </c>
      <c r="P206" s="4" t="str">
        <f t="shared" si="52"/>
        <v>Active</v>
      </c>
      <c r="Q206" s="4" t="str">
        <f t="shared" si="53"/>
        <v>Chennai</v>
      </c>
      <c r="R206" s="4" t="b">
        <f t="shared" si="54"/>
        <v>1</v>
      </c>
      <c r="S206" s="5" t="str">
        <f t="shared" si="55"/>
        <v>45915</v>
      </c>
      <c r="T206" s="4" t="str">
        <f t="shared" si="56"/>
        <v>Private</v>
      </c>
      <c r="U206" s="4" t="str">
        <f t="shared" si="57"/>
        <v>fast</v>
      </c>
      <c r="V206" s="4">
        <f t="shared" si="58"/>
        <v>2025</v>
      </c>
      <c r="W206" s="4" t="str">
        <f t="shared" si="59"/>
        <v>India</v>
      </c>
    </row>
    <row r="207" spans="1:23" x14ac:dyDescent="0.25">
      <c r="A207" t="s">
        <v>350</v>
      </c>
      <c r="B207" t="s">
        <v>40</v>
      </c>
      <c r="C207" t="s">
        <v>764</v>
      </c>
      <c r="D207" t="s">
        <v>17</v>
      </c>
      <c r="E207" t="s">
        <v>24</v>
      </c>
      <c r="F207" s="1">
        <v>45495</v>
      </c>
      <c r="G207">
        <v>10929.68</v>
      </c>
      <c r="H207">
        <v>115541.41</v>
      </c>
      <c r="I207" t="str">
        <f t="shared" si="45"/>
        <v>Mumbai</v>
      </c>
      <c r="J207" t="str">
        <f t="shared" si="46"/>
        <v>Mumbai</v>
      </c>
      <c r="K207" t="str">
        <f t="shared" si="47"/>
        <v>Bpcl</v>
      </c>
      <c r="L207" s="4" t="str">
        <f t="shared" si="48"/>
        <v>Bpcl</v>
      </c>
      <c r="M207" s="4" t="str">
        <f t="shared" si="49"/>
        <v>Type2 Ac</v>
      </c>
      <c r="N207" s="4" t="str">
        <f t="shared" si="50"/>
        <v>Type2 Ac</v>
      </c>
      <c r="O207" s="4" t="str">
        <f t="shared" si="51"/>
        <v>Active</v>
      </c>
      <c r="P207" s="4" t="str">
        <f t="shared" si="52"/>
        <v>Active</v>
      </c>
      <c r="Q207" s="4" t="str">
        <f t="shared" si="53"/>
        <v>Mumbai</v>
      </c>
      <c r="R207" s="4" t="b">
        <f t="shared" si="54"/>
        <v>1</v>
      </c>
      <c r="S207" s="5" t="str">
        <f t="shared" si="55"/>
        <v>45495</v>
      </c>
      <c r="T207" s="4" t="str">
        <f t="shared" si="56"/>
        <v>Government</v>
      </c>
      <c r="U207" s="4" t="str">
        <f t="shared" si="57"/>
        <v>Slow</v>
      </c>
      <c r="V207" s="4">
        <f t="shared" si="58"/>
        <v>2024</v>
      </c>
      <c r="W207" s="4" t="str">
        <f t="shared" si="59"/>
        <v>Germany</v>
      </c>
    </row>
    <row r="208" spans="1:23" x14ac:dyDescent="0.25">
      <c r="A208" t="s">
        <v>351</v>
      </c>
      <c r="B208" t="s">
        <v>776</v>
      </c>
      <c r="C208" t="s">
        <v>36</v>
      </c>
      <c r="D208" t="s">
        <v>17</v>
      </c>
      <c r="E208" t="s">
        <v>31</v>
      </c>
      <c r="F208" s="1">
        <v>45448</v>
      </c>
      <c r="H208">
        <v>25997.38</v>
      </c>
      <c r="I208" t="str">
        <f t="shared" si="45"/>
        <v>Mumbai</v>
      </c>
      <c r="J208" t="str">
        <f t="shared" si="46"/>
        <v>Mumbai</v>
      </c>
      <c r="K208" t="str">
        <f t="shared" si="47"/>
        <v>Zeon Charging</v>
      </c>
      <c r="L208" s="4" t="str">
        <f t="shared" si="48"/>
        <v>Zeon Charging</v>
      </c>
      <c r="M208" s="4" t="str">
        <f t="shared" si="49"/>
        <v>Type2 Ac</v>
      </c>
      <c r="N208" s="4" t="str">
        <f t="shared" si="50"/>
        <v>Type2 Ac</v>
      </c>
      <c r="O208" s="4" t="str">
        <f t="shared" si="51"/>
        <v>Maintenance</v>
      </c>
      <c r="P208" s="4" t="str">
        <f t="shared" si="52"/>
        <v>Maintenance</v>
      </c>
      <c r="Q208" s="4" t="str">
        <f t="shared" si="53"/>
        <v>Mumbai</v>
      </c>
      <c r="R208" s="4" t="b">
        <f t="shared" si="54"/>
        <v>1</v>
      </c>
      <c r="S208" s="5" t="str">
        <f t="shared" si="55"/>
        <v>45448</v>
      </c>
      <c r="T208" s="4" t="str">
        <f t="shared" si="56"/>
        <v>Private</v>
      </c>
      <c r="U208" s="4" t="str">
        <f t="shared" si="57"/>
        <v>Slow</v>
      </c>
      <c r="V208" s="4">
        <f t="shared" si="58"/>
        <v>2024</v>
      </c>
      <c r="W208" s="4" t="str">
        <f t="shared" si="59"/>
        <v>Germany</v>
      </c>
    </row>
    <row r="209" spans="1:23" x14ac:dyDescent="0.25">
      <c r="A209" t="s">
        <v>352</v>
      </c>
      <c r="B209" t="s">
        <v>30</v>
      </c>
      <c r="C209" t="s">
        <v>765</v>
      </c>
      <c r="D209" t="s">
        <v>26</v>
      </c>
      <c r="E209" t="s">
        <v>24</v>
      </c>
      <c r="F209" s="1">
        <v>45674</v>
      </c>
      <c r="G209">
        <v>8124.5</v>
      </c>
      <c r="H209">
        <v>101668.27</v>
      </c>
      <c r="I209" t="str">
        <f t="shared" si="45"/>
        <v>Hyderabad</v>
      </c>
      <c r="J209" t="str">
        <f t="shared" si="46"/>
        <v>Hyderabad</v>
      </c>
      <c r="K209" t="str">
        <f t="shared" si="47"/>
        <v>Zeon Charging</v>
      </c>
      <c r="L209" s="4" t="str">
        <f t="shared" si="48"/>
        <v>Zeon Charging</v>
      </c>
      <c r="M209" s="4" t="str">
        <f t="shared" si="49"/>
        <v>Chademo</v>
      </c>
      <c r="N209" s="4" t="str">
        <f t="shared" si="50"/>
        <v>Chademo</v>
      </c>
      <c r="O209" s="4" t="str">
        <f t="shared" si="51"/>
        <v>Active</v>
      </c>
      <c r="P209" s="4" t="str">
        <f t="shared" si="52"/>
        <v>Active</v>
      </c>
      <c r="Q209" s="4" t="str">
        <f t="shared" si="53"/>
        <v>Hyderabad</v>
      </c>
      <c r="R209" s="4" t="b">
        <f t="shared" si="54"/>
        <v>1</v>
      </c>
      <c r="S209" s="5" t="str">
        <f t="shared" si="55"/>
        <v>45674</v>
      </c>
      <c r="T209" s="4" t="str">
        <f t="shared" si="56"/>
        <v>Private</v>
      </c>
      <c r="U209" s="4" t="str">
        <f t="shared" si="57"/>
        <v>fast</v>
      </c>
      <c r="V209" s="4">
        <f t="shared" si="58"/>
        <v>2025</v>
      </c>
      <c r="W209" s="4" t="str">
        <f t="shared" si="59"/>
        <v>Japan</v>
      </c>
    </row>
    <row r="210" spans="1:23" x14ac:dyDescent="0.25">
      <c r="A210" t="s">
        <v>354</v>
      </c>
      <c r="B210" t="s">
        <v>40</v>
      </c>
      <c r="C210" t="s">
        <v>14</v>
      </c>
      <c r="D210" t="s">
        <v>56</v>
      </c>
      <c r="E210" t="s">
        <v>54</v>
      </c>
      <c r="F210" s="1">
        <v>46072</v>
      </c>
      <c r="G210">
        <v>41.97</v>
      </c>
      <c r="H210">
        <v>353.55</v>
      </c>
      <c r="I210" t="str">
        <f t="shared" si="45"/>
        <v>Mumbai</v>
      </c>
      <c r="J210" t="str">
        <f t="shared" si="46"/>
        <v>Mumbai</v>
      </c>
      <c r="K210" t="str">
        <f t="shared" si="47"/>
        <v>Charge Point</v>
      </c>
      <c r="L210" s="4" t="str">
        <f t="shared" si="48"/>
        <v>Charge Point</v>
      </c>
      <c r="M210" s="4" t="str">
        <f t="shared" si="49"/>
        <v>Ccs2</v>
      </c>
      <c r="N210" s="4" t="str">
        <f t="shared" si="50"/>
        <v>Ccs2</v>
      </c>
      <c r="O210" s="4" t="str">
        <f t="shared" si="51"/>
        <v>Inactive</v>
      </c>
      <c r="P210" s="4" t="str">
        <f t="shared" si="52"/>
        <v>Inactive</v>
      </c>
      <c r="Q210" s="4" t="str">
        <f t="shared" si="53"/>
        <v>Mumbai</v>
      </c>
      <c r="R210" s="4" t="b">
        <f t="shared" si="54"/>
        <v>1</v>
      </c>
      <c r="S210" s="5" t="str">
        <f t="shared" si="55"/>
        <v>46072</v>
      </c>
      <c r="T210" s="4" t="str">
        <f t="shared" si="56"/>
        <v>Private</v>
      </c>
      <c r="U210" s="4" t="str">
        <f t="shared" si="57"/>
        <v>Ultra Fast</v>
      </c>
      <c r="V210" s="4">
        <f t="shared" si="58"/>
        <v>2026</v>
      </c>
      <c r="W210" s="4" t="str">
        <f t="shared" si="59"/>
        <v>Europe</v>
      </c>
    </row>
    <row r="211" spans="1:23" x14ac:dyDescent="0.25">
      <c r="A211" t="s">
        <v>355</v>
      </c>
      <c r="B211" t="s">
        <v>40</v>
      </c>
      <c r="C211" t="s">
        <v>14</v>
      </c>
      <c r="D211" t="s">
        <v>56</v>
      </c>
      <c r="E211" t="s">
        <v>24</v>
      </c>
      <c r="F211" s="1">
        <v>45457</v>
      </c>
      <c r="G211">
        <v>5429.05</v>
      </c>
      <c r="H211">
        <v>53916.82</v>
      </c>
      <c r="I211" t="str">
        <f t="shared" si="45"/>
        <v>Mumbai</v>
      </c>
      <c r="J211" t="str">
        <f t="shared" si="46"/>
        <v>Mumbai</v>
      </c>
      <c r="K211" t="str">
        <f t="shared" si="47"/>
        <v>Charge Point</v>
      </c>
      <c r="L211" s="4" t="str">
        <f t="shared" si="48"/>
        <v>Charge Point</v>
      </c>
      <c r="M211" s="4" t="str">
        <f t="shared" si="49"/>
        <v>Ccs2</v>
      </c>
      <c r="N211" s="4" t="str">
        <f t="shared" si="50"/>
        <v>Ccs2</v>
      </c>
      <c r="O211" s="4" t="str">
        <f t="shared" si="51"/>
        <v>Active</v>
      </c>
      <c r="P211" s="4" t="str">
        <f t="shared" si="52"/>
        <v>Active</v>
      </c>
      <c r="Q211" s="4" t="str">
        <f t="shared" si="53"/>
        <v>Mumbai</v>
      </c>
      <c r="R211" s="4" t="b">
        <f t="shared" si="54"/>
        <v>1</v>
      </c>
      <c r="S211" s="5" t="str">
        <f t="shared" si="55"/>
        <v>45457</v>
      </c>
      <c r="T211" s="4" t="str">
        <f t="shared" si="56"/>
        <v>Private</v>
      </c>
      <c r="U211" s="4" t="str">
        <f t="shared" si="57"/>
        <v>Ultra Fast</v>
      </c>
      <c r="V211" s="4">
        <f t="shared" si="58"/>
        <v>2024</v>
      </c>
      <c r="W211" s="4" t="str">
        <f t="shared" si="59"/>
        <v>Europe</v>
      </c>
    </row>
    <row r="212" spans="1:23" x14ac:dyDescent="0.25">
      <c r="A212" t="s">
        <v>357</v>
      </c>
      <c r="B212" t="s">
        <v>35</v>
      </c>
      <c r="C212" t="s">
        <v>36</v>
      </c>
      <c r="D212" t="s">
        <v>26</v>
      </c>
      <c r="E212" t="s">
        <v>763</v>
      </c>
      <c r="F212" s="1">
        <v>45844</v>
      </c>
      <c r="G212">
        <v>10468.790000000001</v>
      </c>
      <c r="H212">
        <v>154702</v>
      </c>
      <c r="I212" t="str">
        <f t="shared" si="45"/>
        <v>Chennai</v>
      </c>
      <c r="J212" t="str">
        <f t="shared" si="46"/>
        <v>Chennai</v>
      </c>
      <c r="K212" t="str">
        <f t="shared" si="47"/>
        <v>Zeon Charging</v>
      </c>
      <c r="L212" s="4" t="str">
        <f t="shared" si="48"/>
        <v>Zeon Charging</v>
      </c>
      <c r="M212" s="4" t="str">
        <f t="shared" si="49"/>
        <v>Chademo</v>
      </c>
      <c r="N212" s="4" t="str">
        <f t="shared" si="50"/>
        <v>Chademo</v>
      </c>
      <c r="O212" s="4" t="str">
        <f t="shared" si="51"/>
        <v>Active</v>
      </c>
      <c r="P212" s="4" t="str">
        <f t="shared" si="52"/>
        <v>Active</v>
      </c>
      <c r="Q212" s="4" t="str">
        <f t="shared" si="53"/>
        <v>Chennai</v>
      </c>
      <c r="R212" s="4" t="b">
        <f t="shared" si="54"/>
        <v>1</v>
      </c>
      <c r="S212" s="5" t="str">
        <f t="shared" si="55"/>
        <v>45844</v>
      </c>
      <c r="T212" s="4" t="str">
        <f t="shared" si="56"/>
        <v>Private</v>
      </c>
      <c r="U212" s="4" t="str">
        <f t="shared" si="57"/>
        <v>fast</v>
      </c>
      <c r="V212" s="4">
        <f t="shared" si="58"/>
        <v>2025</v>
      </c>
      <c r="W212" s="4" t="str">
        <f t="shared" si="59"/>
        <v>Japan</v>
      </c>
    </row>
    <row r="213" spans="1:23" x14ac:dyDescent="0.25">
      <c r="A213" t="s">
        <v>358</v>
      </c>
      <c r="B213" t="s">
        <v>30</v>
      </c>
      <c r="C213" t="s">
        <v>36</v>
      </c>
      <c r="D213" t="s">
        <v>17</v>
      </c>
      <c r="E213" t="s">
        <v>24</v>
      </c>
      <c r="F213" s="1">
        <v>46089</v>
      </c>
      <c r="G213">
        <v>2589.88</v>
      </c>
      <c r="H213">
        <v>37923.81</v>
      </c>
      <c r="I213" t="str">
        <f t="shared" si="45"/>
        <v>Hyderabad</v>
      </c>
      <c r="J213" t="str">
        <f t="shared" si="46"/>
        <v>Hyderabad</v>
      </c>
      <c r="K213" t="str">
        <f t="shared" si="47"/>
        <v>Zeon Charging</v>
      </c>
      <c r="L213" s="4" t="str">
        <f t="shared" si="48"/>
        <v>Zeon Charging</v>
      </c>
      <c r="M213" s="4" t="str">
        <f t="shared" si="49"/>
        <v>Type2 Ac</v>
      </c>
      <c r="N213" s="4" t="str">
        <f t="shared" si="50"/>
        <v>Type2 Ac</v>
      </c>
      <c r="O213" s="4" t="str">
        <f t="shared" si="51"/>
        <v>Active</v>
      </c>
      <c r="P213" s="4" t="str">
        <f t="shared" si="52"/>
        <v>Active</v>
      </c>
      <c r="Q213" s="4" t="str">
        <f t="shared" si="53"/>
        <v>Hyderabad</v>
      </c>
      <c r="R213" s="4" t="b">
        <f t="shared" si="54"/>
        <v>1</v>
      </c>
      <c r="S213" s="5" t="str">
        <f t="shared" si="55"/>
        <v>46089</v>
      </c>
      <c r="T213" s="4" t="str">
        <f t="shared" si="56"/>
        <v>Private</v>
      </c>
      <c r="U213" s="4" t="str">
        <f t="shared" si="57"/>
        <v>Slow</v>
      </c>
      <c r="V213" s="4">
        <f t="shared" si="58"/>
        <v>2026</v>
      </c>
      <c r="W213" s="4" t="str">
        <f t="shared" si="59"/>
        <v>Germany</v>
      </c>
    </row>
    <row r="214" spans="1:23" x14ac:dyDescent="0.25">
      <c r="A214" t="s">
        <v>359</v>
      </c>
      <c r="B214" t="s">
        <v>30</v>
      </c>
      <c r="C214" t="s">
        <v>41</v>
      </c>
      <c r="D214" t="s">
        <v>48</v>
      </c>
      <c r="E214" t="s">
        <v>24</v>
      </c>
      <c r="F214" s="1">
        <v>45835</v>
      </c>
      <c r="G214">
        <v>3491.8</v>
      </c>
      <c r="H214">
        <v>48079.77</v>
      </c>
      <c r="I214" t="str">
        <f t="shared" si="45"/>
        <v>Hyderabad</v>
      </c>
      <c r="J214" t="str">
        <f t="shared" si="46"/>
        <v>Hyderabad</v>
      </c>
      <c r="K214" t="str">
        <f t="shared" si="47"/>
        <v>Ather Grid</v>
      </c>
      <c r="L214" s="4" t="str">
        <f t="shared" si="48"/>
        <v>Ather Grid</v>
      </c>
      <c r="M214" s="4" t="str">
        <f t="shared" si="49"/>
        <v>Bharat Dc-001</v>
      </c>
      <c r="N214" s="4" t="str">
        <f t="shared" si="50"/>
        <v>Bharat Dc-001</v>
      </c>
      <c r="O214" s="4" t="str">
        <f t="shared" si="51"/>
        <v>Active</v>
      </c>
      <c r="P214" s="4" t="str">
        <f t="shared" si="52"/>
        <v>Active</v>
      </c>
      <c r="Q214" s="4" t="str">
        <f t="shared" si="53"/>
        <v>Hyderabad</v>
      </c>
      <c r="R214" s="4" t="b">
        <f t="shared" si="54"/>
        <v>1</v>
      </c>
      <c r="S214" s="5" t="str">
        <f t="shared" si="55"/>
        <v>45835</v>
      </c>
      <c r="T214" s="4" t="str">
        <f t="shared" si="56"/>
        <v>Private</v>
      </c>
      <c r="U214" s="4" t="str">
        <f t="shared" si="57"/>
        <v>fast</v>
      </c>
      <c r="V214" s="4">
        <f t="shared" si="58"/>
        <v>2025</v>
      </c>
      <c r="W214" s="4" t="str">
        <f t="shared" si="59"/>
        <v>India</v>
      </c>
    </row>
    <row r="215" spans="1:23" x14ac:dyDescent="0.25">
      <c r="A215" t="s">
        <v>361</v>
      </c>
      <c r="B215" t="s">
        <v>70</v>
      </c>
      <c r="C215" t="s">
        <v>764</v>
      </c>
      <c r="D215" t="s">
        <v>26</v>
      </c>
      <c r="E215" t="s">
        <v>24</v>
      </c>
      <c r="F215" s="1">
        <v>45292</v>
      </c>
      <c r="G215">
        <v>4264.5600000000004</v>
      </c>
      <c r="H215">
        <v>36853.11</v>
      </c>
      <c r="I215" t="str">
        <f t="shared" si="45"/>
        <v>Delhi</v>
      </c>
      <c r="J215" t="str">
        <f t="shared" si="46"/>
        <v>Delhi</v>
      </c>
      <c r="K215" t="str">
        <f t="shared" si="47"/>
        <v>Bpcl</v>
      </c>
      <c r="L215" s="4" t="str">
        <f t="shared" si="48"/>
        <v>Bpcl</v>
      </c>
      <c r="M215" s="4" t="str">
        <f t="shared" si="49"/>
        <v>Chademo</v>
      </c>
      <c r="N215" s="4" t="str">
        <f t="shared" si="50"/>
        <v>Chademo</v>
      </c>
      <c r="O215" s="4" t="str">
        <f t="shared" si="51"/>
        <v>Active</v>
      </c>
      <c r="P215" s="4" t="str">
        <f t="shared" si="52"/>
        <v>Active</v>
      </c>
      <c r="Q215" s="4" t="str">
        <f t="shared" si="53"/>
        <v>Delhi</v>
      </c>
      <c r="R215" s="4" t="b">
        <f t="shared" si="54"/>
        <v>1</v>
      </c>
      <c r="S215" s="5" t="str">
        <f t="shared" si="55"/>
        <v>45292</v>
      </c>
      <c r="T215" s="4" t="str">
        <f t="shared" si="56"/>
        <v>Government</v>
      </c>
      <c r="U215" s="4" t="str">
        <f t="shared" si="57"/>
        <v>fast</v>
      </c>
      <c r="V215" s="4">
        <f t="shared" si="58"/>
        <v>2024</v>
      </c>
      <c r="W215" s="4" t="str">
        <f t="shared" si="59"/>
        <v>Japan</v>
      </c>
    </row>
    <row r="216" spans="1:23" x14ac:dyDescent="0.25">
      <c r="A216" t="s">
        <v>362</v>
      </c>
      <c r="B216" t="s">
        <v>30</v>
      </c>
      <c r="C216" t="s">
        <v>14</v>
      </c>
      <c r="D216" t="s">
        <v>48</v>
      </c>
      <c r="E216" t="s">
        <v>24</v>
      </c>
      <c r="F216" s="1">
        <v>45905</v>
      </c>
      <c r="G216">
        <v>5729.04</v>
      </c>
      <c r="H216">
        <v>54338.46</v>
      </c>
      <c r="I216" t="str">
        <f t="shared" si="45"/>
        <v>Hyderabad</v>
      </c>
      <c r="J216" t="str">
        <f t="shared" si="46"/>
        <v>Hyderabad</v>
      </c>
      <c r="K216" t="str">
        <f t="shared" si="47"/>
        <v>Charge Point</v>
      </c>
      <c r="L216" s="4" t="str">
        <f t="shared" si="48"/>
        <v>Charge Point</v>
      </c>
      <c r="M216" s="4" t="str">
        <f t="shared" si="49"/>
        <v>Bharat Dc-001</v>
      </c>
      <c r="N216" s="4" t="str">
        <f t="shared" si="50"/>
        <v>Bharat Dc-001</v>
      </c>
      <c r="O216" s="4" t="str">
        <f t="shared" si="51"/>
        <v>Active</v>
      </c>
      <c r="P216" s="4" t="str">
        <f t="shared" si="52"/>
        <v>Active</v>
      </c>
      <c r="Q216" s="4" t="str">
        <f t="shared" si="53"/>
        <v>Hyderabad</v>
      </c>
      <c r="R216" s="4" t="b">
        <f t="shared" si="54"/>
        <v>1</v>
      </c>
      <c r="S216" s="5" t="str">
        <f t="shared" si="55"/>
        <v>45905</v>
      </c>
      <c r="T216" s="4" t="str">
        <f t="shared" si="56"/>
        <v>Private</v>
      </c>
      <c r="U216" s="4" t="str">
        <f t="shared" si="57"/>
        <v>fast</v>
      </c>
      <c r="V216" s="4">
        <f t="shared" si="58"/>
        <v>2025</v>
      </c>
      <c r="W216" s="4" t="str">
        <f t="shared" si="59"/>
        <v>India</v>
      </c>
    </row>
    <row r="217" spans="1:23" x14ac:dyDescent="0.25">
      <c r="A217" t="s">
        <v>363</v>
      </c>
      <c r="B217" t="s">
        <v>70</v>
      </c>
      <c r="C217" t="s">
        <v>764</v>
      </c>
      <c r="D217" t="s">
        <v>17</v>
      </c>
      <c r="E217" t="s">
        <v>24</v>
      </c>
      <c r="F217" s="1">
        <v>45623</v>
      </c>
      <c r="G217">
        <v>4381.26</v>
      </c>
      <c r="H217">
        <v>54662.57</v>
      </c>
      <c r="I217" t="str">
        <f t="shared" si="45"/>
        <v>Delhi</v>
      </c>
      <c r="J217" t="str">
        <f t="shared" si="46"/>
        <v>Delhi</v>
      </c>
      <c r="K217" t="str">
        <f t="shared" si="47"/>
        <v>Bpcl</v>
      </c>
      <c r="L217" s="4" t="str">
        <f t="shared" si="48"/>
        <v>Bpcl</v>
      </c>
      <c r="M217" s="4" t="str">
        <f t="shared" si="49"/>
        <v>Type2 Ac</v>
      </c>
      <c r="N217" s="4" t="str">
        <f t="shared" si="50"/>
        <v>Type2 Ac</v>
      </c>
      <c r="O217" s="4" t="str">
        <f t="shared" si="51"/>
        <v>Active</v>
      </c>
      <c r="P217" s="4" t="str">
        <f t="shared" si="52"/>
        <v>Active</v>
      </c>
      <c r="Q217" s="4" t="str">
        <f t="shared" si="53"/>
        <v>Delhi</v>
      </c>
      <c r="R217" s="4" t="b">
        <f t="shared" si="54"/>
        <v>1</v>
      </c>
      <c r="S217" s="5" t="str">
        <f t="shared" si="55"/>
        <v>45623</v>
      </c>
      <c r="T217" s="4" t="str">
        <f t="shared" si="56"/>
        <v>Government</v>
      </c>
      <c r="U217" s="4" t="str">
        <f t="shared" si="57"/>
        <v>Slow</v>
      </c>
      <c r="V217" s="4">
        <f t="shared" si="58"/>
        <v>2024</v>
      </c>
      <c r="W217" s="4" t="str">
        <f t="shared" si="59"/>
        <v>Germany</v>
      </c>
    </row>
    <row r="218" spans="1:23" x14ac:dyDescent="0.25">
      <c r="A218" t="s">
        <v>365</v>
      </c>
      <c r="B218" t="s">
        <v>70</v>
      </c>
      <c r="C218" t="s">
        <v>764</v>
      </c>
      <c r="D218" t="s">
        <v>56</v>
      </c>
      <c r="E218" t="s">
        <v>24</v>
      </c>
      <c r="F218" s="1">
        <v>45792</v>
      </c>
      <c r="G218">
        <v>10615.86</v>
      </c>
      <c r="H218">
        <v>157089.81</v>
      </c>
      <c r="I218" t="str">
        <f t="shared" si="45"/>
        <v>Delhi</v>
      </c>
      <c r="J218" t="str">
        <f t="shared" si="46"/>
        <v>Delhi</v>
      </c>
      <c r="K218" t="str">
        <f t="shared" si="47"/>
        <v>Bpcl</v>
      </c>
      <c r="L218" s="4" t="str">
        <f t="shared" si="48"/>
        <v>Bpcl</v>
      </c>
      <c r="M218" s="4" t="str">
        <f t="shared" si="49"/>
        <v>Ccs2</v>
      </c>
      <c r="N218" s="4" t="str">
        <f t="shared" si="50"/>
        <v>Ccs2</v>
      </c>
      <c r="O218" s="4" t="str">
        <f t="shared" si="51"/>
        <v>Active</v>
      </c>
      <c r="P218" s="4" t="str">
        <f t="shared" si="52"/>
        <v>Active</v>
      </c>
      <c r="Q218" s="4" t="str">
        <f t="shared" si="53"/>
        <v>Delhi</v>
      </c>
      <c r="R218" s="4" t="b">
        <f t="shared" si="54"/>
        <v>1</v>
      </c>
      <c r="S218" s="5" t="str">
        <f t="shared" si="55"/>
        <v>45792</v>
      </c>
      <c r="T218" s="4" t="str">
        <f t="shared" si="56"/>
        <v>Government</v>
      </c>
      <c r="U218" s="4" t="str">
        <f t="shared" si="57"/>
        <v>Ultra Fast</v>
      </c>
      <c r="V218" s="4">
        <f t="shared" si="58"/>
        <v>2025</v>
      </c>
      <c r="W218" s="4" t="str">
        <f t="shared" si="59"/>
        <v>Europe</v>
      </c>
    </row>
    <row r="219" spans="1:23" x14ac:dyDescent="0.25">
      <c r="A219" t="s">
        <v>367</v>
      </c>
      <c r="B219" t="s">
        <v>30</v>
      </c>
      <c r="C219" t="s">
        <v>36</v>
      </c>
      <c r="D219" t="s">
        <v>17</v>
      </c>
      <c r="E219" t="s">
        <v>24</v>
      </c>
      <c r="F219" s="1">
        <v>45311</v>
      </c>
      <c r="G219">
        <v>3699.95</v>
      </c>
      <c r="H219">
        <v>30909.57</v>
      </c>
      <c r="I219" t="str">
        <f t="shared" si="45"/>
        <v>Hyderabad</v>
      </c>
      <c r="J219" t="str">
        <f t="shared" si="46"/>
        <v>Hyderabad</v>
      </c>
      <c r="K219" t="str">
        <f t="shared" si="47"/>
        <v>Zeon Charging</v>
      </c>
      <c r="L219" s="4" t="str">
        <f t="shared" si="48"/>
        <v>Zeon Charging</v>
      </c>
      <c r="M219" s="4" t="str">
        <f t="shared" si="49"/>
        <v>Type2 Ac</v>
      </c>
      <c r="N219" s="4" t="str">
        <f t="shared" si="50"/>
        <v>Type2 Ac</v>
      </c>
      <c r="O219" s="4" t="str">
        <f t="shared" si="51"/>
        <v>Active</v>
      </c>
      <c r="P219" s="4" t="str">
        <f t="shared" si="52"/>
        <v>Active</v>
      </c>
      <c r="Q219" s="4" t="str">
        <f t="shared" si="53"/>
        <v>Hyderabad</v>
      </c>
      <c r="R219" s="4" t="b">
        <f t="shared" si="54"/>
        <v>1</v>
      </c>
      <c r="S219" s="5" t="str">
        <f t="shared" si="55"/>
        <v>45311</v>
      </c>
      <c r="T219" s="4" t="str">
        <f t="shared" si="56"/>
        <v>Private</v>
      </c>
      <c r="U219" s="4" t="str">
        <f t="shared" si="57"/>
        <v>Slow</v>
      </c>
      <c r="V219" s="4">
        <f t="shared" si="58"/>
        <v>2024</v>
      </c>
      <c r="W219" s="4" t="str">
        <f t="shared" si="59"/>
        <v>Germany</v>
      </c>
    </row>
    <row r="220" spans="1:23" x14ac:dyDescent="0.25">
      <c r="A220" t="s">
        <v>369</v>
      </c>
      <c r="B220" t="s">
        <v>30</v>
      </c>
      <c r="C220" t="s">
        <v>41</v>
      </c>
      <c r="D220" t="s">
        <v>26</v>
      </c>
      <c r="E220" t="s">
        <v>24</v>
      </c>
      <c r="F220" s="1">
        <v>45406</v>
      </c>
      <c r="G220">
        <v>11438.85</v>
      </c>
      <c r="H220">
        <v>118215.53</v>
      </c>
      <c r="I220" t="str">
        <f t="shared" si="45"/>
        <v>Hyderabad</v>
      </c>
      <c r="J220" t="str">
        <f t="shared" si="46"/>
        <v>Hyderabad</v>
      </c>
      <c r="K220" t="str">
        <f t="shared" si="47"/>
        <v>Ather Grid</v>
      </c>
      <c r="L220" s="4" t="str">
        <f t="shared" si="48"/>
        <v>Ather Grid</v>
      </c>
      <c r="M220" s="4" t="str">
        <f t="shared" si="49"/>
        <v>Chademo</v>
      </c>
      <c r="N220" s="4" t="str">
        <f t="shared" si="50"/>
        <v>Chademo</v>
      </c>
      <c r="O220" s="4" t="str">
        <f t="shared" si="51"/>
        <v>Active</v>
      </c>
      <c r="P220" s="4" t="str">
        <f t="shared" si="52"/>
        <v>Active</v>
      </c>
      <c r="Q220" s="4" t="str">
        <f t="shared" si="53"/>
        <v>Hyderabad</v>
      </c>
      <c r="R220" s="4" t="b">
        <f t="shared" si="54"/>
        <v>1</v>
      </c>
      <c r="S220" s="5" t="str">
        <f t="shared" si="55"/>
        <v>45406</v>
      </c>
      <c r="T220" s="4" t="str">
        <f t="shared" si="56"/>
        <v>Private</v>
      </c>
      <c r="U220" s="4" t="str">
        <f t="shared" si="57"/>
        <v>fast</v>
      </c>
      <c r="V220" s="4">
        <f t="shared" si="58"/>
        <v>2024</v>
      </c>
      <c r="W220" s="4" t="str">
        <f t="shared" si="59"/>
        <v>Japan</v>
      </c>
    </row>
    <row r="221" spans="1:23" x14ac:dyDescent="0.25">
      <c r="A221" t="s">
        <v>370</v>
      </c>
      <c r="B221" t="s">
        <v>66</v>
      </c>
      <c r="C221" t="s">
        <v>63</v>
      </c>
      <c r="D221" t="s">
        <v>56</v>
      </c>
      <c r="E221" t="s">
        <v>24</v>
      </c>
      <c r="F221" s="1">
        <v>45663</v>
      </c>
      <c r="G221">
        <v>5348</v>
      </c>
      <c r="H221">
        <v>79801.5</v>
      </c>
      <c r="I221" t="str">
        <f t="shared" si="45"/>
        <v>Pune</v>
      </c>
      <c r="J221" t="str">
        <f t="shared" si="46"/>
        <v>Pune</v>
      </c>
      <c r="K221" t="str">
        <f t="shared" si="47"/>
        <v>Tata Power</v>
      </c>
      <c r="L221" s="4" t="str">
        <f t="shared" si="48"/>
        <v>Tata Power</v>
      </c>
      <c r="M221" s="4" t="str">
        <f t="shared" si="49"/>
        <v>Ccs2</v>
      </c>
      <c r="N221" s="4" t="str">
        <f t="shared" si="50"/>
        <v>Ccs2</v>
      </c>
      <c r="O221" s="4" t="str">
        <f t="shared" si="51"/>
        <v>Active</v>
      </c>
      <c r="P221" s="4" t="str">
        <f t="shared" si="52"/>
        <v>Active</v>
      </c>
      <c r="Q221" s="4" t="str">
        <f t="shared" si="53"/>
        <v>Pune</v>
      </c>
      <c r="R221" s="4" t="b">
        <f t="shared" si="54"/>
        <v>1</v>
      </c>
      <c r="S221" s="5" t="str">
        <f t="shared" si="55"/>
        <v>45663</v>
      </c>
      <c r="T221" s="4" t="str">
        <f t="shared" si="56"/>
        <v>Government</v>
      </c>
      <c r="U221" s="4" t="str">
        <f t="shared" si="57"/>
        <v>Ultra Fast</v>
      </c>
      <c r="V221" s="4">
        <f t="shared" si="58"/>
        <v>2025</v>
      </c>
      <c r="W221" s="4" t="str">
        <f t="shared" si="59"/>
        <v>Europe</v>
      </c>
    </row>
    <row r="222" spans="1:23" x14ac:dyDescent="0.25">
      <c r="A222" t="s">
        <v>371</v>
      </c>
      <c r="B222" t="s">
        <v>30</v>
      </c>
      <c r="C222" t="s">
        <v>41</v>
      </c>
      <c r="D222" t="s">
        <v>26</v>
      </c>
      <c r="E222" t="s">
        <v>24</v>
      </c>
      <c r="F222" s="1">
        <v>46143</v>
      </c>
      <c r="G222">
        <v>10101.48</v>
      </c>
      <c r="H222">
        <v>136459.34</v>
      </c>
      <c r="I222" t="str">
        <f t="shared" si="45"/>
        <v>Hyderabad</v>
      </c>
      <c r="J222" t="str">
        <f t="shared" si="46"/>
        <v>Hyderabad</v>
      </c>
      <c r="K222" t="str">
        <f t="shared" si="47"/>
        <v>Ather Grid</v>
      </c>
      <c r="L222" s="4" t="str">
        <f t="shared" si="48"/>
        <v>Ather Grid</v>
      </c>
      <c r="M222" s="4" t="str">
        <f t="shared" si="49"/>
        <v>Chademo</v>
      </c>
      <c r="N222" s="4" t="str">
        <f t="shared" si="50"/>
        <v>Chademo</v>
      </c>
      <c r="O222" s="4" t="str">
        <f t="shared" si="51"/>
        <v>Active</v>
      </c>
      <c r="P222" s="4" t="str">
        <f t="shared" si="52"/>
        <v>Active</v>
      </c>
      <c r="Q222" s="4" t="str">
        <f t="shared" si="53"/>
        <v>Hyderabad</v>
      </c>
      <c r="R222" s="4" t="b">
        <f t="shared" si="54"/>
        <v>1</v>
      </c>
      <c r="S222" s="5" t="str">
        <f t="shared" si="55"/>
        <v>46143</v>
      </c>
      <c r="T222" s="4" t="str">
        <f t="shared" si="56"/>
        <v>Private</v>
      </c>
      <c r="U222" s="4" t="str">
        <f t="shared" si="57"/>
        <v>fast</v>
      </c>
      <c r="V222" s="4">
        <f t="shared" si="58"/>
        <v>2026</v>
      </c>
      <c r="W222" s="4" t="str">
        <f t="shared" si="59"/>
        <v>Japan</v>
      </c>
    </row>
    <row r="223" spans="1:23" x14ac:dyDescent="0.25">
      <c r="A223" t="s">
        <v>372</v>
      </c>
      <c r="B223" t="s">
        <v>35</v>
      </c>
      <c r="C223" t="s">
        <v>41</v>
      </c>
      <c r="D223" t="s">
        <v>26</v>
      </c>
      <c r="E223" t="s">
        <v>54</v>
      </c>
      <c r="F223" s="1">
        <v>46118</v>
      </c>
      <c r="G223">
        <v>235.15</v>
      </c>
      <c r="I223" t="str">
        <f t="shared" si="45"/>
        <v>Chennai</v>
      </c>
      <c r="J223" t="str">
        <f t="shared" si="46"/>
        <v>Chennai</v>
      </c>
      <c r="K223" t="str">
        <f t="shared" si="47"/>
        <v>Ather Grid</v>
      </c>
      <c r="L223" s="4" t="str">
        <f t="shared" si="48"/>
        <v>Ather Grid</v>
      </c>
      <c r="M223" s="4" t="str">
        <f t="shared" si="49"/>
        <v>Chademo</v>
      </c>
      <c r="N223" s="4" t="str">
        <f t="shared" si="50"/>
        <v>Chademo</v>
      </c>
      <c r="O223" s="4" t="str">
        <f t="shared" si="51"/>
        <v>Inactive</v>
      </c>
      <c r="P223" s="4" t="str">
        <f t="shared" si="52"/>
        <v>Inactive</v>
      </c>
      <c r="Q223" s="4" t="str">
        <f t="shared" si="53"/>
        <v>Chennai</v>
      </c>
      <c r="R223" s="4" t="b">
        <f t="shared" si="54"/>
        <v>1</v>
      </c>
      <c r="S223" s="5" t="str">
        <f t="shared" si="55"/>
        <v>46118</v>
      </c>
      <c r="T223" s="4" t="str">
        <f t="shared" si="56"/>
        <v>Private</v>
      </c>
      <c r="U223" s="4" t="str">
        <f t="shared" si="57"/>
        <v>fast</v>
      </c>
      <c r="V223" s="4">
        <f t="shared" si="58"/>
        <v>2026</v>
      </c>
      <c r="W223" s="4" t="str">
        <f t="shared" si="59"/>
        <v>Japan</v>
      </c>
    </row>
    <row r="224" spans="1:23" x14ac:dyDescent="0.25">
      <c r="A224" t="s">
        <v>373</v>
      </c>
      <c r="B224" t="s">
        <v>40</v>
      </c>
      <c r="C224" t="s">
        <v>764</v>
      </c>
      <c r="D224" t="s">
        <v>17</v>
      </c>
      <c r="E224" t="s">
        <v>24</v>
      </c>
      <c r="F224" s="1">
        <v>45606</v>
      </c>
      <c r="G224">
        <v>9113.7800000000007</v>
      </c>
      <c r="H224">
        <v>125849.68</v>
      </c>
      <c r="I224" t="str">
        <f t="shared" si="45"/>
        <v>Mumbai</v>
      </c>
      <c r="J224" t="str">
        <f t="shared" si="46"/>
        <v>Mumbai</v>
      </c>
      <c r="K224" t="str">
        <f t="shared" si="47"/>
        <v>Bpcl</v>
      </c>
      <c r="L224" s="4" t="str">
        <f t="shared" si="48"/>
        <v>Bpcl</v>
      </c>
      <c r="M224" s="4" t="str">
        <f t="shared" si="49"/>
        <v>Type2 Ac</v>
      </c>
      <c r="N224" s="4" t="str">
        <f t="shared" si="50"/>
        <v>Type2 Ac</v>
      </c>
      <c r="O224" s="4" t="str">
        <f t="shared" si="51"/>
        <v>Active</v>
      </c>
      <c r="P224" s="4" t="str">
        <f t="shared" si="52"/>
        <v>Active</v>
      </c>
      <c r="Q224" s="4" t="str">
        <f t="shared" si="53"/>
        <v>Mumbai</v>
      </c>
      <c r="R224" s="4" t="b">
        <f t="shared" si="54"/>
        <v>1</v>
      </c>
      <c r="S224" s="5" t="str">
        <f t="shared" si="55"/>
        <v>45606</v>
      </c>
      <c r="T224" s="4" t="str">
        <f t="shared" si="56"/>
        <v>Government</v>
      </c>
      <c r="U224" s="4" t="str">
        <f t="shared" si="57"/>
        <v>Slow</v>
      </c>
      <c r="V224" s="4">
        <f t="shared" si="58"/>
        <v>2024</v>
      </c>
      <c r="W224" s="4" t="str">
        <f t="shared" si="59"/>
        <v>Germany</v>
      </c>
    </row>
    <row r="225" spans="1:23" x14ac:dyDescent="0.25">
      <c r="A225" t="s">
        <v>374</v>
      </c>
      <c r="B225" t="s">
        <v>13</v>
      </c>
      <c r="C225" t="s">
        <v>41</v>
      </c>
      <c r="D225" t="s">
        <v>26</v>
      </c>
      <c r="E225" t="s">
        <v>54</v>
      </c>
      <c r="F225" s="1">
        <v>45537</v>
      </c>
      <c r="G225">
        <v>26.04</v>
      </c>
      <c r="H225">
        <v>309.33999999999997</v>
      </c>
      <c r="I225" t="str">
        <f t="shared" si="45"/>
        <v>Bengaluru</v>
      </c>
      <c r="J225" t="str">
        <f t="shared" si="46"/>
        <v>Bengaluru</v>
      </c>
      <c r="K225" t="str">
        <f t="shared" si="47"/>
        <v>Ather Grid</v>
      </c>
      <c r="L225" s="4" t="str">
        <f t="shared" si="48"/>
        <v>Ather Grid</v>
      </c>
      <c r="M225" s="4" t="str">
        <f t="shared" si="49"/>
        <v>Chademo</v>
      </c>
      <c r="N225" s="4" t="str">
        <f t="shared" si="50"/>
        <v>Chademo</v>
      </c>
      <c r="O225" s="4" t="str">
        <f t="shared" si="51"/>
        <v>Inactive</v>
      </c>
      <c r="P225" s="4" t="str">
        <f t="shared" si="52"/>
        <v>Inactive</v>
      </c>
      <c r="Q225" s="4" t="str">
        <f t="shared" si="53"/>
        <v>Bengaluru</v>
      </c>
      <c r="R225" s="4" t="b">
        <f t="shared" si="54"/>
        <v>1</v>
      </c>
      <c r="S225" s="5" t="str">
        <f t="shared" si="55"/>
        <v>45537</v>
      </c>
      <c r="T225" s="4" t="str">
        <f t="shared" si="56"/>
        <v>Private</v>
      </c>
      <c r="U225" s="4" t="str">
        <f t="shared" si="57"/>
        <v>fast</v>
      </c>
      <c r="V225" s="4">
        <f t="shared" si="58"/>
        <v>2024</v>
      </c>
      <c r="W225" s="4" t="str">
        <f t="shared" si="59"/>
        <v>Japan</v>
      </c>
    </row>
    <row r="226" spans="1:23" x14ac:dyDescent="0.25">
      <c r="A226" t="s">
        <v>375</v>
      </c>
      <c r="B226" t="s">
        <v>70</v>
      </c>
      <c r="C226" t="s">
        <v>14</v>
      </c>
      <c r="D226" t="s">
        <v>17</v>
      </c>
      <c r="E226" t="s">
        <v>24</v>
      </c>
      <c r="F226" s="1">
        <v>45351</v>
      </c>
      <c r="G226">
        <v>11447.08</v>
      </c>
      <c r="H226">
        <v>138563.26</v>
      </c>
      <c r="I226" t="str">
        <f t="shared" si="45"/>
        <v>Delhi</v>
      </c>
      <c r="J226" t="str">
        <f t="shared" si="46"/>
        <v>Delhi</v>
      </c>
      <c r="K226" t="str">
        <f t="shared" si="47"/>
        <v>Charge Point</v>
      </c>
      <c r="L226" s="4" t="str">
        <f t="shared" si="48"/>
        <v>Charge Point</v>
      </c>
      <c r="M226" s="4" t="str">
        <f t="shared" si="49"/>
        <v>Type2 Ac</v>
      </c>
      <c r="N226" s="4" t="str">
        <f t="shared" si="50"/>
        <v>Type2 Ac</v>
      </c>
      <c r="O226" s="4" t="str">
        <f t="shared" si="51"/>
        <v>Active</v>
      </c>
      <c r="P226" s="4" t="str">
        <f t="shared" si="52"/>
        <v>Active</v>
      </c>
      <c r="Q226" s="4" t="str">
        <f t="shared" si="53"/>
        <v>Delhi</v>
      </c>
      <c r="R226" s="4" t="b">
        <f t="shared" si="54"/>
        <v>1</v>
      </c>
      <c r="S226" s="5" t="str">
        <f t="shared" si="55"/>
        <v>45351</v>
      </c>
      <c r="T226" s="4" t="str">
        <f t="shared" si="56"/>
        <v>Private</v>
      </c>
      <c r="U226" s="4" t="str">
        <f t="shared" si="57"/>
        <v>Slow</v>
      </c>
      <c r="V226" s="4">
        <f t="shared" si="58"/>
        <v>2024</v>
      </c>
      <c r="W226" s="4" t="str">
        <f t="shared" si="59"/>
        <v>Germany</v>
      </c>
    </row>
    <row r="227" spans="1:23" x14ac:dyDescent="0.25">
      <c r="A227" t="s">
        <v>377</v>
      </c>
      <c r="B227" t="s">
        <v>70</v>
      </c>
      <c r="C227" t="s">
        <v>764</v>
      </c>
      <c r="D227" t="s">
        <v>56</v>
      </c>
      <c r="E227" t="s">
        <v>24</v>
      </c>
      <c r="F227" s="1">
        <v>45538</v>
      </c>
      <c r="G227">
        <v>3078.55</v>
      </c>
      <c r="H227">
        <v>42149.57</v>
      </c>
      <c r="I227" t="str">
        <f t="shared" si="45"/>
        <v>Delhi</v>
      </c>
      <c r="J227" t="str">
        <f t="shared" si="46"/>
        <v>Delhi</v>
      </c>
      <c r="K227" t="str">
        <f t="shared" si="47"/>
        <v>Bpcl</v>
      </c>
      <c r="L227" s="4" t="str">
        <f t="shared" si="48"/>
        <v>Bpcl</v>
      </c>
      <c r="M227" s="4" t="str">
        <f t="shared" si="49"/>
        <v>Ccs2</v>
      </c>
      <c r="N227" s="4" t="str">
        <f t="shared" si="50"/>
        <v>Ccs2</v>
      </c>
      <c r="O227" s="4" t="str">
        <f t="shared" si="51"/>
        <v>Active</v>
      </c>
      <c r="P227" s="4" t="str">
        <f t="shared" si="52"/>
        <v>Active</v>
      </c>
      <c r="Q227" s="4" t="str">
        <f t="shared" si="53"/>
        <v>Delhi</v>
      </c>
      <c r="R227" s="4" t="b">
        <f t="shared" si="54"/>
        <v>1</v>
      </c>
      <c r="S227" s="5" t="str">
        <f t="shared" si="55"/>
        <v>45538</v>
      </c>
      <c r="T227" s="4" t="str">
        <f t="shared" si="56"/>
        <v>Government</v>
      </c>
      <c r="U227" s="4" t="str">
        <f t="shared" si="57"/>
        <v>Ultra Fast</v>
      </c>
      <c r="V227" s="4">
        <f t="shared" si="58"/>
        <v>2024</v>
      </c>
      <c r="W227" s="4" t="str">
        <f t="shared" si="59"/>
        <v>Europe</v>
      </c>
    </row>
    <row r="228" spans="1:23" x14ac:dyDescent="0.25">
      <c r="A228" t="s">
        <v>378</v>
      </c>
      <c r="B228" t="s">
        <v>23</v>
      </c>
      <c r="C228" t="s">
        <v>14</v>
      </c>
      <c r="D228" t="s">
        <v>17</v>
      </c>
      <c r="E228" t="s">
        <v>31</v>
      </c>
      <c r="F228" s="1">
        <v>45872</v>
      </c>
      <c r="G228">
        <v>298.99</v>
      </c>
      <c r="H228">
        <v>2879.57</v>
      </c>
      <c r="I228" t="str">
        <f t="shared" si="45"/>
        <v>Ahemdabad</v>
      </c>
      <c r="J228" t="str">
        <f t="shared" si="46"/>
        <v>Ahemdabad</v>
      </c>
      <c r="K228" t="str">
        <f t="shared" si="47"/>
        <v>Charge Point</v>
      </c>
      <c r="L228" s="4" t="str">
        <f t="shared" si="48"/>
        <v>Charge Point</v>
      </c>
      <c r="M228" s="4" t="str">
        <f t="shared" si="49"/>
        <v>Type2 Ac</v>
      </c>
      <c r="N228" s="4" t="str">
        <f t="shared" si="50"/>
        <v>Type2 Ac</v>
      </c>
      <c r="O228" s="4" t="str">
        <f t="shared" si="51"/>
        <v>Maintenance</v>
      </c>
      <c r="P228" s="4" t="str">
        <f t="shared" si="52"/>
        <v>Maintenance</v>
      </c>
      <c r="Q228" s="4" t="str">
        <f t="shared" si="53"/>
        <v>Ahemdabad</v>
      </c>
      <c r="R228" s="4" t="b">
        <f t="shared" si="54"/>
        <v>1</v>
      </c>
      <c r="S228" s="5" t="str">
        <f t="shared" si="55"/>
        <v>45872</v>
      </c>
      <c r="T228" s="4" t="str">
        <f t="shared" si="56"/>
        <v>Private</v>
      </c>
      <c r="U228" s="4" t="str">
        <f t="shared" si="57"/>
        <v>Slow</v>
      </c>
      <c r="V228" s="4">
        <f t="shared" si="58"/>
        <v>2025</v>
      </c>
      <c r="W228" s="4" t="str">
        <f t="shared" si="59"/>
        <v>Germany</v>
      </c>
    </row>
    <row r="229" spans="1:23" x14ac:dyDescent="0.25">
      <c r="A229" t="s">
        <v>379</v>
      </c>
      <c r="B229" t="s">
        <v>13</v>
      </c>
      <c r="C229" t="s">
        <v>63</v>
      </c>
      <c r="D229" t="s">
        <v>56</v>
      </c>
      <c r="E229" t="s">
        <v>24</v>
      </c>
      <c r="F229" s="1">
        <v>45372</v>
      </c>
      <c r="G229">
        <v>11508.78</v>
      </c>
      <c r="H229">
        <v>154454.5</v>
      </c>
      <c r="I229" t="str">
        <f t="shared" si="45"/>
        <v>Bengaluru</v>
      </c>
      <c r="J229" t="str">
        <f t="shared" si="46"/>
        <v>Bengaluru</v>
      </c>
      <c r="K229" t="str">
        <f t="shared" si="47"/>
        <v>Tata Power</v>
      </c>
      <c r="L229" s="4" t="str">
        <f t="shared" si="48"/>
        <v>Tata Power</v>
      </c>
      <c r="M229" s="4" t="str">
        <f t="shared" si="49"/>
        <v>Ccs2</v>
      </c>
      <c r="N229" s="4" t="str">
        <f t="shared" si="50"/>
        <v>Ccs2</v>
      </c>
      <c r="O229" s="4" t="str">
        <f t="shared" si="51"/>
        <v>Active</v>
      </c>
      <c r="P229" s="4" t="str">
        <f t="shared" si="52"/>
        <v>Active</v>
      </c>
      <c r="Q229" s="4" t="str">
        <f t="shared" si="53"/>
        <v>Bengaluru</v>
      </c>
      <c r="R229" s="4" t="b">
        <f t="shared" si="54"/>
        <v>1</v>
      </c>
      <c r="S229" s="5" t="str">
        <f t="shared" si="55"/>
        <v>45372</v>
      </c>
      <c r="T229" s="4" t="str">
        <f t="shared" si="56"/>
        <v>Government</v>
      </c>
      <c r="U229" s="4" t="str">
        <f t="shared" si="57"/>
        <v>Ultra Fast</v>
      </c>
      <c r="V229" s="4">
        <f t="shared" si="58"/>
        <v>2024</v>
      </c>
      <c r="W229" s="4" t="str">
        <f t="shared" si="59"/>
        <v>Europe</v>
      </c>
    </row>
    <row r="230" spans="1:23" x14ac:dyDescent="0.25">
      <c r="A230" t="s">
        <v>380</v>
      </c>
      <c r="B230" t="s">
        <v>46</v>
      </c>
      <c r="C230" t="s">
        <v>764</v>
      </c>
      <c r="D230" t="s">
        <v>17</v>
      </c>
      <c r="E230" t="s">
        <v>24</v>
      </c>
      <c r="F230" s="1" t="s">
        <v>381</v>
      </c>
      <c r="G230">
        <v>962.97</v>
      </c>
      <c r="H230">
        <v>13019.84</v>
      </c>
      <c r="I230" t="str">
        <f t="shared" si="45"/>
        <v>Kolkata</v>
      </c>
      <c r="J230" t="str">
        <f t="shared" si="46"/>
        <v>Kolkata</v>
      </c>
      <c r="K230" t="str">
        <f t="shared" si="47"/>
        <v>Bpcl</v>
      </c>
      <c r="L230" s="4" t="str">
        <f t="shared" si="48"/>
        <v>Bpcl</v>
      </c>
      <c r="M230" s="4" t="str">
        <f t="shared" si="49"/>
        <v>Type2 Ac</v>
      </c>
      <c r="N230" s="4" t="str">
        <f t="shared" si="50"/>
        <v>Type2 Ac</v>
      </c>
      <c r="O230" s="4" t="str">
        <f t="shared" si="51"/>
        <v>Active</v>
      </c>
      <c r="P230" s="4" t="str">
        <f t="shared" si="52"/>
        <v>Active</v>
      </c>
      <c r="Q230" s="4" t="str">
        <f t="shared" si="53"/>
        <v>Kolkata</v>
      </c>
      <c r="R230" s="4" t="b">
        <f t="shared" si="54"/>
        <v>0</v>
      </c>
      <c r="S230" s="5" t="str">
        <f t="shared" si="55"/>
        <v>28/03/2024</v>
      </c>
      <c r="T230" s="4" t="str">
        <f t="shared" si="56"/>
        <v>Government</v>
      </c>
      <c r="U230" s="4" t="str">
        <f t="shared" si="57"/>
        <v>Slow</v>
      </c>
      <c r="V230" s="4" t="e">
        <f t="shared" si="58"/>
        <v>#VALUE!</v>
      </c>
      <c r="W230" s="4" t="str">
        <f t="shared" si="59"/>
        <v>Germany</v>
      </c>
    </row>
    <row r="231" spans="1:23" x14ac:dyDescent="0.25">
      <c r="A231" t="s">
        <v>382</v>
      </c>
      <c r="B231" t="s">
        <v>30</v>
      </c>
      <c r="C231" t="s">
        <v>63</v>
      </c>
      <c r="D231" t="s">
        <v>48</v>
      </c>
      <c r="E231" t="s">
        <v>24</v>
      </c>
      <c r="F231" s="1">
        <v>46041</v>
      </c>
      <c r="G231">
        <v>856.84</v>
      </c>
      <c r="H231">
        <v>10429.35</v>
      </c>
      <c r="I231" t="str">
        <f t="shared" si="45"/>
        <v>Hyderabad</v>
      </c>
      <c r="J231" t="str">
        <f t="shared" si="46"/>
        <v>Hyderabad</v>
      </c>
      <c r="K231" t="str">
        <f t="shared" si="47"/>
        <v>Tata Power</v>
      </c>
      <c r="L231" s="4" t="str">
        <f t="shared" si="48"/>
        <v>Tata Power</v>
      </c>
      <c r="M231" s="4" t="str">
        <f t="shared" si="49"/>
        <v>Bharat Dc-001</v>
      </c>
      <c r="N231" s="4" t="str">
        <f t="shared" si="50"/>
        <v>Bharat Dc-001</v>
      </c>
      <c r="O231" s="4" t="str">
        <f t="shared" si="51"/>
        <v>Active</v>
      </c>
      <c r="P231" s="4" t="str">
        <f t="shared" si="52"/>
        <v>Active</v>
      </c>
      <c r="Q231" s="4" t="str">
        <f t="shared" si="53"/>
        <v>Hyderabad</v>
      </c>
      <c r="R231" s="4" t="b">
        <f t="shared" si="54"/>
        <v>1</v>
      </c>
      <c r="S231" s="5" t="str">
        <f t="shared" si="55"/>
        <v>46041</v>
      </c>
      <c r="T231" s="4" t="str">
        <f t="shared" si="56"/>
        <v>Government</v>
      </c>
      <c r="U231" s="4" t="str">
        <f t="shared" si="57"/>
        <v>fast</v>
      </c>
      <c r="V231" s="4">
        <f t="shared" si="58"/>
        <v>2026</v>
      </c>
      <c r="W231" s="4" t="str">
        <f t="shared" si="59"/>
        <v>India</v>
      </c>
    </row>
    <row r="232" spans="1:23" x14ac:dyDescent="0.25">
      <c r="A232" t="s">
        <v>384</v>
      </c>
      <c r="B232" t="s">
        <v>66</v>
      </c>
      <c r="C232" t="s">
        <v>764</v>
      </c>
      <c r="D232" t="s">
        <v>48</v>
      </c>
      <c r="E232" t="s">
        <v>24</v>
      </c>
      <c r="F232" s="1">
        <v>45789</v>
      </c>
      <c r="G232">
        <v>3343.76</v>
      </c>
      <c r="H232">
        <v>33240.06</v>
      </c>
      <c r="I232" t="str">
        <f t="shared" si="45"/>
        <v>Pune</v>
      </c>
      <c r="J232" t="str">
        <f t="shared" si="46"/>
        <v>Pune</v>
      </c>
      <c r="K232" t="str">
        <f t="shared" si="47"/>
        <v>Bpcl</v>
      </c>
      <c r="L232" s="4" t="str">
        <f t="shared" si="48"/>
        <v>Bpcl</v>
      </c>
      <c r="M232" s="4" t="str">
        <f t="shared" si="49"/>
        <v>Bharat Dc-001</v>
      </c>
      <c r="N232" s="4" t="str">
        <f t="shared" si="50"/>
        <v>Bharat Dc-001</v>
      </c>
      <c r="O232" s="4" t="str">
        <f t="shared" si="51"/>
        <v>Active</v>
      </c>
      <c r="P232" s="4" t="str">
        <f t="shared" si="52"/>
        <v>Active</v>
      </c>
      <c r="Q232" s="4" t="str">
        <f t="shared" si="53"/>
        <v>Pune</v>
      </c>
      <c r="R232" s="4" t="b">
        <f t="shared" si="54"/>
        <v>1</v>
      </c>
      <c r="S232" s="5" t="str">
        <f t="shared" si="55"/>
        <v>45789</v>
      </c>
      <c r="T232" s="4" t="str">
        <f t="shared" si="56"/>
        <v>Government</v>
      </c>
      <c r="U232" s="4" t="str">
        <f t="shared" si="57"/>
        <v>fast</v>
      </c>
      <c r="V232" s="4">
        <f t="shared" si="58"/>
        <v>2025</v>
      </c>
      <c r="W232" s="4" t="str">
        <f t="shared" si="59"/>
        <v>India</v>
      </c>
    </row>
    <row r="233" spans="1:23" x14ac:dyDescent="0.25">
      <c r="A233" t="s">
        <v>385</v>
      </c>
      <c r="C233" t="s">
        <v>36</v>
      </c>
      <c r="D233" t="s">
        <v>26</v>
      </c>
      <c r="E233" t="s">
        <v>24</v>
      </c>
      <c r="F233" s="1">
        <v>46127</v>
      </c>
      <c r="G233">
        <v>10151.129999999999</v>
      </c>
      <c r="H233">
        <v>151132.01999999999</v>
      </c>
      <c r="I233" t="str">
        <f t="shared" si="45"/>
        <v/>
      </c>
      <c r="J233" t="str">
        <f t="shared" si="46"/>
        <v/>
      </c>
      <c r="K233" t="str">
        <f t="shared" si="47"/>
        <v>Zeon Charging</v>
      </c>
      <c r="L233" s="4" t="str">
        <f t="shared" si="48"/>
        <v>Zeon Charging</v>
      </c>
      <c r="M233" s="4" t="str">
        <f t="shared" si="49"/>
        <v>Chademo</v>
      </c>
      <c r="N233" s="4" t="str">
        <f t="shared" si="50"/>
        <v>Chademo</v>
      </c>
      <c r="O233" s="4" t="str">
        <f t="shared" si="51"/>
        <v>Active</v>
      </c>
      <c r="P233" s="4" t="str">
        <f t="shared" si="52"/>
        <v>Active</v>
      </c>
      <c r="Q233" s="4" t="str">
        <f t="shared" si="53"/>
        <v/>
      </c>
      <c r="R233" s="4" t="b">
        <f t="shared" si="54"/>
        <v>1</v>
      </c>
      <c r="S233" s="5" t="str">
        <f t="shared" si="55"/>
        <v>46127</v>
      </c>
      <c r="T233" s="4" t="str">
        <f t="shared" si="56"/>
        <v>Private</v>
      </c>
      <c r="U233" s="4" t="str">
        <f t="shared" si="57"/>
        <v>fast</v>
      </c>
      <c r="V233" s="4">
        <f t="shared" si="58"/>
        <v>2026</v>
      </c>
      <c r="W233" s="4" t="str">
        <f t="shared" si="59"/>
        <v>Japan</v>
      </c>
    </row>
    <row r="234" spans="1:23" x14ac:dyDescent="0.25">
      <c r="A234" t="s">
        <v>387</v>
      </c>
      <c r="B234" t="s">
        <v>35</v>
      </c>
      <c r="C234" t="s">
        <v>773</v>
      </c>
      <c r="D234" t="s">
        <v>17</v>
      </c>
      <c r="E234" t="s">
        <v>24</v>
      </c>
      <c r="F234" s="1">
        <v>45362</v>
      </c>
      <c r="G234">
        <v>7645.36</v>
      </c>
      <c r="H234">
        <v>114012.89</v>
      </c>
      <c r="I234" t="str">
        <f t="shared" si="45"/>
        <v>Chennai</v>
      </c>
      <c r="J234" t="str">
        <f t="shared" si="46"/>
        <v>Chennai</v>
      </c>
      <c r="K234" t="str">
        <f t="shared" si="47"/>
        <v>Ather Grid</v>
      </c>
      <c r="L234" s="4" t="str">
        <f t="shared" si="48"/>
        <v>Ather Grid</v>
      </c>
      <c r="M234" s="4" t="str">
        <f t="shared" si="49"/>
        <v>Type2 Ac</v>
      </c>
      <c r="N234" s="4" t="str">
        <f t="shared" si="50"/>
        <v>Type2 Ac</v>
      </c>
      <c r="O234" s="4" t="str">
        <f t="shared" si="51"/>
        <v>Active</v>
      </c>
      <c r="P234" s="4" t="str">
        <f t="shared" si="52"/>
        <v>Active</v>
      </c>
      <c r="Q234" s="4" t="str">
        <f t="shared" si="53"/>
        <v>Chennai</v>
      </c>
      <c r="R234" s="4" t="b">
        <f t="shared" si="54"/>
        <v>1</v>
      </c>
      <c r="S234" s="5" t="str">
        <f t="shared" si="55"/>
        <v>45362</v>
      </c>
      <c r="T234" s="4" t="str">
        <f t="shared" si="56"/>
        <v>Private</v>
      </c>
      <c r="U234" s="4" t="str">
        <f t="shared" si="57"/>
        <v>Slow</v>
      </c>
      <c r="V234" s="4">
        <f t="shared" si="58"/>
        <v>2024</v>
      </c>
      <c r="W234" s="4" t="str">
        <f t="shared" si="59"/>
        <v>Germany</v>
      </c>
    </row>
    <row r="235" spans="1:23" x14ac:dyDescent="0.25">
      <c r="A235" t="s">
        <v>388</v>
      </c>
      <c r="B235" t="s">
        <v>13</v>
      </c>
      <c r="C235" t="s">
        <v>36</v>
      </c>
      <c r="D235" t="s">
        <v>17</v>
      </c>
      <c r="E235" t="s">
        <v>31</v>
      </c>
      <c r="F235" s="1">
        <v>46070</v>
      </c>
      <c r="G235">
        <v>791.78</v>
      </c>
      <c r="H235">
        <v>9328.36</v>
      </c>
      <c r="I235" t="str">
        <f t="shared" si="45"/>
        <v>Bengaluru</v>
      </c>
      <c r="J235" t="str">
        <f t="shared" si="46"/>
        <v>Bengaluru</v>
      </c>
      <c r="K235" t="str">
        <f t="shared" si="47"/>
        <v>Zeon Charging</v>
      </c>
      <c r="L235" s="4" t="str">
        <f t="shared" si="48"/>
        <v>Zeon Charging</v>
      </c>
      <c r="M235" s="4" t="str">
        <f t="shared" si="49"/>
        <v>Type2 Ac</v>
      </c>
      <c r="N235" s="4" t="str">
        <f t="shared" si="50"/>
        <v>Type2 Ac</v>
      </c>
      <c r="O235" s="4" t="str">
        <f t="shared" si="51"/>
        <v>Maintenance</v>
      </c>
      <c r="P235" s="4" t="str">
        <f t="shared" si="52"/>
        <v>Maintenance</v>
      </c>
      <c r="Q235" s="4" t="str">
        <f t="shared" si="53"/>
        <v>Bengaluru</v>
      </c>
      <c r="R235" s="4" t="b">
        <f t="shared" si="54"/>
        <v>1</v>
      </c>
      <c r="S235" s="5" t="str">
        <f t="shared" si="55"/>
        <v>46070</v>
      </c>
      <c r="T235" s="4" t="str">
        <f t="shared" si="56"/>
        <v>Private</v>
      </c>
      <c r="U235" s="4" t="str">
        <f t="shared" si="57"/>
        <v>Slow</v>
      </c>
      <c r="V235" s="4">
        <f t="shared" si="58"/>
        <v>2026</v>
      </c>
      <c r="W235" s="4" t="str">
        <f t="shared" si="59"/>
        <v>Germany</v>
      </c>
    </row>
    <row r="236" spans="1:23" x14ac:dyDescent="0.25">
      <c r="A236" t="s">
        <v>390</v>
      </c>
      <c r="B236" t="s">
        <v>70</v>
      </c>
      <c r="C236" t="s">
        <v>777</v>
      </c>
      <c r="D236" t="s">
        <v>56</v>
      </c>
      <c r="E236" t="s">
        <v>24</v>
      </c>
      <c r="F236" s="1">
        <v>45837</v>
      </c>
      <c r="G236">
        <v>5945.95</v>
      </c>
      <c r="H236">
        <v>80803.06</v>
      </c>
      <c r="I236" t="str">
        <f t="shared" si="45"/>
        <v>Delhi</v>
      </c>
      <c r="J236" t="str">
        <f t="shared" si="46"/>
        <v>Delhi</v>
      </c>
      <c r="K236" t="str">
        <f t="shared" si="47"/>
        <v>Tata Power</v>
      </c>
      <c r="L236" s="4" t="str">
        <f t="shared" si="48"/>
        <v>Tata Power</v>
      </c>
      <c r="M236" s="4" t="str">
        <f t="shared" si="49"/>
        <v>Ccs2</v>
      </c>
      <c r="N236" s="4" t="str">
        <f t="shared" si="50"/>
        <v>Ccs2</v>
      </c>
      <c r="O236" s="4" t="str">
        <f t="shared" si="51"/>
        <v>Active</v>
      </c>
      <c r="P236" s="4" t="str">
        <f t="shared" si="52"/>
        <v>Active</v>
      </c>
      <c r="Q236" s="4" t="str">
        <f t="shared" si="53"/>
        <v>Delhi</v>
      </c>
      <c r="R236" s="4" t="b">
        <f t="shared" si="54"/>
        <v>1</v>
      </c>
      <c r="S236" s="5" t="str">
        <f t="shared" si="55"/>
        <v>45837</v>
      </c>
      <c r="T236" s="4" t="str">
        <f t="shared" si="56"/>
        <v>Government</v>
      </c>
      <c r="U236" s="4" t="str">
        <f t="shared" si="57"/>
        <v>Ultra Fast</v>
      </c>
      <c r="V236" s="4">
        <f t="shared" si="58"/>
        <v>2025</v>
      </c>
      <c r="W236" s="4" t="str">
        <f t="shared" si="59"/>
        <v>Europe</v>
      </c>
    </row>
    <row r="237" spans="1:23" x14ac:dyDescent="0.25">
      <c r="A237" t="s">
        <v>391</v>
      </c>
      <c r="B237" t="s">
        <v>30</v>
      </c>
      <c r="C237" t="s">
        <v>773</v>
      </c>
      <c r="D237" t="s">
        <v>26</v>
      </c>
      <c r="E237" t="s">
        <v>24</v>
      </c>
      <c r="F237" s="1">
        <v>46076</v>
      </c>
      <c r="H237">
        <v>15920.82</v>
      </c>
      <c r="I237" t="str">
        <f t="shared" si="45"/>
        <v>Hyderabad</v>
      </c>
      <c r="J237" t="str">
        <f t="shared" si="46"/>
        <v>Hyderabad</v>
      </c>
      <c r="K237" t="str">
        <f t="shared" si="47"/>
        <v>Ather Grid</v>
      </c>
      <c r="L237" s="4" t="str">
        <f t="shared" si="48"/>
        <v>Ather Grid</v>
      </c>
      <c r="M237" s="4" t="str">
        <f t="shared" si="49"/>
        <v>Chademo</v>
      </c>
      <c r="N237" s="4" t="str">
        <f t="shared" si="50"/>
        <v>Chademo</v>
      </c>
      <c r="O237" s="4" t="str">
        <f t="shared" si="51"/>
        <v>Active</v>
      </c>
      <c r="P237" s="4" t="str">
        <f t="shared" si="52"/>
        <v>Active</v>
      </c>
      <c r="Q237" s="4" t="str">
        <f t="shared" si="53"/>
        <v>Hyderabad</v>
      </c>
      <c r="R237" s="4" t="b">
        <f t="shared" si="54"/>
        <v>1</v>
      </c>
      <c r="S237" s="5" t="str">
        <f t="shared" si="55"/>
        <v>46076</v>
      </c>
      <c r="T237" s="4" t="str">
        <f t="shared" si="56"/>
        <v>Private</v>
      </c>
      <c r="U237" s="4" t="str">
        <f t="shared" si="57"/>
        <v>fast</v>
      </c>
      <c r="V237" s="4">
        <f t="shared" si="58"/>
        <v>2026</v>
      </c>
      <c r="W237" s="4" t="str">
        <f t="shared" si="59"/>
        <v>Japan</v>
      </c>
    </row>
    <row r="238" spans="1:23" x14ac:dyDescent="0.25">
      <c r="A238" t="s">
        <v>393</v>
      </c>
      <c r="B238" t="s">
        <v>70</v>
      </c>
      <c r="C238" t="s">
        <v>764</v>
      </c>
      <c r="D238" t="s">
        <v>17</v>
      </c>
      <c r="E238" t="s">
        <v>769</v>
      </c>
      <c r="F238" s="1">
        <v>45420</v>
      </c>
      <c r="G238">
        <v>11399.21</v>
      </c>
      <c r="I238" t="str">
        <f t="shared" si="45"/>
        <v>Delhi</v>
      </c>
      <c r="J238" t="str">
        <f t="shared" si="46"/>
        <v>Delhi</v>
      </c>
      <c r="K238" t="str">
        <f t="shared" si="47"/>
        <v>Bpcl</v>
      </c>
      <c r="L238" s="4" t="str">
        <f t="shared" si="48"/>
        <v>Bpcl</v>
      </c>
      <c r="M238" s="4" t="str">
        <f t="shared" si="49"/>
        <v>Type2 Ac</v>
      </c>
      <c r="N238" s="4" t="str">
        <f t="shared" si="50"/>
        <v>Type2 Ac</v>
      </c>
      <c r="O238" s="4" t="str">
        <f t="shared" si="51"/>
        <v>Active</v>
      </c>
      <c r="P238" s="4" t="str">
        <f t="shared" si="52"/>
        <v>Active</v>
      </c>
      <c r="Q238" s="4" t="str">
        <f t="shared" si="53"/>
        <v>Delhi</v>
      </c>
      <c r="R238" s="4" t="b">
        <f t="shared" si="54"/>
        <v>1</v>
      </c>
      <c r="S238" s="5" t="str">
        <f t="shared" si="55"/>
        <v>45420</v>
      </c>
      <c r="T238" s="4" t="str">
        <f t="shared" si="56"/>
        <v>Government</v>
      </c>
      <c r="U238" s="4" t="str">
        <f t="shared" si="57"/>
        <v>Slow</v>
      </c>
      <c r="V238" s="4">
        <f t="shared" si="58"/>
        <v>2024</v>
      </c>
      <c r="W238" s="4" t="str">
        <f t="shared" si="59"/>
        <v>Germany</v>
      </c>
    </row>
    <row r="239" spans="1:23" x14ac:dyDescent="0.25">
      <c r="A239" t="s">
        <v>394</v>
      </c>
      <c r="B239" t="s">
        <v>40</v>
      </c>
      <c r="C239" t="s">
        <v>41</v>
      </c>
      <c r="D239" t="s">
        <v>26</v>
      </c>
      <c r="E239" t="s">
        <v>855</v>
      </c>
      <c r="F239" s="1">
        <v>45423</v>
      </c>
      <c r="I239" t="str">
        <f t="shared" si="45"/>
        <v>Mumbai</v>
      </c>
      <c r="J239" t="str">
        <f t="shared" si="46"/>
        <v>Mumbai</v>
      </c>
      <c r="K239" t="str">
        <f t="shared" si="47"/>
        <v>Ather Grid</v>
      </c>
      <c r="L239" s="4" t="str">
        <f t="shared" si="48"/>
        <v>Ather Grid</v>
      </c>
      <c r="M239" s="4" t="str">
        <f t="shared" si="49"/>
        <v>Chademo</v>
      </c>
      <c r="N239" s="4" t="str">
        <f t="shared" si="50"/>
        <v>Chademo</v>
      </c>
      <c r="O239" s="4" t="str">
        <f t="shared" si="51"/>
        <v>Inactive</v>
      </c>
      <c r="P239" s="4" t="str">
        <f t="shared" si="52"/>
        <v>Inactive</v>
      </c>
      <c r="Q239" s="4" t="str">
        <f t="shared" si="53"/>
        <v>Mumbai</v>
      </c>
      <c r="R239" s="4" t="b">
        <f t="shared" si="54"/>
        <v>1</v>
      </c>
      <c r="S239" s="5" t="str">
        <f t="shared" si="55"/>
        <v>45423</v>
      </c>
      <c r="T239" s="4" t="str">
        <f t="shared" si="56"/>
        <v>Private</v>
      </c>
      <c r="U239" s="4" t="str">
        <f t="shared" si="57"/>
        <v>fast</v>
      </c>
      <c r="V239" s="4">
        <f t="shared" si="58"/>
        <v>2024</v>
      </c>
      <c r="W239" s="4" t="str">
        <f t="shared" si="59"/>
        <v>Japan</v>
      </c>
    </row>
    <row r="240" spans="1:23" x14ac:dyDescent="0.25">
      <c r="A240" t="s">
        <v>395</v>
      </c>
      <c r="B240" t="s">
        <v>30</v>
      </c>
      <c r="C240" t="s">
        <v>14</v>
      </c>
      <c r="D240" t="s">
        <v>48</v>
      </c>
      <c r="E240" t="s">
        <v>24</v>
      </c>
      <c r="F240" s="1">
        <v>45967</v>
      </c>
      <c r="G240">
        <v>3446.8</v>
      </c>
      <c r="H240">
        <v>36217.93</v>
      </c>
      <c r="I240" t="str">
        <f t="shared" si="45"/>
        <v>Hyderabad</v>
      </c>
      <c r="J240" t="str">
        <f t="shared" si="46"/>
        <v>Hyderabad</v>
      </c>
      <c r="K240" t="str">
        <f t="shared" si="47"/>
        <v>Charge Point</v>
      </c>
      <c r="L240" s="4" t="str">
        <f t="shared" si="48"/>
        <v>Charge Point</v>
      </c>
      <c r="M240" s="4" t="str">
        <f t="shared" si="49"/>
        <v>Bharat Dc-001</v>
      </c>
      <c r="N240" s="4" t="str">
        <f t="shared" si="50"/>
        <v>Bharat Dc-001</v>
      </c>
      <c r="O240" s="4" t="str">
        <f t="shared" si="51"/>
        <v>Active</v>
      </c>
      <c r="P240" s="4" t="str">
        <f t="shared" si="52"/>
        <v>Active</v>
      </c>
      <c r="Q240" s="4" t="str">
        <f t="shared" si="53"/>
        <v>Hyderabad</v>
      </c>
      <c r="R240" s="4" t="b">
        <f t="shared" si="54"/>
        <v>1</v>
      </c>
      <c r="S240" s="5" t="str">
        <f t="shared" si="55"/>
        <v>45967</v>
      </c>
      <c r="T240" s="4" t="str">
        <f t="shared" si="56"/>
        <v>Private</v>
      </c>
      <c r="U240" s="4" t="str">
        <f t="shared" si="57"/>
        <v>fast</v>
      </c>
      <c r="V240" s="4">
        <f t="shared" si="58"/>
        <v>2025</v>
      </c>
      <c r="W240" s="4" t="str">
        <f t="shared" si="59"/>
        <v>India</v>
      </c>
    </row>
    <row r="241" spans="1:23" x14ac:dyDescent="0.25">
      <c r="A241" t="s">
        <v>396</v>
      </c>
      <c r="B241" t="s">
        <v>40</v>
      </c>
      <c r="C241" t="s">
        <v>770</v>
      </c>
      <c r="D241" t="s">
        <v>17</v>
      </c>
      <c r="E241" t="s">
        <v>24</v>
      </c>
      <c r="F241" s="1">
        <v>45778</v>
      </c>
      <c r="G241">
        <v>4742.29</v>
      </c>
      <c r="H241">
        <v>64111.12</v>
      </c>
      <c r="I241" t="str">
        <f t="shared" si="45"/>
        <v>Mumbai</v>
      </c>
      <c r="J241" t="str">
        <f t="shared" si="46"/>
        <v>Mumbai</v>
      </c>
      <c r="K241" t="str">
        <f t="shared" si="47"/>
        <v>Ather Grid</v>
      </c>
      <c r="L241" s="4" t="str">
        <f t="shared" si="48"/>
        <v>Ather Grid</v>
      </c>
      <c r="M241" s="4" t="str">
        <f t="shared" si="49"/>
        <v>Type2 Ac</v>
      </c>
      <c r="N241" s="4" t="str">
        <f t="shared" si="50"/>
        <v>Type2 Ac</v>
      </c>
      <c r="O241" s="4" t="str">
        <f t="shared" si="51"/>
        <v>Active</v>
      </c>
      <c r="P241" s="4" t="str">
        <f t="shared" si="52"/>
        <v>Active</v>
      </c>
      <c r="Q241" s="4" t="str">
        <f t="shared" si="53"/>
        <v>Mumbai</v>
      </c>
      <c r="R241" s="4" t="b">
        <f t="shared" si="54"/>
        <v>1</v>
      </c>
      <c r="S241" s="5" t="str">
        <f t="shared" si="55"/>
        <v>45778</v>
      </c>
      <c r="T241" s="4" t="str">
        <f t="shared" si="56"/>
        <v>Private</v>
      </c>
      <c r="U241" s="4" t="str">
        <f t="shared" si="57"/>
        <v>Slow</v>
      </c>
      <c r="V241" s="4">
        <f t="shared" si="58"/>
        <v>2025</v>
      </c>
      <c r="W241" s="4" t="str">
        <f t="shared" si="59"/>
        <v>Germany</v>
      </c>
    </row>
    <row r="242" spans="1:23" x14ac:dyDescent="0.25">
      <c r="A242" t="s">
        <v>397</v>
      </c>
      <c r="B242" t="s">
        <v>23</v>
      </c>
      <c r="C242" t="s">
        <v>14</v>
      </c>
      <c r="D242" t="s">
        <v>17</v>
      </c>
      <c r="E242" t="s">
        <v>24</v>
      </c>
      <c r="F242" s="1">
        <v>45854</v>
      </c>
      <c r="G242">
        <v>7467.77</v>
      </c>
      <c r="H242">
        <v>90524.09</v>
      </c>
      <c r="I242" t="str">
        <f t="shared" si="45"/>
        <v>Ahemdabad</v>
      </c>
      <c r="J242" t="str">
        <f t="shared" si="46"/>
        <v>Ahemdabad</v>
      </c>
      <c r="K242" t="str">
        <f t="shared" si="47"/>
        <v>Charge Point</v>
      </c>
      <c r="L242" s="4" t="str">
        <f t="shared" si="48"/>
        <v>Charge Point</v>
      </c>
      <c r="M242" s="4" t="str">
        <f t="shared" si="49"/>
        <v>Type2 Ac</v>
      </c>
      <c r="N242" s="4" t="str">
        <f t="shared" si="50"/>
        <v>Type2 Ac</v>
      </c>
      <c r="O242" s="4" t="str">
        <f t="shared" si="51"/>
        <v>Active</v>
      </c>
      <c r="P242" s="4" t="str">
        <f t="shared" si="52"/>
        <v>Active</v>
      </c>
      <c r="Q242" s="4" t="str">
        <f t="shared" si="53"/>
        <v>Ahemdabad</v>
      </c>
      <c r="R242" s="4" t="b">
        <f t="shared" si="54"/>
        <v>1</v>
      </c>
      <c r="S242" s="5" t="str">
        <f t="shared" si="55"/>
        <v>45854</v>
      </c>
      <c r="T242" s="4" t="str">
        <f t="shared" si="56"/>
        <v>Private</v>
      </c>
      <c r="U242" s="4" t="str">
        <f t="shared" si="57"/>
        <v>Slow</v>
      </c>
      <c r="V242" s="4">
        <f t="shared" si="58"/>
        <v>2025</v>
      </c>
      <c r="W242" s="4" t="str">
        <f t="shared" si="59"/>
        <v>Germany</v>
      </c>
    </row>
    <row r="243" spans="1:23" x14ac:dyDescent="0.25">
      <c r="A243" t="s">
        <v>399</v>
      </c>
      <c r="B243" t="s">
        <v>23</v>
      </c>
      <c r="C243" t="s">
        <v>41</v>
      </c>
      <c r="D243" t="s">
        <v>26</v>
      </c>
      <c r="E243" t="s">
        <v>15</v>
      </c>
      <c r="F243" s="1">
        <v>45461</v>
      </c>
      <c r="G243">
        <v>192.75</v>
      </c>
      <c r="H243">
        <v>1563.29</v>
      </c>
      <c r="I243" t="str">
        <f t="shared" si="45"/>
        <v>Ahemdabad</v>
      </c>
      <c r="J243" t="str">
        <f t="shared" si="46"/>
        <v>Ahemdabad</v>
      </c>
      <c r="K243" t="str">
        <f t="shared" si="47"/>
        <v>Ather Grid</v>
      </c>
      <c r="L243" s="4" t="str">
        <f t="shared" si="48"/>
        <v>Ather Grid</v>
      </c>
      <c r="M243" s="4" t="str">
        <f t="shared" si="49"/>
        <v>Chademo</v>
      </c>
      <c r="N243" s="4" t="str">
        <f t="shared" si="50"/>
        <v>Chademo</v>
      </c>
      <c r="O243" s="4" t="str">
        <f t="shared" si="51"/>
        <v>Decommissioned</v>
      </c>
      <c r="P243" s="4" t="str">
        <f t="shared" si="52"/>
        <v>Decommissioned</v>
      </c>
      <c r="Q243" s="4" t="str">
        <f t="shared" si="53"/>
        <v>Ahemdabad</v>
      </c>
      <c r="R243" s="4" t="b">
        <f t="shared" si="54"/>
        <v>1</v>
      </c>
      <c r="S243" s="5" t="str">
        <f t="shared" si="55"/>
        <v>45461</v>
      </c>
      <c r="T243" s="4" t="str">
        <f t="shared" si="56"/>
        <v>Private</v>
      </c>
      <c r="U243" s="4" t="str">
        <f t="shared" si="57"/>
        <v>fast</v>
      </c>
      <c r="V243" s="4">
        <f t="shared" si="58"/>
        <v>2024</v>
      </c>
      <c r="W243" s="4" t="str">
        <f t="shared" si="59"/>
        <v>Japan</v>
      </c>
    </row>
    <row r="244" spans="1:23" x14ac:dyDescent="0.25">
      <c r="A244" t="s">
        <v>401</v>
      </c>
      <c r="B244" t="s">
        <v>46</v>
      </c>
      <c r="C244" t="s">
        <v>14</v>
      </c>
      <c r="D244" t="s">
        <v>17</v>
      </c>
      <c r="E244" t="s">
        <v>24</v>
      </c>
      <c r="F244" s="1">
        <v>45563</v>
      </c>
      <c r="G244">
        <v>8761.11</v>
      </c>
      <c r="H244">
        <v>86363.28</v>
      </c>
      <c r="I244" t="str">
        <f t="shared" si="45"/>
        <v>Kolkata</v>
      </c>
      <c r="J244" t="str">
        <f t="shared" si="46"/>
        <v>Kolkata</v>
      </c>
      <c r="K244" t="str">
        <f t="shared" si="47"/>
        <v>Charge Point</v>
      </c>
      <c r="L244" s="4" t="str">
        <f t="shared" si="48"/>
        <v>Charge Point</v>
      </c>
      <c r="M244" s="4" t="str">
        <f t="shared" si="49"/>
        <v>Type2 Ac</v>
      </c>
      <c r="N244" s="4" t="str">
        <f t="shared" si="50"/>
        <v>Type2 Ac</v>
      </c>
      <c r="O244" s="4" t="str">
        <f t="shared" si="51"/>
        <v>Active</v>
      </c>
      <c r="P244" s="4" t="str">
        <f t="shared" si="52"/>
        <v>Active</v>
      </c>
      <c r="Q244" s="4" t="str">
        <f t="shared" si="53"/>
        <v>Kolkata</v>
      </c>
      <c r="R244" s="4" t="b">
        <f t="shared" si="54"/>
        <v>1</v>
      </c>
      <c r="S244" s="5" t="str">
        <f t="shared" si="55"/>
        <v>45563</v>
      </c>
      <c r="T244" s="4" t="str">
        <f t="shared" si="56"/>
        <v>Private</v>
      </c>
      <c r="U244" s="4" t="str">
        <f t="shared" si="57"/>
        <v>Slow</v>
      </c>
      <c r="V244" s="4">
        <f t="shared" si="58"/>
        <v>2024</v>
      </c>
      <c r="W244" s="4" t="str">
        <f t="shared" si="59"/>
        <v>Germany</v>
      </c>
    </row>
    <row r="245" spans="1:23" x14ac:dyDescent="0.25">
      <c r="A245" t="s">
        <v>402</v>
      </c>
      <c r="B245" t="s">
        <v>13</v>
      </c>
      <c r="C245" t="s">
        <v>63</v>
      </c>
      <c r="D245" t="s">
        <v>26</v>
      </c>
      <c r="E245" t="s">
        <v>24</v>
      </c>
      <c r="F245" s="1">
        <v>45832</v>
      </c>
      <c r="G245">
        <v>9444.61</v>
      </c>
      <c r="H245">
        <v>83937.18</v>
      </c>
      <c r="I245" t="str">
        <f t="shared" si="45"/>
        <v>Bengaluru</v>
      </c>
      <c r="J245" t="str">
        <f t="shared" si="46"/>
        <v>Bengaluru</v>
      </c>
      <c r="K245" t="str">
        <f t="shared" si="47"/>
        <v>Tata Power</v>
      </c>
      <c r="L245" s="4" t="str">
        <f t="shared" si="48"/>
        <v>Tata Power</v>
      </c>
      <c r="M245" s="4" t="str">
        <f t="shared" si="49"/>
        <v>Chademo</v>
      </c>
      <c r="N245" s="4" t="str">
        <f t="shared" si="50"/>
        <v>Chademo</v>
      </c>
      <c r="O245" s="4" t="str">
        <f t="shared" si="51"/>
        <v>Active</v>
      </c>
      <c r="P245" s="4" t="str">
        <f t="shared" si="52"/>
        <v>Active</v>
      </c>
      <c r="Q245" s="4" t="str">
        <f t="shared" si="53"/>
        <v>Bengaluru</v>
      </c>
      <c r="R245" s="4" t="b">
        <f t="shared" si="54"/>
        <v>1</v>
      </c>
      <c r="S245" s="5" t="str">
        <f t="shared" si="55"/>
        <v>45832</v>
      </c>
      <c r="T245" s="4" t="str">
        <f t="shared" si="56"/>
        <v>Government</v>
      </c>
      <c r="U245" s="4" t="str">
        <f t="shared" si="57"/>
        <v>fast</v>
      </c>
      <c r="V245" s="4">
        <f t="shared" si="58"/>
        <v>2025</v>
      </c>
      <c r="W245" s="4" t="str">
        <f t="shared" si="59"/>
        <v>Japan</v>
      </c>
    </row>
    <row r="246" spans="1:23" x14ac:dyDescent="0.25">
      <c r="A246" t="s">
        <v>404</v>
      </c>
      <c r="B246" t="s">
        <v>40</v>
      </c>
      <c r="C246" t="s">
        <v>36</v>
      </c>
      <c r="D246" t="s">
        <v>17</v>
      </c>
      <c r="E246" t="s">
        <v>24</v>
      </c>
      <c r="F246" s="1">
        <v>45913</v>
      </c>
      <c r="G246">
        <v>2383.31</v>
      </c>
      <c r="H246">
        <v>26089.439999999999</v>
      </c>
      <c r="I246" t="str">
        <f t="shared" si="45"/>
        <v>Mumbai</v>
      </c>
      <c r="J246" t="str">
        <f t="shared" si="46"/>
        <v>Mumbai</v>
      </c>
      <c r="K246" t="str">
        <f t="shared" si="47"/>
        <v>Zeon Charging</v>
      </c>
      <c r="L246" s="4" t="str">
        <f t="shared" si="48"/>
        <v>Zeon Charging</v>
      </c>
      <c r="M246" s="4" t="str">
        <f t="shared" si="49"/>
        <v>Type2 Ac</v>
      </c>
      <c r="N246" s="4" t="str">
        <f t="shared" si="50"/>
        <v>Type2 Ac</v>
      </c>
      <c r="O246" s="4" t="str">
        <f t="shared" si="51"/>
        <v>Active</v>
      </c>
      <c r="P246" s="4" t="str">
        <f t="shared" si="52"/>
        <v>Active</v>
      </c>
      <c r="Q246" s="4" t="str">
        <f t="shared" si="53"/>
        <v>Mumbai</v>
      </c>
      <c r="R246" s="4" t="b">
        <f t="shared" si="54"/>
        <v>1</v>
      </c>
      <c r="S246" s="5" t="str">
        <f t="shared" si="55"/>
        <v>45913</v>
      </c>
      <c r="T246" s="4" t="str">
        <f t="shared" si="56"/>
        <v>Private</v>
      </c>
      <c r="U246" s="4" t="str">
        <f t="shared" si="57"/>
        <v>Slow</v>
      </c>
      <c r="V246" s="4">
        <f t="shared" si="58"/>
        <v>2025</v>
      </c>
      <c r="W246" s="4" t="str">
        <f t="shared" si="59"/>
        <v>Germany</v>
      </c>
    </row>
    <row r="247" spans="1:23" x14ac:dyDescent="0.25">
      <c r="A247" t="s">
        <v>406</v>
      </c>
      <c r="B247" t="s">
        <v>46</v>
      </c>
      <c r="C247" t="s">
        <v>764</v>
      </c>
      <c r="D247" t="s">
        <v>56</v>
      </c>
      <c r="E247" t="s">
        <v>24</v>
      </c>
      <c r="F247" s="1">
        <v>45725</v>
      </c>
      <c r="G247">
        <v>4076.95</v>
      </c>
      <c r="H247">
        <v>35859</v>
      </c>
      <c r="I247" t="str">
        <f t="shared" si="45"/>
        <v>Kolkata</v>
      </c>
      <c r="J247" t="str">
        <f t="shared" si="46"/>
        <v>Kolkata</v>
      </c>
      <c r="K247" t="str">
        <f t="shared" si="47"/>
        <v>Bpcl</v>
      </c>
      <c r="L247" s="4" t="str">
        <f t="shared" si="48"/>
        <v>Bpcl</v>
      </c>
      <c r="M247" s="4" t="str">
        <f t="shared" si="49"/>
        <v>Ccs2</v>
      </c>
      <c r="N247" s="4" t="str">
        <f t="shared" si="50"/>
        <v>Ccs2</v>
      </c>
      <c r="O247" s="4" t="str">
        <f t="shared" si="51"/>
        <v>Active</v>
      </c>
      <c r="P247" s="4" t="str">
        <f t="shared" si="52"/>
        <v>Active</v>
      </c>
      <c r="Q247" s="4" t="str">
        <f t="shared" si="53"/>
        <v>Kolkata</v>
      </c>
      <c r="R247" s="4" t="b">
        <f t="shared" si="54"/>
        <v>1</v>
      </c>
      <c r="S247" s="5" t="str">
        <f t="shared" si="55"/>
        <v>45725</v>
      </c>
      <c r="T247" s="4" t="str">
        <f t="shared" si="56"/>
        <v>Government</v>
      </c>
      <c r="U247" s="4" t="str">
        <f t="shared" si="57"/>
        <v>Ultra Fast</v>
      </c>
      <c r="V247" s="4">
        <f t="shared" si="58"/>
        <v>2025</v>
      </c>
      <c r="W247" s="4" t="str">
        <f t="shared" si="59"/>
        <v>Europe</v>
      </c>
    </row>
    <row r="248" spans="1:23" x14ac:dyDescent="0.25">
      <c r="A248" t="s">
        <v>407</v>
      </c>
      <c r="B248" t="s">
        <v>13</v>
      </c>
      <c r="C248" t="s">
        <v>41</v>
      </c>
      <c r="D248" t="s">
        <v>26</v>
      </c>
      <c r="E248" t="s">
        <v>24</v>
      </c>
      <c r="F248" s="1">
        <v>45508</v>
      </c>
      <c r="G248">
        <v>7154.87</v>
      </c>
      <c r="H248">
        <v>60422.21</v>
      </c>
      <c r="I248" t="str">
        <f t="shared" si="45"/>
        <v>Bengaluru</v>
      </c>
      <c r="J248" t="str">
        <f t="shared" si="46"/>
        <v>Bengaluru</v>
      </c>
      <c r="K248" t="str">
        <f t="shared" si="47"/>
        <v>Ather Grid</v>
      </c>
      <c r="L248" s="4" t="str">
        <f t="shared" si="48"/>
        <v>Ather Grid</v>
      </c>
      <c r="M248" s="4" t="str">
        <f t="shared" si="49"/>
        <v>Chademo</v>
      </c>
      <c r="N248" s="4" t="str">
        <f t="shared" si="50"/>
        <v>Chademo</v>
      </c>
      <c r="O248" s="4" t="str">
        <f t="shared" si="51"/>
        <v>Active</v>
      </c>
      <c r="P248" s="4" t="str">
        <f t="shared" si="52"/>
        <v>Active</v>
      </c>
      <c r="Q248" s="4" t="str">
        <f t="shared" si="53"/>
        <v>Bengaluru</v>
      </c>
      <c r="R248" s="4" t="b">
        <f t="shared" si="54"/>
        <v>1</v>
      </c>
      <c r="S248" s="5" t="str">
        <f t="shared" si="55"/>
        <v>45508</v>
      </c>
      <c r="T248" s="4" t="str">
        <f t="shared" si="56"/>
        <v>Private</v>
      </c>
      <c r="U248" s="4" t="str">
        <f t="shared" si="57"/>
        <v>fast</v>
      </c>
      <c r="V248" s="4">
        <f t="shared" si="58"/>
        <v>2024</v>
      </c>
      <c r="W248" s="4" t="str">
        <f t="shared" si="59"/>
        <v>Japan</v>
      </c>
    </row>
    <row r="249" spans="1:23" x14ac:dyDescent="0.25">
      <c r="A249" t="s">
        <v>408</v>
      </c>
      <c r="B249" t="s">
        <v>23</v>
      </c>
      <c r="C249" t="s">
        <v>36</v>
      </c>
      <c r="D249" t="s">
        <v>17</v>
      </c>
      <c r="E249" t="s">
        <v>24</v>
      </c>
      <c r="F249" s="1">
        <v>45844</v>
      </c>
      <c r="G249">
        <v>11182.2</v>
      </c>
      <c r="H249">
        <v>124546.52</v>
      </c>
      <c r="I249" t="str">
        <f t="shared" si="45"/>
        <v>Ahemdabad</v>
      </c>
      <c r="J249" t="str">
        <f t="shared" si="46"/>
        <v>Ahemdabad</v>
      </c>
      <c r="K249" t="str">
        <f t="shared" si="47"/>
        <v>Zeon Charging</v>
      </c>
      <c r="L249" s="4" t="str">
        <f t="shared" si="48"/>
        <v>Zeon Charging</v>
      </c>
      <c r="M249" s="4" t="str">
        <f t="shared" si="49"/>
        <v>Type2 Ac</v>
      </c>
      <c r="N249" s="4" t="str">
        <f t="shared" si="50"/>
        <v>Type2 Ac</v>
      </c>
      <c r="O249" s="4" t="str">
        <f t="shared" si="51"/>
        <v>Active</v>
      </c>
      <c r="P249" s="4" t="str">
        <f t="shared" si="52"/>
        <v>Active</v>
      </c>
      <c r="Q249" s="4" t="str">
        <f t="shared" si="53"/>
        <v>Ahemdabad</v>
      </c>
      <c r="R249" s="4" t="b">
        <f t="shared" si="54"/>
        <v>1</v>
      </c>
      <c r="S249" s="5" t="str">
        <f t="shared" si="55"/>
        <v>45844</v>
      </c>
      <c r="T249" s="4" t="str">
        <f t="shared" si="56"/>
        <v>Private</v>
      </c>
      <c r="U249" s="4" t="str">
        <f t="shared" si="57"/>
        <v>Slow</v>
      </c>
      <c r="V249" s="4">
        <f t="shared" si="58"/>
        <v>2025</v>
      </c>
      <c r="W249" s="4" t="str">
        <f t="shared" si="59"/>
        <v>Germany</v>
      </c>
    </row>
    <row r="250" spans="1:23" x14ac:dyDescent="0.25">
      <c r="A250" t="s">
        <v>409</v>
      </c>
      <c r="B250" t="s">
        <v>23</v>
      </c>
      <c r="D250" t="s">
        <v>48</v>
      </c>
      <c r="E250" t="s">
        <v>54</v>
      </c>
      <c r="F250" s="1">
        <v>46065</v>
      </c>
      <c r="G250">
        <v>287.89999999999998</v>
      </c>
      <c r="H250">
        <v>3032.82</v>
      </c>
      <c r="I250" t="str">
        <f t="shared" si="45"/>
        <v>Ahemdabad</v>
      </c>
      <c r="J250" t="str">
        <f t="shared" si="46"/>
        <v>Ahemdabad</v>
      </c>
      <c r="K250" t="str">
        <f t="shared" si="47"/>
        <v/>
      </c>
      <c r="L250" s="4" t="str">
        <f t="shared" si="48"/>
        <v/>
      </c>
      <c r="M250" s="4" t="str">
        <f t="shared" si="49"/>
        <v>Bharat Dc-001</v>
      </c>
      <c r="N250" s="4" t="str">
        <f t="shared" si="50"/>
        <v>Bharat Dc-001</v>
      </c>
      <c r="O250" s="4" t="str">
        <f t="shared" si="51"/>
        <v>Inactive</v>
      </c>
      <c r="P250" s="4" t="str">
        <f t="shared" si="52"/>
        <v>Inactive</v>
      </c>
      <c r="Q250" s="4" t="str">
        <f t="shared" si="53"/>
        <v>Ahemdabad</v>
      </c>
      <c r="R250" s="4" t="b">
        <f t="shared" si="54"/>
        <v>1</v>
      </c>
      <c r="S250" s="5" t="str">
        <f t="shared" si="55"/>
        <v>46065</v>
      </c>
      <c r="T250" s="4" t="str">
        <f t="shared" si="56"/>
        <v>Private</v>
      </c>
      <c r="U250" s="4" t="str">
        <f t="shared" si="57"/>
        <v>fast</v>
      </c>
      <c r="V250" s="4">
        <f t="shared" si="58"/>
        <v>2026</v>
      </c>
      <c r="W250" s="4" t="str">
        <f t="shared" si="59"/>
        <v>India</v>
      </c>
    </row>
    <row r="251" spans="1:23" x14ac:dyDescent="0.25">
      <c r="A251" t="s">
        <v>410</v>
      </c>
      <c r="B251" t="s">
        <v>46</v>
      </c>
      <c r="C251" t="s">
        <v>764</v>
      </c>
      <c r="D251" t="s">
        <v>17</v>
      </c>
      <c r="E251" t="s">
        <v>54</v>
      </c>
      <c r="F251" s="1">
        <v>46039</v>
      </c>
      <c r="G251">
        <v>454.01</v>
      </c>
      <c r="H251">
        <v>5518.79</v>
      </c>
      <c r="I251" t="str">
        <f t="shared" si="45"/>
        <v>Kolkata</v>
      </c>
      <c r="J251" t="str">
        <f t="shared" si="46"/>
        <v>Kolkata</v>
      </c>
      <c r="K251" t="str">
        <f t="shared" si="47"/>
        <v>Bpcl</v>
      </c>
      <c r="L251" s="4" t="str">
        <f t="shared" si="48"/>
        <v>Bpcl</v>
      </c>
      <c r="M251" s="4" t="str">
        <f t="shared" si="49"/>
        <v>Type2 Ac</v>
      </c>
      <c r="N251" s="4" t="str">
        <f t="shared" si="50"/>
        <v>Type2 Ac</v>
      </c>
      <c r="O251" s="4" t="str">
        <f t="shared" si="51"/>
        <v>Inactive</v>
      </c>
      <c r="P251" s="4" t="str">
        <f t="shared" si="52"/>
        <v>Inactive</v>
      </c>
      <c r="Q251" s="4" t="str">
        <f t="shared" si="53"/>
        <v>Kolkata</v>
      </c>
      <c r="R251" s="4" t="b">
        <f t="shared" si="54"/>
        <v>1</v>
      </c>
      <c r="S251" s="5" t="str">
        <f t="shared" si="55"/>
        <v>46039</v>
      </c>
      <c r="T251" s="4" t="str">
        <f t="shared" si="56"/>
        <v>Government</v>
      </c>
      <c r="U251" s="4" t="str">
        <f t="shared" si="57"/>
        <v>Slow</v>
      </c>
      <c r="V251" s="4">
        <f t="shared" si="58"/>
        <v>2026</v>
      </c>
      <c r="W251" s="4" t="str">
        <f t="shared" si="59"/>
        <v>Germany</v>
      </c>
    </row>
    <row r="252" spans="1:23" x14ac:dyDescent="0.25">
      <c r="A252" t="s">
        <v>411</v>
      </c>
      <c r="B252" t="s">
        <v>70</v>
      </c>
      <c r="C252" t="s">
        <v>14</v>
      </c>
      <c r="D252" t="s">
        <v>48</v>
      </c>
      <c r="E252" t="s">
        <v>24</v>
      </c>
      <c r="F252" s="1">
        <v>45998</v>
      </c>
      <c r="G252">
        <v>4816.03</v>
      </c>
      <c r="H252">
        <v>53766.34</v>
      </c>
      <c r="I252" t="str">
        <f t="shared" si="45"/>
        <v>Delhi</v>
      </c>
      <c r="J252" t="str">
        <f t="shared" si="46"/>
        <v>Delhi</v>
      </c>
      <c r="K252" t="str">
        <f t="shared" si="47"/>
        <v>Charge Point</v>
      </c>
      <c r="L252" s="4" t="str">
        <f t="shared" si="48"/>
        <v>Charge Point</v>
      </c>
      <c r="M252" s="4" t="str">
        <f t="shared" si="49"/>
        <v>Bharat Dc-001</v>
      </c>
      <c r="N252" s="4" t="str">
        <f t="shared" si="50"/>
        <v>Bharat Dc-001</v>
      </c>
      <c r="O252" s="4" t="str">
        <f t="shared" si="51"/>
        <v>Active</v>
      </c>
      <c r="P252" s="4" t="str">
        <f t="shared" si="52"/>
        <v>Active</v>
      </c>
      <c r="Q252" s="4" t="str">
        <f t="shared" si="53"/>
        <v>Delhi</v>
      </c>
      <c r="R252" s="4" t="b">
        <f t="shared" si="54"/>
        <v>1</v>
      </c>
      <c r="S252" s="5" t="str">
        <f t="shared" si="55"/>
        <v>45998</v>
      </c>
      <c r="T252" s="4" t="str">
        <f t="shared" si="56"/>
        <v>Private</v>
      </c>
      <c r="U252" s="4" t="str">
        <f t="shared" si="57"/>
        <v>fast</v>
      </c>
      <c r="V252" s="4">
        <f t="shared" si="58"/>
        <v>2025</v>
      </c>
      <c r="W252" s="4" t="str">
        <f t="shared" si="59"/>
        <v>India</v>
      </c>
    </row>
    <row r="253" spans="1:23" x14ac:dyDescent="0.25">
      <c r="A253" t="s">
        <v>412</v>
      </c>
      <c r="B253" t="s">
        <v>13</v>
      </c>
      <c r="C253" t="s">
        <v>63</v>
      </c>
      <c r="D253" t="s">
        <v>48</v>
      </c>
      <c r="E253" t="s">
        <v>31</v>
      </c>
      <c r="F253" s="1">
        <v>45497</v>
      </c>
      <c r="G253">
        <v>2830.26</v>
      </c>
      <c r="H253">
        <v>27031.38</v>
      </c>
      <c r="I253" t="str">
        <f t="shared" si="45"/>
        <v>Bengaluru</v>
      </c>
      <c r="J253" t="str">
        <f t="shared" si="46"/>
        <v>Bengaluru</v>
      </c>
      <c r="K253" t="str">
        <f t="shared" si="47"/>
        <v>Tata Power</v>
      </c>
      <c r="L253" s="4" t="str">
        <f t="shared" si="48"/>
        <v>Tata Power</v>
      </c>
      <c r="M253" s="4" t="str">
        <f t="shared" si="49"/>
        <v>Bharat Dc-001</v>
      </c>
      <c r="N253" s="4" t="str">
        <f t="shared" si="50"/>
        <v>Bharat Dc-001</v>
      </c>
      <c r="O253" s="4" t="str">
        <f t="shared" si="51"/>
        <v>Maintenance</v>
      </c>
      <c r="P253" s="4" t="str">
        <f t="shared" si="52"/>
        <v>Maintenance</v>
      </c>
      <c r="Q253" s="4" t="str">
        <f t="shared" si="53"/>
        <v>Bengaluru</v>
      </c>
      <c r="R253" s="4" t="b">
        <f t="shared" si="54"/>
        <v>1</v>
      </c>
      <c r="S253" s="5" t="str">
        <f t="shared" si="55"/>
        <v>45497</v>
      </c>
      <c r="T253" s="4" t="str">
        <f t="shared" si="56"/>
        <v>Government</v>
      </c>
      <c r="U253" s="4" t="str">
        <f t="shared" si="57"/>
        <v>fast</v>
      </c>
      <c r="V253" s="4">
        <f t="shared" si="58"/>
        <v>2024</v>
      </c>
      <c r="W253" s="4" t="str">
        <f t="shared" si="59"/>
        <v>India</v>
      </c>
    </row>
    <row r="254" spans="1:23" x14ac:dyDescent="0.25">
      <c r="A254" t="s">
        <v>414</v>
      </c>
      <c r="B254" t="s">
        <v>46</v>
      </c>
      <c r="C254" t="s">
        <v>63</v>
      </c>
      <c r="D254" t="s">
        <v>56</v>
      </c>
      <c r="E254" t="s">
        <v>24</v>
      </c>
      <c r="F254" s="1">
        <v>46022</v>
      </c>
      <c r="G254">
        <v>2780.79</v>
      </c>
      <c r="H254">
        <v>34219.699999999997</v>
      </c>
      <c r="I254" t="str">
        <f t="shared" si="45"/>
        <v>Kolkata</v>
      </c>
      <c r="J254" t="str">
        <f t="shared" si="46"/>
        <v>Kolkata</v>
      </c>
      <c r="K254" t="str">
        <f t="shared" si="47"/>
        <v>Tata Power</v>
      </c>
      <c r="L254" s="4" t="str">
        <f t="shared" si="48"/>
        <v>Tata Power</v>
      </c>
      <c r="M254" s="4" t="str">
        <f t="shared" si="49"/>
        <v>Ccs2</v>
      </c>
      <c r="N254" s="4" t="str">
        <f t="shared" si="50"/>
        <v>Ccs2</v>
      </c>
      <c r="O254" s="4" t="str">
        <f t="shared" si="51"/>
        <v>Active</v>
      </c>
      <c r="P254" s="4" t="str">
        <f t="shared" si="52"/>
        <v>Active</v>
      </c>
      <c r="Q254" s="4" t="str">
        <f t="shared" si="53"/>
        <v>Kolkata</v>
      </c>
      <c r="R254" s="4" t="b">
        <f t="shared" si="54"/>
        <v>1</v>
      </c>
      <c r="S254" s="5" t="str">
        <f t="shared" si="55"/>
        <v>46022</v>
      </c>
      <c r="T254" s="4" t="str">
        <f t="shared" si="56"/>
        <v>Government</v>
      </c>
      <c r="U254" s="4" t="str">
        <f t="shared" si="57"/>
        <v>Ultra Fast</v>
      </c>
      <c r="V254" s="4">
        <f t="shared" si="58"/>
        <v>2025</v>
      </c>
      <c r="W254" s="4" t="str">
        <f t="shared" si="59"/>
        <v>Europe</v>
      </c>
    </row>
    <row r="255" spans="1:23" x14ac:dyDescent="0.25">
      <c r="A255" t="s">
        <v>416</v>
      </c>
      <c r="B255" t="s">
        <v>70</v>
      </c>
      <c r="C255" t="s">
        <v>36</v>
      </c>
      <c r="D255" t="s">
        <v>26</v>
      </c>
      <c r="E255" t="s">
        <v>24</v>
      </c>
      <c r="F255" s="1">
        <v>45611</v>
      </c>
      <c r="G255">
        <v>7309.13</v>
      </c>
      <c r="H255">
        <v>95681.64</v>
      </c>
      <c r="I255" t="str">
        <f t="shared" si="45"/>
        <v>Delhi</v>
      </c>
      <c r="J255" t="str">
        <f t="shared" si="46"/>
        <v>Delhi</v>
      </c>
      <c r="K255" t="str">
        <f t="shared" si="47"/>
        <v>Zeon Charging</v>
      </c>
      <c r="L255" s="4" t="str">
        <f t="shared" si="48"/>
        <v>Zeon Charging</v>
      </c>
      <c r="M255" s="4" t="str">
        <f t="shared" si="49"/>
        <v>Chademo</v>
      </c>
      <c r="N255" s="4" t="str">
        <f t="shared" si="50"/>
        <v>Chademo</v>
      </c>
      <c r="O255" s="4" t="str">
        <f t="shared" si="51"/>
        <v>Active</v>
      </c>
      <c r="P255" s="4" t="str">
        <f t="shared" si="52"/>
        <v>Active</v>
      </c>
      <c r="Q255" s="4" t="str">
        <f t="shared" si="53"/>
        <v>Delhi</v>
      </c>
      <c r="R255" s="4" t="b">
        <f t="shared" si="54"/>
        <v>1</v>
      </c>
      <c r="S255" s="5" t="str">
        <f t="shared" si="55"/>
        <v>45611</v>
      </c>
      <c r="T255" s="4" t="str">
        <f t="shared" si="56"/>
        <v>Private</v>
      </c>
      <c r="U255" s="4" t="str">
        <f t="shared" si="57"/>
        <v>fast</v>
      </c>
      <c r="V255" s="4">
        <f t="shared" si="58"/>
        <v>2024</v>
      </c>
      <c r="W255" s="4" t="str">
        <f t="shared" si="59"/>
        <v>Japan</v>
      </c>
    </row>
    <row r="256" spans="1:23" x14ac:dyDescent="0.25">
      <c r="A256" t="s">
        <v>418</v>
      </c>
      <c r="B256" t="s">
        <v>40</v>
      </c>
      <c r="C256" t="s">
        <v>63</v>
      </c>
      <c r="D256" t="s">
        <v>17</v>
      </c>
      <c r="E256" t="s">
        <v>24</v>
      </c>
      <c r="F256" s="1">
        <v>45700</v>
      </c>
      <c r="G256">
        <v>10051.57</v>
      </c>
      <c r="H256">
        <v>144353.23000000001</v>
      </c>
      <c r="I256" t="str">
        <f t="shared" si="45"/>
        <v>Mumbai</v>
      </c>
      <c r="J256" t="str">
        <f t="shared" si="46"/>
        <v>Mumbai</v>
      </c>
      <c r="K256" t="str">
        <f t="shared" si="47"/>
        <v>Tata Power</v>
      </c>
      <c r="L256" s="4" t="str">
        <f t="shared" si="48"/>
        <v>Tata Power</v>
      </c>
      <c r="M256" s="4" t="str">
        <f t="shared" si="49"/>
        <v>Type2 Ac</v>
      </c>
      <c r="N256" s="4" t="str">
        <f t="shared" si="50"/>
        <v>Type2 Ac</v>
      </c>
      <c r="O256" s="4" t="str">
        <f t="shared" si="51"/>
        <v>Active</v>
      </c>
      <c r="P256" s="4" t="str">
        <f t="shared" si="52"/>
        <v>Active</v>
      </c>
      <c r="Q256" s="4" t="str">
        <f t="shared" si="53"/>
        <v>Mumbai</v>
      </c>
      <c r="R256" s="4" t="b">
        <f t="shared" si="54"/>
        <v>1</v>
      </c>
      <c r="S256" s="5" t="str">
        <f t="shared" si="55"/>
        <v>45700</v>
      </c>
      <c r="T256" s="4" t="str">
        <f t="shared" si="56"/>
        <v>Government</v>
      </c>
      <c r="U256" s="4" t="str">
        <f t="shared" si="57"/>
        <v>Slow</v>
      </c>
      <c r="V256" s="4">
        <f t="shared" si="58"/>
        <v>2025</v>
      </c>
      <c r="W256" s="4" t="str">
        <f t="shared" si="59"/>
        <v>Germany</v>
      </c>
    </row>
    <row r="257" spans="1:23" x14ac:dyDescent="0.25">
      <c r="A257" t="s">
        <v>419</v>
      </c>
      <c r="B257" t="s">
        <v>35</v>
      </c>
      <c r="C257" t="s">
        <v>41</v>
      </c>
      <c r="D257" t="s">
        <v>56</v>
      </c>
      <c r="E257" t="s">
        <v>15</v>
      </c>
      <c r="F257" s="1">
        <v>45979</v>
      </c>
      <c r="G257">
        <v>48.57</v>
      </c>
      <c r="H257">
        <v>612.58000000000004</v>
      </c>
      <c r="I257" t="str">
        <f t="shared" si="45"/>
        <v>Chennai</v>
      </c>
      <c r="J257" t="str">
        <f t="shared" si="46"/>
        <v>Chennai</v>
      </c>
      <c r="K257" t="str">
        <f t="shared" si="47"/>
        <v>Ather Grid</v>
      </c>
      <c r="L257" s="4" t="str">
        <f t="shared" si="48"/>
        <v>Ather Grid</v>
      </c>
      <c r="M257" s="4" t="str">
        <f t="shared" si="49"/>
        <v>Ccs2</v>
      </c>
      <c r="N257" s="4" t="str">
        <f t="shared" si="50"/>
        <v>Ccs2</v>
      </c>
      <c r="O257" s="4" t="str">
        <f t="shared" si="51"/>
        <v>Decommissioned</v>
      </c>
      <c r="P257" s="4" t="str">
        <f t="shared" si="52"/>
        <v>Decommissioned</v>
      </c>
      <c r="Q257" s="4" t="str">
        <f t="shared" si="53"/>
        <v>Chennai</v>
      </c>
      <c r="R257" s="4" t="b">
        <f t="shared" si="54"/>
        <v>1</v>
      </c>
      <c r="S257" s="5" t="str">
        <f t="shared" si="55"/>
        <v>45979</v>
      </c>
      <c r="T257" s="4" t="str">
        <f t="shared" si="56"/>
        <v>Private</v>
      </c>
      <c r="U257" s="4" t="str">
        <f t="shared" si="57"/>
        <v>Ultra Fast</v>
      </c>
      <c r="V257" s="4">
        <f t="shared" si="58"/>
        <v>2025</v>
      </c>
      <c r="W257" s="4" t="str">
        <f t="shared" si="59"/>
        <v>Europe</v>
      </c>
    </row>
    <row r="258" spans="1:23" x14ac:dyDescent="0.25">
      <c r="A258" t="s">
        <v>421</v>
      </c>
      <c r="B258" t="s">
        <v>23</v>
      </c>
      <c r="C258" t="s">
        <v>63</v>
      </c>
      <c r="D258" t="s">
        <v>17</v>
      </c>
      <c r="E258" t="s">
        <v>24</v>
      </c>
      <c r="F258" s="1">
        <v>45957</v>
      </c>
      <c r="G258">
        <v>8517.7199999999993</v>
      </c>
      <c r="H258">
        <v>86126.18</v>
      </c>
      <c r="I258" t="str">
        <f t="shared" ref="I258:I321" si="60">PROPER(B258)</f>
        <v>Ahemdabad</v>
      </c>
      <c r="J258" t="str">
        <f t="shared" ref="J258:J321" si="61">TRIM(I258)</f>
        <v>Ahemdabad</v>
      </c>
      <c r="K258" t="str">
        <f t="shared" ref="K258:K321" si="62">PROPER(C258)</f>
        <v>Tata Power</v>
      </c>
      <c r="L258" s="4" t="str">
        <f t="shared" ref="L258:L321" si="63">TRIM(K258)</f>
        <v>Tata Power</v>
      </c>
      <c r="M258" s="4" t="str">
        <f t="shared" ref="M258:M321" si="64">PROPER(D258)</f>
        <v>Type2 Ac</v>
      </c>
      <c r="N258" s="4" t="str">
        <f t="shared" ref="N258:N321" si="65">TRIM(M258)</f>
        <v>Type2 Ac</v>
      </c>
      <c r="O258" s="4" t="str">
        <f t="shared" ref="O258:O321" si="66">PROPER(E258)</f>
        <v>Active</v>
      </c>
      <c r="P258" s="4" t="str">
        <f t="shared" ref="P258:P321" si="67">TRIM(O258)</f>
        <v>Active</v>
      </c>
      <c r="Q258" s="4" t="str">
        <f t="shared" ref="Q258:Q321" si="68">IF(TRIM(I257)=" ","Mumbai",I258)</f>
        <v>Ahemdabad</v>
      </c>
      <c r="R258" s="4" t="b">
        <f t="shared" ref="R258:R321" si="69">ISNUMBER(F258)</f>
        <v>1</v>
      </c>
      <c r="S258" s="5" t="str">
        <f t="shared" ref="S258:S321" si="70">TRIM(F258)</f>
        <v>45957</v>
      </c>
      <c r="T258" s="4" t="str">
        <f t="shared" ref="T258:T321" si="71">IF(L258="Tata Power","Government",IF(L258="Bpcl","Government","Private"))</f>
        <v>Government</v>
      </c>
      <c r="U258" s="4" t="str">
        <f t="shared" ref="U258:U321" si="72">IF(N258="Type2 Ac","Slow",IF(N258="Ccs2","Ultra Fast","fast"))</f>
        <v>Slow</v>
      </c>
      <c r="V258" s="4">
        <f t="shared" ref="V258:V321" si="73">YEAR(F258)</f>
        <v>2025</v>
      </c>
      <c r="W258" s="4" t="str">
        <f t="shared" ref="W258:W321" si="74">IF(N258="Type2 Ac","Germany",IF(N258="Chademo","Japan",IF(N258="Ccs2","Europe","India")))</f>
        <v>Germany</v>
      </c>
    </row>
    <row r="259" spans="1:23" x14ac:dyDescent="0.25">
      <c r="A259" t="s">
        <v>422</v>
      </c>
      <c r="B259" t="s">
        <v>779</v>
      </c>
      <c r="C259" t="s">
        <v>36</v>
      </c>
      <c r="D259" t="s">
        <v>48</v>
      </c>
      <c r="E259" t="s">
        <v>24</v>
      </c>
      <c r="F259" s="1">
        <v>45674</v>
      </c>
      <c r="G259">
        <v>3968.2</v>
      </c>
      <c r="H259">
        <v>49615.93</v>
      </c>
      <c r="I259" t="str">
        <f t="shared" si="60"/>
        <v>Hyderabad</v>
      </c>
      <c r="J259" t="str">
        <f t="shared" si="61"/>
        <v>Hyderabad</v>
      </c>
      <c r="K259" t="str">
        <f t="shared" si="62"/>
        <v>Zeon Charging</v>
      </c>
      <c r="L259" s="4" t="str">
        <f t="shared" si="63"/>
        <v>Zeon Charging</v>
      </c>
      <c r="M259" s="4" t="str">
        <f t="shared" si="64"/>
        <v>Bharat Dc-001</v>
      </c>
      <c r="N259" s="4" t="str">
        <f t="shared" si="65"/>
        <v>Bharat Dc-001</v>
      </c>
      <c r="O259" s="4" t="str">
        <f t="shared" si="66"/>
        <v>Active</v>
      </c>
      <c r="P259" s="4" t="str">
        <f t="shared" si="67"/>
        <v>Active</v>
      </c>
      <c r="Q259" s="4" t="str">
        <f t="shared" si="68"/>
        <v>Hyderabad</v>
      </c>
      <c r="R259" s="4" t="b">
        <f t="shared" si="69"/>
        <v>1</v>
      </c>
      <c r="S259" s="5" t="str">
        <f t="shared" si="70"/>
        <v>45674</v>
      </c>
      <c r="T259" s="4" t="str">
        <f t="shared" si="71"/>
        <v>Private</v>
      </c>
      <c r="U259" s="4" t="str">
        <f t="shared" si="72"/>
        <v>fast</v>
      </c>
      <c r="V259" s="4">
        <f t="shared" si="73"/>
        <v>2025</v>
      </c>
      <c r="W259" s="4" t="str">
        <f t="shared" si="74"/>
        <v>India</v>
      </c>
    </row>
    <row r="260" spans="1:23" x14ac:dyDescent="0.25">
      <c r="A260" t="s">
        <v>423</v>
      </c>
      <c r="B260" t="s">
        <v>35</v>
      </c>
      <c r="C260" t="s">
        <v>63</v>
      </c>
      <c r="D260" t="s">
        <v>26</v>
      </c>
      <c r="E260" t="s">
        <v>24</v>
      </c>
      <c r="F260" s="1">
        <v>45740</v>
      </c>
      <c r="G260">
        <v>8368.98</v>
      </c>
      <c r="H260">
        <v>68776.73</v>
      </c>
      <c r="I260" t="str">
        <f t="shared" si="60"/>
        <v>Chennai</v>
      </c>
      <c r="J260" t="str">
        <f t="shared" si="61"/>
        <v>Chennai</v>
      </c>
      <c r="K260" t="str">
        <f t="shared" si="62"/>
        <v>Tata Power</v>
      </c>
      <c r="L260" s="4" t="str">
        <f t="shared" si="63"/>
        <v>Tata Power</v>
      </c>
      <c r="M260" s="4" t="str">
        <f t="shared" si="64"/>
        <v>Chademo</v>
      </c>
      <c r="N260" s="4" t="str">
        <f t="shared" si="65"/>
        <v>Chademo</v>
      </c>
      <c r="O260" s="4" t="str">
        <f t="shared" si="66"/>
        <v>Active</v>
      </c>
      <c r="P260" s="4" t="str">
        <f t="shared" si="67"/>
        <v>Active</v>
      </c>
      <c r="Q260" s="4" t="str">
        <f t="shared" si="68"/>
        <v>Chennai</v>
      </c>
      <c r="R260" s="4" t="b">
        <f t="shared" si="69"/>
        <v>1</v>
      </c>
      <c r="S260" s="5" t="str">
        <f t="shared" si="70"/>
        <v>45740</v>
      </c>
      <c r="T260" s="4" t="str">
        <f t="shared" si="71"/>
        <v>Government</v>
      </c>
      <c r="U260" s="4" t="str">
        <f t="shared" si="72"/>
        <v>fast</v>
      </c>
      <c r="V260" s="4">
        <f t="shared" si="73"/>
        <v>2025</v>
      </c>
      <c r="W260" s="4" t="str">
        <f t="shared" si="74"/>
        <v>Japan</v>
      </c>
    </row>
    <row r="261" spans="1:23" x14ac:dyDescent="0.25">
      <c r="A261" t="s">
        <v>425</v>
      </c>
      <c r="B261" t="s">
        <v>40</v>
      </c>
      <c r="C261" t="s">
        <v>41</v>
      </c>
      <c r="D261" t="s">
        <v>17</v>
      </c>
      <c r="E261" t="s">
        <v>24</v>
      </c>
      <c r="F261" s="1">
        <v>45821</v>
      </c>
      <c r="G261">
        <v>9763.57</v>
      </c>
      <c r="H261">
        <v>146356.96</v>
      </c>
      <c r="I261" t="str">
        <f t="shared" si="60"/>
        <v>Mumbai</v>
      </c>
      <c r="J261" t="str">
        <f t="shared" si="61"/>
        <v>Mumbai</v>
      </c>
      <c r="K261" t="str">
        <f t="shared" si="62"/>
        <v>Ather Grid</v>
      </c>
      <c r="L261" s="4" t="str">
        <f t="shared" si="63"/>
        <v>Ather Grid</v>
      </c>
      <c r="M261" s="4" t="str">
        <f t="shared" si="64"/>
        <v>Type2 Ac</v>
      </c>
      <c r="N261" s="4" t="str">
        <f t="shared" si="65"/>
        <v>Type2 Ac</v>
      </c>
      <c r="O261" s="4" t="str">
        <f t="shared" si="66"/>
        <v>Active</v>
      </c>
      <c r="P261" s="4" t="str">
        <f t="shared" si="67"/>
        <v>Active</v>
      </c>
      <c r="Q261" s="4" t="str">
        <f t="shared" si="68"/>
        <v>Mumbai</v>
      </c>
      <c r="R261" s="4" t="b">
        <f t="shared" si="69"/>
        <v>1</v>
      </c>
      <c r="S261" s="5" t="str">
        <f t="shared" si="70"/>
        <v>45821</v>
      </c>
      <c r="T261" s="4" t="str">
        <f t="shared" si="71"/>
        <v>Private</v>
      </c>
      <c r="U261" s="4" t="str">
        <f t="shared" si="72"/>
        <v>Slow</v>
      </c>
      <c r="V261" s="4">
        <f t="shared" si="73"/>
        <v>2025</v>
      </c>
      <c r="W261" s="4" t="str">
        <f t="shared" si="74"/>
        <v>Germany</v>
      </c>
    </row>
    <row r="262" spans="1:23" x14ac:dyDescent="0.25">
      <c r="A262" t="s">
        <v>427</v>
      </c>
      <c r="B262" t="s">
        <v>35</v>
      </c>
      <c r="C262" t="s">
        <v>14</v>
      </c>
      <c r="D262" t="s">
        <v>17</v>
      </c>
      <c r="E262" t="s">
        <v>763</v>
      </c>
      <c r="F262" s="1">
        <v>45754</v>
      </c>
      <c r="G262">
        <v>9656.61</v>
      </c>
      <c r="H262">
        <v>134527.1</v>
      </c>
      <c r="I262" t="str">
        <f t="shared" si="60"/>
        <v>Chennai</v>
      </c>
      <c r="J262" t="str">
        <f t="shared" si="61"/>
        <v>Chennai</v>
      </c>
      <c r="K262" t="str">
        <f t="shared" si="62"/>
        <v>Charge Point</v>
      </c>
      <c r="L262" s="4" t="str">
        <f t="shared" si="63"/>
        <v>Charge Point</v>
      </c>
      <c r="M262" s="4" t="str">
        <f t="shared" si="64"/>
        <v>Type2 Ac</v>
      </c>
      <c r="N262" s="4" t="str">
        <f t="shared" si="65"/>
        <v>Type2 Ac</v>
      </c>
      <c r="O262" s="4" t="str">
        <f t="shared" si="66"/>
        <v>Active</v>
      </c>
      <c r="P262" s="4" t="str">
        <f t="shared" si="67"/>
        <v>Active</v>
      </c>
      <c r="Q262" s="4" t="str">
        <f t="shared" si="68"/>
        <v>Chennai</v>
      </c>
      <c r="R262" s="4" t="b">
        <f t="shared" si="69"/>
        <v>1</v>
      </c>
      <c r="S262" s="5" t="str">
        <f t="shared" si="70"/>
        <v>45754</v>
      </c>
      <c r="T262" s="4" t="str">
        <f t="shared" si="71"/>
        <v>Private</v>
      </c>
      <c r="U262" s="4" t="str">
        <f t="shared" si="72"/>
        <v>Slow</v>
      </c>
      <c r="V262" s="4">
        <f t="shared" si="73"/>
        <v>2025</v>
      </c>
      <c r="W262" s="4" t="str">
        <f t="shared" si="74"/>
        <v>Germany</v>
      </c>
    </row>
    <row r="263" spans="1:23" x14ac:dyDescent="0.25">
      <c r="A263" t="s">
        <v>428</v>
      </c>
      <c r="B263" t="s">
        <v>23</v>
      </c>
      <c r="C263" t="s">
        <v>36</v>
      </c>
      <c r="D263" t="s">
        <v>48</v>
      </c>
      <c r="E263" t="s">
        <v>24</v>
      </c>
      <c r="F263" s="1">
        <v>45415</v>
      </c>
      <c r="G263">
        <v>7008.22</v>
      </c>
      <c r="H263">
        <v>76977.7</v>
      </c>
      <c r="I263" t="str">
        <f t="shared" si="60"/>
        <v>Ahemdabad</v>
      </c>
      <c r="J263" t="str">
        <f t="shared" si="61"/>
        <v>Ahemdabad</v>
      </c>
      <c r="K263" t="str">
        <f t="shared" si="62"/>
        <v>Zeon Charging</v>
      </c>
      <c r="L263" s="4" t="str">
        <f t="shared" si="63"/>
        <v>Zeon Charging</v>
      </c>
      <c r="M263" s="4" t="str">
        <f t="shared" si="64"/>
        <v>Bharat Dc-001</v>
      </c>
      <c r="N263" s="4" t="str">
        <f t="shared" si="65"/>
        <v>Bharat Dc-001</v>
      </c>
      <c r="O263" s="4" t="str">
        <f t="shared" si="66"/>
        <v>Active</v>
      </c>
      <c r="P263" s="4" t="str">
        <f t="shared" si="67"/>
        <v>Active</v>
      </c>
      <c r="Q263" s="4" t="str">
        <f t="shared" si="68"/>
        <v>Ahemdabad</v>
      </c>
      <c r="R263" s="4" t="b">
        <f t="shared" si="69"/>
        <v>1</v>
      </c>
      <c r="S263" s="5" t="str">
        <f t="shared" si="70"/>
        <v>45415</v>
      </c>
      <c r="T263" s="4" t="str">
        <f t="shared" si="71"/>
        <v>Private</v>
      </c>
      <c r="U263" s="4" t="str">
        <f t="shared" si="72"/>
        <v>fast</v>
      </c>
      <c r="V263" s="4">
        <f t="shared" si="73"/>
        <v>2024</v>
      </c>
      <c r="W263" s="4" t="str">
        <f t="shared" si="74"/>
        <v>India</v>
      </c>
    </row>
    <row r="264" spans="1:23" x14ac:dyDescent="0.25">
      <c r="A264" t="s">
        <v>429</v>
      </c>
      <c r="B264" t="s">
        <v>40</v>
      </c>
      <c r="C264" t="s">
        <v>14</v>
      </c>
      <c r="D264" t="s">
        <v>17</v>
      </c>
      <c r="E264" t="s">
        <v>24</v>
      </c>
      <c r="F264" s="1">
        <v>45545</v>
      </c>
      <c r="G264">
        <v>972.29</v>
      </c>
      <c r="H264">
        <v>8513.11</v>
      </c>
      <c r="I264" t="str">
        <f t="shared" si="60"/>
        <v>Mumbai</v>
      </c>
      <c r="J264" t="str">
        <f t="shared" si="61"/>
        <v>Mumbai</v>
      </c>
      <c r="K264" t="str">
        <f t="shared" si="62"/>
        <v>Charge Point</v>
      </c>
      <c r="L264" s="4" t="str">
        <f t="shared" si="63"/>
        <v>Charge Point</v>
      </c>
      <c r="M264" s="4" t="str">
        <f t="shared" si="64"/>
        <v>Type2 Ac</v>
      </c>
      <c r="N264" s="4" t="str">
        <f t="shared" si="65"/>
        <v>Type2 Ac</v>
      </c>
      <c r="O264" s="4" t="str">
        <f t="shared" si="66"/>
        <v>Active</v>
      </c>
      <c r="P264" s="4" t="str">
        <f t="shared" si="67"/>
        <v>Active</v>
      </c>
      <c r="Q264" s="4" t="str">
        <f t="shared" si="68"/>
        <v>Mumbai</v>
      </c>
      <c r="R264" s="4" t="b">
        <f t="shared" si="69"/>
        <v>1</v>
      </c>
      <c r="S264" s="5" t="str">
        <f t="shared" si="70"/>
        <v>45545</v>
      </c>
      <c r="T264" s="4" t="str">
        <f t="shared" si="71"/>
        <v>Private</v>
      </c>
      <c r="U264" s="4" t="str">
        <f t="shared" si="72"/>
        <v>Slow</v>
      </c>
      <c r="V264" s="4">
        <f t="shared" si="73"/>
        <v>2024</v>
      </c>
      <c r="W264" s="4" t="str">
        <f t="shared" si="74"/>
        <v>Germany</v>
      </c>
    </row>
    <row r="265" spans="1:23" x14ac:dyDescent="0.25">
      <c r="A265" t="s">
        <v>430</v>
      </c>
      <c r="B265" t="s">
        <v>35</v>
      </c>
      <c r="C265" t="s">
        <v>14</v>
      </c>
      <c r="D265" t="s">
        <v>17</v>
      </c>
      <c r="E265" t="s">
        <v>24</v>
      </c>
      <c r="F265" s="1">
        <v>45522</v>
      </c>
      <c r="G265">
        <v>6626.57</v>
      </c>
      <c r="H265">
        <v>86058</v>
      </c>
      <c r="I265" t="str">
        <f t="shared" si="60"/>
        <v>Chennai</v>
      </c>
      <c r="J265" t="str">
        <f t="shared" si="61"/>
        <v>Chennai</v>
      </c>
      <c r="K265" t="str">
        <f t="shared" si="62"/>
        <v>Charge Point</v>
      </c>
      <c r="L265" s="4" t="str">
        <f t="shared" si="63"/>
        <v>Charge Point</v>
      </c>
      <c r="M265" s="4" t="str">
        <f t="shared" si="64"/>
        <v>Type2 Ac</v>
      </c>
      <c r="N265" s="4" t="str">
        <f t="shared" si="65"/>
        <v>Type2 Ac</v>
      </c>
      <c r="O265" s="4" t="str">
        <f t="shared" si="66"/>
        <v>Active</v>
      </c>
      <c r="P265" s="4" t="str">
        <f t="shared" si="67"/>
        <v>Active</v>
      </c>
      <c r="Q265" s="4" t="str">
        <f t="shared" si="68"/>
        <v>Chennai</v>
      </c>
      <c r="R265" s="4" t="b">
        <f t="shared" si="69"/>
        <v>1</v>
      </c>
      <c r="S265" s="5" t="str">
        <f t="shared" si="70"/>
        <v>45522</v>
      </c>
      <c r="T265" s="4" t="str">
        <f t="shared" si="71"/>
        <v>Private</v>
      </c>
      <c r="U265" s="4" t="str">
        <f t="shared" si="72"/>
        <v>Slow</v>
      </c>
      <c r="V265" s="4">
        <f t="shared" si="73"/>
        <v>2024</v>
      </c>
      <c r="W265" s="4" t="str">
        <f t="shared" si="74"/>
        <v>Germany</v>
      </c>
    </row>
    <row r="266" spans="1:23" x14ac:dyDescent="0.25">
      <c r="A266" t="s">
        <v>432</v>
      </c>
      <c r="B266" t="s">
        <v>46</v>
      </c>
      <c r="C266" t="s">
        <v>14</v>
      </c>
      <c r="D266" t="s">
        <v>48</v>
      </c>
      <c r="E266" t="s">
        <v>24</v>
      </c>
      <c r="F266" s="1">
        <v>45357</v>
      </c>
      <c r="G266">
        <v>8107.5</v>
      </c>
      <c r="H266">
        <v>90033.27</v>
      </c>
      <c r="I266" t="str">
        <f t="shared" si="60"/>
        <v>Kolkata</v>
      </c>
      <c r="J266" t="str">
        <f t="shared" si="61"/>
        <v>Kolkata</v>
      </c>
      <c r="K266" t="str">
        <f t="shared" si="62"/>
        <v>Charge Point</v>
      </c>
      <c r="L266" s="4" t="str">
        <f t="shared" si="63"/>
        <v>Charge Point</v>
      </c>
      <c r="M266" s="4" t="str">
        <f t="shared" si="64"/>
        <v>Bharat Dc-001</v>
      </c>
      <c r="N266" s="4" t="str">
        <f t="shared" si="65"/>
        <v>Bharat Dc-001</v>
      </c>
      <c r="O266" s="4" t="str">
        <f t="shared" si="66"/>
        <v>Active</v>
      </c>
      <c r="P266" s="4" t="str">
        <f t="shared" si="67"/>
        <v>Active</v>
      </c>
      <c r="Q266" s="4" t="str">
        <f t="shared" si="68"/>
        <v>Kolkata</v>
      </c>
      <c r="R266" s="4" t="b">
        <f t="shared" si="69"/>
        <v>1</v>
      </c>
      <c r="S266" s="5" t="str">
        <f t="shared" si="70"/>
        <v>45357</v>
      </c>
      <c r="T266" s="4" t="str">
        <f t="shared" si="71"/>
        <v>Private</v>
      </c>
      <c r="U266" s="4" t="str">
        <f t="shared" si="72"/>
        <v>fast</v>
      </c>
      <c r="V266" s="4">
        <f t="shared" si="73"/>
        <v>2024</v>
      </c>
      <c r="W266" s="4" t="str">
        <f t="shared" si="74"/>
        <v>India</v>
      </c>
    </row>
    <row r="267" spans="1:23" x14ac:dyDescent="0.25">
      <c r="A267" t="s">
        <v>433</v>
      </c>
      <c r="B267" t="s">
        <v>30</v>
      </c>
      <c r="C267" t="s">
        <v>764</v>
      </c>
      <c r="D267" t="s">
        <v>56</v>
      </c>
      <c r="E267" t="s">
        <v>54</v>
      </c>
      <c r="F267" s="1">
        <v>45638</v>
      </c>
      <c r="G267">
        <v>34.479999999999997</v>
      </c>
      <c r="H267">
        <v>492.89</v>
      </c>
      <c r="I267" t="str">
        <f t="shared" si="60"/>
        <v>Hyderabad</v>
      </c>
      <c r="J267" t="str">
        <f t="shared" si="61"/>
        <v>Hyderabad</v>
      </c>
      <c r="K267" t="str">
        <f t="shared" si="62"/>
        <v>Bpcl</v>
      </c>
      <c r="L267" s="4" t="str">
        <f t="shared" si="63"/>
        <v>Bpcl</v>
      </c>
      <c r="M267" s="4" t="str">
        <f t="shared" si="64"/>
        <v>Ccs2</v>
      </c>
      <c r="N267" s="4" t="str">
        <f t="shared" si="65"/>
        <v>Ccs2</v>
      </c>
      <c r="O267" s="4" t="str">
        <f t="shared" si="66"/>
        <v>Inactive</v>
      </c>
      <c r="P267" s="4" t="str">
        <f t="shared" si="67"/>
        <v>Inactive</v>
      </c>
      <c r="Q267" s="4" t="str">
        <f t="shared" si="68"/>
        <v>Hyderabad</v>
      </c>
      <c r="R267" s="4" t="b">
        <f t="shared" si="69"/>
        <v>1</v>
      </c>
      <c r="S267" s="5" t="str">
        <f t="shared" si="70"/>
        <v>45638</v>
      </c>
      <c r="T267" s="4" t="str">
        <f t="shared" si="71"/>
        <v>Government</v>
      </c>
      <c r="U267" s="4" t="str">
        <f t="shared" si="72"/>
        <v>Ultra Fast</v>
      </c>
      <c r="V267" s="4">
        <f t="shared" si="73"/>
        <v>2024</v>
      </c>
      <c r="W267" s="4" t="str">
        <f t="shared" si="74"/>
        <v>Europe</v>
      </c>
    </row>
    <row r="268" spans="1:23" x14ac:dyDescent="0.25">
      <c r="A268" t="s">
        <v>434</v>
      </c>
      <c r="C268" t="s">
        <v>764</v>
      </c>
      <c r="D268" t="s">
        <v>48</v>
      </c>
      <c r="E268" t="s">
        <v>24</v>
      </c>
      <c r="F268" s="1">
        <v>45313</v>
      </c>
      <c r="G268">
        <v>7946.75</v>
      </c>
      <c r="H268">
        <v>81492.19</v>
      </c>
      <c r="I268" t="str">
        <f t="shared" si="60"/>
        <v/>
      </c>
      <c r="J268" t="str">
        <f t="shared" si="61"/>
        <v/>
      </c>
      <c r="K268" t="str">
        <f t="shared" si="62"/>
        <v>Bpcl</v>
      </c>
      <c r="L268" s="4" t="str">
        <f t="shared" si="63"/>
        <v>Bpcl</v>
      </c>
      <c r="M268" s="4" t="str">
        <f t="shared" si="64"/>
        <v>Bharat Dc-001</v>
      </c>
      <c r="N268" s="4" t="str">
        <f t="shared" si="65"/>
        <v>Bharat Dc-001</v>
      </c>
      <c r="O268" s="4" t="str">
        <f t="shared" si="66"/>
        <v>Active</v>
      </c>
      <c r="P268" s="4" t="str">
        <f t="shared" si="67"/>
        <v>Active</v>
      </c>
      <c r="Q268" s="4" t="str">
        <f t="shared" si="68"/>
        <v/>
      </c>
      <c r="R268" s="4" t="b">
        <f t="shared" si="69"/>
        <v>1</v>
      </c>
      <c r="S268" s="5" t="str">
        <f t="shared" si="70"/>
        <v>45313</v>
      </c>
      <c r="T268" s="4" t="str">
        <f t="shared" si="71"/>
        <v>Government</v>
      </c>
      <c r="U268" s="4" t="str">
        <f t="shared" si="72"/>
        <v>fast</v>
      </c>
      <c r="V268" s="4">
        <f t="shared" si="73"/>
        <v>2024</v>
      </c>
      <c r="W268" s="4" t="str">
        <f t="shared" si="74"/>
        <v>India</v>
      </c>
    </row>
    <row r="269" spans="1:23" x14ac:dyDescent="0.25">
      <c r="A269" t="s">
        <v>436</v>
      </c>
      <c r="B269" t="s">
        <v>30</v>
      </c>
      <c r="C269" t="s">
        <v>14</v>
      </c>
      <c r="D269" t="s">
        <v>56</v>
      </c>
      <c r="E269" t="s">
        <v>24</v>
      </c>
      <c r="F269" s="1">
        <v>45894</v>
      </c>
      <c r="G269">
        <v>645.5</v>
      </c>
      <c r="H269">
        <v>5834.25</v>
      </c>
      <c r="I269" t="str">
        <f t="shared" si="60"/>
        <v>Hyderabad</v>
      </c>
      <c r="J269" t="str">
        <f t="shared" si="61"/>
        <v>Hyderabad</v>
      </c>
      <c r="K269" t="str">
        <f t="shared" si="62"/>
        <v>Charge Point</v>
      </c>
      <c r="L269" s="4" t="str">
        <f t="shared" si="63"/>
        <v>Charge Point</v>
      </c>
      <c r="M269" s="4" t="str">
        <f t="shared" si="64"/>
        <v>Ccs2</v>
      </c>
      <c r="N269" s="4" t="str">
        <f t="shared" si="65"/>
        <v>Ccs2</v>
      </c>
      <c r="O269" s="4" t="str">
        <f t="shared" si="66"/>
        <v>Active</v>
      </c>
      <c r="P269" s="4" t="str">
        <f t="shared" si="67"/>
        <v>Active</v>
      </c>
      <c r="Q269" s="4" t="str">
        <f t="shared" si="68"/>
        <v>Hyderabad</v>
      </c>
      <c r="R269" s="4" t="b">
        <f t="shared" si="69"/>
        <v>1</v>
      </c>
      <c r="S269" s="5" t="str">
        <f t="shared" si="70"/>
        <v>45894</v>
      </c>
      <c r="T269" s="4" t="str">
        <f t="shared" si="71"/>
        <v>Private</v>
      </c>
      <c r="U269" s="4" t="str">
        <f t="shared" si="72"/>
        <v>Ultra Fast</v>
      </c>
      <c r="V269" s="4">
        <f t="shared" si="73"/>
        <v>2025</v>
      </c>
      <c r="W269" s="4" t="str">
        <f t="shared" si="74"/>
        <v>Europe</v>
      </c>
    </row>
    <row r="270" spans="1:23" x14ac:dyDescent="0.25">
      <c r="A270" t="s">
        <v>438</v>
      </c>
      <c r="B270" t="s">
        <v>70</v>
      </c>
      <c r="C270" t="s">
        <v>36</v>
      </c>
      <c r="D270" t="s">
        <v>26</v>
      </c>
      <c r="E270" t="s">
        <v>54</v>
      </c>
      <c r="F270" s="1">
        <v>45859</v>
      </c>
      <c r="G270">
        <v>210.03</v>
      </c>
      <c r="H270">
        <v>1865.77</v>
      </c>
      <c r="I270" t="str">
        <f t="shared" si="60"/>
        <v>Delhi</v>
      </c>
      <c r="J270" t="str">
        <f t="shared" si="61"/>
        <v>Delhi</v>
      </c>
      <c r="K270" t="str">
        <f t="shared" si="62"/>
        <v>Zeon Charging</v>
      </c>
      <c r="L270" s="4" t="str">
        <f t="shared" si="63"/>
        <v>Zeon Charging</v>
      </c>
      <c r="M270" s="4" t="str">
        <f t="shared" si="64"/>
        <v>Chademo</v>
      </c>
      <c r="N270" s="4" t="str">
        <f t="shared" si="65"/>
        <v>Chademo</v>
      </c>
      <c r="O270" s="4" t="str">
        <f t="shared" si="66"/>
        <v>Inactive</v>
      </c>
      <c r="P270" s="4" t="str">
        <f t="shared" si="67"/>
        <v>Inactive</v>
      </c>
      <c r="Q270" s="4" t="str">
        <f t="shared" si="68"/>
        <v>Delhi</v>
      </c>
      <c r="R270" s="4" t="b">
        <f t="shared" si="69"/>
        <v>1</v>
      </c>
      <c r="S270" s="5" t="str">
        <f t="shared" si="70"/>
        <v>45859</v>
      </c>
      <c r="T270" s="4" t="str">
        <f t="shared" si="71"/>
        <v>Private</v>
      </c>
      <c r="U270" s="4" t="str">
        <f t="shared" si="72"/>
        <v>fast</v>
      </c>
      <c r="V270" s="4">
        <f t="shared" si="73"/>
        <v>2025</v>
      </c>
      <c r="W270" s="4" t="str">
        <f t="shared" si="74"/>
        <v>Japan</v>
      </c>
    </row>
    <row r="271" spans="1:23" x14ac:dyDescent="0.25">
      <c r="A271" t="s">
        <v>440</v>
      </c>
      <c r="B271" t="s">
        <v>70</v>
      </c>
      <c r="C271" t="s">
        <v>41</v>
      </c>
      <c r="D271" t="s">
        <v>56</v>
      </c>
      <c r="E271" t="s">
        <v>24</v>
      </c>
      <c r="F271" s="1" t="s">
        <v>441</v>
      </c>
      <c r="G271">
        <v>6137.32</v>
      </c>
      <c r="H271">
        <v>75920.009999999995</v>
      </c>
      <c r="I271" t="str">
        <f t="shared" si="60"/>
        <v>Delhi</v>
      </c>
      <c r="J271" t="str">
        <f t="shared" si="61"/>
        <v>Delhi</v>
      </c>
      <c r="K271" t="str">
        <f t="shared" si="62"/>
        <v>Ather Grid</v>
      </c>
      <c r="L271" s="4" t="str">
        <f t="shared" si="63"/>
        <v>Ather Grid</v>
      </c>
      <c r="M271" s="4" t="str">
        <f t="shared" si="64"/>
        <v>Ccs2</v>
      </c>
      <c r="N271" s="4" t="str">
        <f t="shared" si="65"/>
        <v>Ccs2</v>
      </c>
      <c r="O271" s="4" t="str">
        <f t="shared" si="66"/>
        <v>Active</v>
      </c>
      <c r="P271" s="4" t="str">
        <f t="shared" si="67"/>
        <v>Active</v>
      </c>
      <c r="Q271" s="4" t="str">
        <f t="shared" si="68"/>
        <v>Delhi</v>
      </c>
      <c r="R271" s="4" t="b">
        <f t="shared" si="69"/>
        <v>0</v>
      </c>
      <c r="S271" s="5" t="str">
        <f t="shared" si="70"/>
        <v>23/08/2024</v>
      </c>
      <c r="T271" s="4" t="str">
        <f t="shared" si="71"/>
        <v>Private</v>
      </c>
      <c r="U271" s="4" t="str">
        <f t="shared" si="72"/>
        <v>Ultra Fast</v>
      </c>
      <c r="V271" s="4" t="e">
        <f t="shared" si="73"/>
        <v>#VALUE!</v>
      </c>
      <c r="W271" s="4" t="str">
        <f t="shared" si="74"/>
        <v>Europe</v>
      </c>
    </row>
    <row r="272" spans="1:23" x14ac:dyDescent="0.25">
      <c r="A272" t="s">
        <v>442</v>
      </c>
      <c r="B272" t="s">
        <v>781</v>
      </c>
      <c r="C272" t="s">
        <v>41</v>
      </c>
      <c r="D272" t="s">
        <v>56</v>
      </c>
      <c r="E272" t="s">
        <v>24</v>
      </c>
      <c r="F272" s="1">
        <v>45894</v>
      </c>
      <c r="G272">
        <v>5485.52</v>
      </c>
      <c r="I272" t="str">
        <f t="shared" si="60"/>
        <v>Pune</v>
      </c>
      <c r="J272" t="str">
        <f t="shared" si="61"/>
        <v>Pune</v>
      </c>
      <c r="K272" t="str">
        <f t="shared" si="62"/>
        <v>Ather Grid</v>
      </c>
      <c r="L272" s="4" t="str">
        <f t="shared" si="63"/>
        <v>Ather Grid</v>
      </c>
      <c r="M272" s="4" t="str">
        <f t="shared" si="64"/>
        <v>Ccs2</v>
      </c>
      <c r="N272" s="4" t="str">
        <f t="shared" si="65"/>
        <v>Ccs2</v>
      </c>
      <c r="O272" s="4" t="str">
        <f t="shared" si="66"/>
        <v>Active</v>
      </c>
      <c r="P272" s="4" t="str">
        <f t="shared" si="67"/>
        <v>Active</v>
      </c>
      <c r="Q272" s="4" t="str">
        <f t="shared" si="68"/>
        <v>Pune</v>
      </c>
      <c r="R272" s="4" t="b">
        <f t="shared" si="69"/>
        <v>1</v>
      </c>
      <c r="S272" s="5" t="str">
        <f t="shared" si="70"/>
        <v>45894</v>
      </c>
      <c r="T272" s="4" t="str">
        <f t="shared" si="71"/>
        <v>Private</v>
      </c>
      <c r="U272" s="4" t="str">
        <f t="shared" si="72"/>
        <v>Ultra Fast</v>
      </c>
      <c r="V272" s="4">
        <f t="shared" si="73"/>
        <v>2025</v>
      </c>
      <c r="W272" s="4" t="str">
        <f t="shared" si="74"/>
        <v>Europe</v>
      </c>
    </row>
    <row r="273" spans="1:23" x14ac:dyDescent="0.25">
      <c r="A273" t="s">
        <v>443</v>
      </c>
      <c r="B273" t="s">
        <v>66</v>
      </c>
      <c r="C273" t="s">
        <v>63</v>
      </c>
      <c r="D273" t="s">
        <v>26</v>
      </c>
      <c r="E273" t="s">
        <v>15</v>
      </c>
      <c r="F273" s="1">
        <v>45517</v>
      </c>
      <c r="G273">
        <v>72.44</v>
      </c>
      <c r="H273">
        <v>940.64</v>
      </c>
      <c r="I273" t="str">
        <f t="shared" si="60"/>
        <v>Pune</v>
      </c>
      <c r="J273" t="str">
        <f t="shared" si="61"/>
        <v>Pune</v>
      </c>
      <c r="K273" t="str">
        <f t="shared" si="62"/>
        <v>Tata Power</v>
      </c>
      <c r="L273" s="4" t="str">
        <f t="shared" si="63"/>
        <v>Tata Power</v>
      </c>
      <c r="M273" s="4" t="str">
        <f t="shared" si="64"/>
        <v>Chademo</v>
      </c>
      <c r="N273" s="4" t="str">
        <f t="shared" si="65"/>
        <v>Chademo</v>
      </c>
      <c r="O273" s="4" t="str">
        <f t="shared" si="66"/>
        <v>Decommissioned</v>
      </c>
      <c r="P273" s="4" t="str">
        <f t="shared" si="67"/>
        <v>Decommissioned</v>
      </c>
      <c r="Q273" s="4" t="str">
        <f t="shared" si="68"/>
        <v>Pune</v>
      </c>
      <c r="R273" s="4" t="b">
        <f t="shared" si="69"/>
        <v>1</v>
      </c>
      <c r="S273" s="5" t="str">
        <f t="shared" si="70"/>
        <v>45517</v>
      </c>
      <c r="T273" s="4" t="str">
        <f t="shared" si="71"/>
        <v>Government</v>
      </c>
      <c r="U273" s="4" t="str">
        <f t="shared" si="72"/>
        <v>fast</v>
      </c>
      <c r="V273" s="4">
        <f t="shared" si="73"/>
        <v>2024</v>
      </c>
      <c r="W273" s="4" t="str">
        <f t="shared" si="74"/>
        <v>Japan</v>
      </c>
    </row>
    <row r="274" spans="1:23" x14ac:dyDescent="0.25">
      <c r="A274" t="s">
        <v>444</v>
      </c>
      <c r="B274" t="s">
        <v>46</v>
      </c>
      <c r="C274" t="s">
        <v>36</v>
      </c>
      <c r="D274" t="s">
        <v>56</v>
      </c>
      <c r="E274" t="s">
        <v>24</v>
      </c>
      <c r="F274" s="1">
        <v>45299</v>
      </c>
      <c r="G274">
        <v>10753.11</v>
      </c>
      <c r="H274">
        <v>114696.23</v>
      </c>
      <c r="I274" t="str">
        <f t="shared" si="60"/>
        <v>Kolkata</v>
      </c>
      <c r="J274" t="str">
        <f t="shared" si="61"/>
        <v>Kolkata</v>
      </c>
      <c r="K274" t="str">
        <f t="shared" si="62"/>
        <v>Zeon Charging</v>
      </c>
      <c r="L274" s="4" t="str">
        <f t="shared" si="63"/>
        <v>Zeon Charging</v>
      </c>
      <c r="M274" s="4" t="str">
        <f t="shared" si="64"/>
        <v>Ccs2</v>
      </c>
      <c r="N274" s="4" t="str">
        <f t="shared" si="65"/>
        <v>Ccs2</v>
      </c>
      <c r="O274" s="4" t="str">
        <f t="shared" si="66"/>
        <v>Active</v>
      </c>
      <c r="P274" s="4" t="str">
        <f t="shared" si="67"/>
        <v>Active</v>
      </c>
      <c r="Q274" s="4" t="str">
        <f t="shared" si="68"/>
        <v>Kolkata</v>
      </c>
      <c r="R274" s="4" t="b">
        <f t="shared" si="69"/>
        <v>1</v>
      </c>
      <c r="S274" s="5" t="str">
        <f t="shared" si="70"/>
        <v>45299</v>
      </c>
      <c r="T274" s="4" t="str">
        <f t="shared" si="71"/>
        <v>Private</v>
      </c>
      <c r="U274" s="4" t="str">
        <f t="shared" si="72"/>
        <v>Ultra Fast</v>
      </c>
      <c r="V274" s="4">
        <f t="shared" si="73"/>
        <v>2024</v>
      </c>
      <c r="W274" s="4" t="str">
        <f t="shared" si="74"/>
        <v>Europe</v>
      </c>
    </row>
    <row r="275" spans="1:23" x14ac:dyDescent="0.25">
      <c r="A275" t="s">
        <v>445</v>
      </c>
      <c r="B275" t="s">
        <v>780</v>
      </c>
      <c r="C275" t="s">
        <v>764</v>
      </c>
      <c r="D275" t="s">
        <v>48</v>
      </c>
      <c r="E275" t="s">
        <v>24</v>
      </c>
      <c r="F275" s="1">
        <v>45364</v>
      </c>
      <c r="G275">
        <v>5787</v>
      </c>
      <c r="H275">
        <v>70495.75</v>
      </c>
      <c r="I275" t="str">
        <f t="shared" si="60"/>
        <v>Kolkata</v>
      </c>
      <c r="J275" t="str">
        <f t="shared" si="61"/>
        <v>Kolkata</v>
      </c>
      <c r="K275" t="str">
        <f t="shared" si="62"/>
        <v>Bpcl</v>
      </c>
      <c r="L275" s="4" t="str">
        <f t="shared" si="63"/>
        <v>Bpcl</v>
      </c>
      <c r="M275" s="4" t="str">
        <f t="shared" si="64"/>
        <v>Bharat Dc-001</v>
      </c>
      <c r="N275" s="4" t="str">
        <f t="shared" si="65"/>
        <v>Bharat Dc-001</v>
      </c>
      <c r="O275" s="4" t="str">
        <f t="shared" si="66"/>
        <v>Active</v>
      </c>
      <c r="P275" s="4" t="str">
        <f t="shared" si="67"/>
        <v>Active</v>
      </c>
      <c r="Q275" s="4" t="str">
        <f t="shared" si="68"/>
        <v>Kolkata</v>
      </c>
      <c r="R275" s="4" t="b">
        <f t="shared" si="69"/>
        <v>1</v>
      </c>
      <c r="S275" s="5" t="str">
        <f t="shared" si="70"/>
        <v>45364</v>
      </c>
      <c r="T275" s="4" t="str">
        <f t="shared" si="71"/>
        <v>Government</v>
      </c>
      <c r="U275" s="4" t="str">
        <f t="shared" si="72"/>
        <v>fast</v>
      </c>
      <c r="V275" s="4">
        <f t="shared" si="73"/>
        <v>2024</v>
      </c>
      <c r="W275" s="4" t="str">
        <f t="shared" si="74"/>
        <v>India</v>
      </c>
    </row>
    <row r="276" spans="1:23" x14ac:dyDescent="0.25">
      <c r="A276" t="s">
        <v>447</v>
      </c>
      <c r="B276" t="s">
        <v>35</v>
      </c>
      <c r="C276" t="s">
        <v>14</v>
      </c>
      <c r="D276" t="s">
        <v>56</v>
      </c>
      <c r="E276" t="s">
        <v>24</v>
      </c>
      <c r="F276" s="1">
        <v>46016</v>
      </c>
      <c r="G276">
        <v>2259.4</v>
      </c>
      <c r="H276">
        <v>22739.24</v>
      </c>
      <c r="I276" t="str">
        <f t="shared" si="60"/>
        <v>Chennai</v>
      </c>
      <c r="J276" t="str">
        <f t="shared" si="61"/>
        <v>Chennai</v>
      </c>
      <c r="K276" t="str">
        <f t="shared" si="62"/>
        <v>Charge Point</v>
      </c>
      <c r="L276" s="4" t="str">
        <f t="shared" si="63"/>
        <v>Charge Point</v>
      </c>
      <c r="M276" s="4" t="str">
        <f t="shared" si="64"/>
        <v>Ccs2</v>
      </c>
      <c r="N276" s="4" t="str">
        <f t="shared" si="65"/>
        <v>Ccs2</v>
      </c>
      <c r="O276" s="4" t="str">
        <f t="shared" si="66"/>
        <v>Active</v>
      </c>
      <c r="P276" s="4" t="str">
        <f t="shared" si="67"/>
        <v>Active</v>
      </c>
      <c r="Q276" s="4" t="str">
        <f t="shared" si="68"/>
        <v>Chennai</v>
      </c>
      <c r="R276" s="4" t="b">
        <f t="shared" si="69"/>
        <v>1</v>
      </c>
      <c r="S276" s="5" t="str">
        <f t="shared" si="70"/>
        <v>46016</v>
      </c>
      <c r="T276" s="4" t="str">
        <f t="shared" si="71"/>
        <v>Private</v>
      </c>
      <c r="U276" s="4" t="str">
        <f t="shared" si="72"/>
        <v>Ultra Fast</v>
      </c>
      <c r="V276" s="4">
        <f t="shared" si="73"/>
        <v>2025</v>
      </c>
      <c r="W276" s="4" t="str">
        <f t="shared" si="74"/>
        <v>Europe</v>
      </c>
    </row>
    <row r="277" spans="1:23" x14ac:dyDescent="0.25">
      <c r="A277" t="s">
        <v>449</v>
      </c>
      <c r="B277" t="s">
        <v>13</v>
      </c>
      <c r="C277" t="s">
        <v>777</v>
      </c>
      <c r="D277" t="s">
        <v>26</v>
      </c>
      <c r="E277" t="s">
        <v>24</v>
      </c>
      <c r="F277" s="1">
        <v>45938</v>
      </c>
      <c r="G277">
        <v>2525.58</v>
      </c>
      <c r="H277">
        <v>29142.31</v>
      </c>
      <c r="I277" t="str">
        <f t="shared" si="60"/>
        <v>Bengaluru</v>
      </c>
      <c r="J277" t="str">
        <f t="shared" si="61"/>
        <v>Bengaluru</v>
      </c>
      <c r="K277" t="str">
        <f t="shared" si="62"/>
        <v>Tata Power</v>
      </c>
      <c r="L277" s="4" t="str">
        <f t="shared" si="63"/>
        <v>Tata Power</v>
      </c>
      <c r="M277" s="4" t="str">
        <f t="shared" si="64"/>
        <v>Chademo</v>
      </c>
      <c r="N277" s="4" t="str">
        <f t="shared" si="65"/>
        <v>Chademo</v>
      </c>
      <c r="O277" s="4" t="str">
        <f t="shared" si="66"/>
        <v>Active</v>
      </c>
      <c r="P277" s="4" t="str">
        <f t="shared" si="67"/>
        <v>Active</v>
      </c>
      <c r="Q277" s="4" t="str">
        <f t="shared" si="68"/>
        <v>Bengaluru</v>
      </c>
      <c r="R277" s="4" t="b">
        <f t="shared" si="69"/>
        <v>1</v>
      </c>
      <c r="S277" s="1" t="str">
        <f t="shared" si="70"/>
        <v>45938</v>
      </c>
      <c r="T277" s="4" t="str">
        <f t="shared" si="71"/>
        <v>Government</v>
      </c>
      <c r="U277" s="4" t="str">
        <f t="shared" si="72"/>
        <v>fast</v>
      </c>
      <c r="V277" s="4">
        <f t="shared" si="73"/>
        <v>2025</v>
      </c>
      <c r="W277" s="4" t="str">
        <f t="shared" si="74"/>
        <v>Japan</v>
      </c>
    </row>
    <row r="278" spans="1:23" x14ac:dyDescent="0.25">
      <c r="A278" t="s">
        <v>450</v>
      </c>
      <c r="B278" t="s">
        <v>66</v>
      </c>
      <c r="C278" t="s">
        <v>41</v>
      </c>
      <c r="D278" t="s">
        <v>48</v>
      </c>
      <c r="E278" t="s">
        <v>24</v>
      </c>
      <c r="F278" s="1">
        <v>45352</v>
      </c>
      <c r="G278">
        <v>6500.09</v>
      </c>
      <c r="H278">
        <v>71575.06</v>
      </c>
      <c r="I278" t="str">
        <f t="shared" si="60"/>
        <v>Pune</v>
      </c>
      <c r="J278" t="str">
        <f t="shared" si="61"/>
        <v>Pune</v>
      </c>
      <c r="K278" t="str">
        <f t="shared" si="62"/>
        <v>Ather Grid</v>
      </c>
      <c r="L278" s="4" t="str">
        <f t="shared" si="63"/>
        <v>Ather Grid</v>
      </c>
      <c r="M278" s="4" t="str">
        <f t="shared" si="64"/>
        <v>Bharat Dc-001</v>
      </c>
      <c r="N278" s="4" t="str">
        <f t="shared" si="65"/>
        <v>Bharat Dc-001</v>
      </c>
      <c r="O278" s="4" t="str">
        <f t="shared" si="66"/>
        <v>Active</v>
      </c>
      <c r="P278" s="4" t="str">
        <f t="shared" si="67"/>
        <v>Active</v>
      </c>
      <c r="Q278" s="4" t="str">
        <f t="shared" si="68"/>
        <v>Pune</v>
      </c>
      <c r="R278" s="4" t="b">
        <f t="shared" si="69"/>
        <v>1</v>
      </c>
      <c r="S278" s="5" t="str">
        <f t="shared" si="70"/>
        <v>45352</v>
      </c>
      <c r="T278" s="4" t="str">
        <f t="shared" si="71"/>
        <v>Private</v>
      </c>
      <c r="U278" s="4" t="str">
        <f t="shared" si="72"/>
        <v>fast</v>
      </c>
      <c r="V278" s="4">
        <f t="shared" si="73"/>
        <v>2024</v>
      </c>
      <c r="W278" s="4" t="str">
        <f t="shared" si="74"/>
        <v>India</v>
      </c>
    </row>
    <row r="279" spans="1:23" x14ac:dyDescent="0.25">
      <c r="A279" t="s">
        <v>451</v>
      </c>
      <c r="B279" t="s">
        <v>779</v>
      </c>
      <c r="C279" t="s">
        <v>764</v>
      </c>
      <c r="D279" t="s">
        <v>26</v>
      </c>
      <c r="E279" t="s">
        <v>24</v>
      </c>
      <c r="F279" s="1">
        <v>45526</v>
      </c>
      <c r="G279">
        <v>7980.26</v>
      </c>
      <c r="H279">
        <v>108145.87</v>
      </c>
      <c r="I279" t="str">
        <f t="shared" si="60"/>
        <v>Hyderabad</v>
      </c>
      <c r="J279" t="str">
        <f t="shared" si="61"/>
        <v>Hyderabad</v>
      </c>
      <c r="K279" t="str">
        <f t="shared" si="62"/>
        <v>Bpcl</v>
      </c>
      <c r="L279" s="4" t="str">
        <f t="shared" si="63"/>
        <v>Bpcl</v>
      </c>
      <c r="M279" s="4" t="str">
        <f t="shared" si="64"/>
        <v>Chademo</v>
      </c>
      <c r="N279" s="4" t="str">
        <f t="shared" si="65"/>
        <v>Chademo</v>
      </c>
      <c r="O279" s="4" t="str">
        <f t="shared" si="66"/>
        <v>Active</v>
      </c>
      <c r="P279" s="4" t="str">
        <f t="shared" si="67"/>
        <v>Active</v>
      </c>
      <c r="Q279" s="4" t="str">
        <f t="shared" si="68"/>
        <v>Hyderabad</v>
      </c>
      <c r="R279" s="4" t="b">
        <f t="shared" si="69"/>
        <v>1</v>
      </c>
      <c r="S279" s="5" t="str">
        <f t="shared" si="70"/>
        <v>45526</v>
      </c>
      <c r="T279" s="4" t="str">
        <f t="shared" si="71"/>
        <v>Government</v>
      </c>
      <c r="U279" s="4" t="str">
        <f t="shared" si="72"/>
        <v>fast</v>
      </c>
      <c r="V279" s="4">
        <f t="shared" si="73"/>
        <v>2024</v>
      </c>
      <c r="W279" s="4" t="str">
        <f t="shared" si="74"/>
        <v>Japan</v>
      </c>
    </row>
    <row r="280" spans="1:23" x14ac:dyDescent="0.25">
      <c r="A280" t="s">
        <v>452</v>
      </c>
      <c r="B280" t="s">
        <v>779</v>
      </c>
      <c r="C280" t="s">
        <v>764</v>
      </c>
      <c r="D280" t="s">
        <v>26</v>
      </c>
      <c r="E280" t="s">
        <v>24</v>
      </c>
      <c r="F280" s="1">
        <v>45361</v>
      </c>
      <c r="G280">
        <v>7582.99</v>
      </c>
      <c r="H280">
        <v>66737.13</v>
      </c>
      <c r="I280" t="str">
        <f t="shared" si="60"/>
        <v>Hyderabad</v>
      </c>
      <c r="J280" t="str">
        <f t="shared" si="61"/>
        <v>Hyderabad</v>
      </c>
      <c r="K280" t="str">
        <f t="shared" si="62"/>
        <v>Bpcl</v>
      </c>
      <c r="L280" s="4" t="str">
        <f t="shared" si="63"/>
        <v>Bpcl</v>
      </c>
      <c r="M280" s="4" t="str">
        <f t="shared" si="64"/>
        <v>Chademo</v>
      </c>
      <c r="N280" s="4" t="str">
        <f t="shared" si="65"/>
        <v>Chademo</v>
      </c>
      <c r="O280" s="4" t="str">
        <f t="shared" si="66"/>
        <v>Active</v>
      </c>
      <c r="P280" s="4" t="str">
        <f t="shared" si="67"/>
        <v>Active</v>
      </c>
      <c r="Q280" s="4" t="str">
        <f t="shared" si="68"/>
        <v>Hyderabad</v>
      </c>
      <c r="R280" s="4" t="b">
        <f t="shared" si="69"/>
        <v>1</v>
      </c>
      <c r="S280" s="5" t="str">
        <f t="shared" si="70"/>
        <v>45361</v>
      </c>
      <c r="T280" s="4" t="str">
        <f t="shared" si="71"/>
        <v>Government</v>
      </c>
      <c r="U280" s="4" t="str">
        <f t="shared" si="72"/>
        <v>fast</v>
      </c>
      <c r="V280" s="4">
        <f t="shared" si="73"/>
        <v>2024</v>
      </c>
      <c r="W280" s="4" t="str">
        <f t="shared" si="74"/>
        <v>Japan</v>
      </c>
    </row>
    <row r="281" spans="1:23" x14ac:dyDescent="0.25">
      <c r="A281" t="s">
        <v>453</v>
      </c>
      <c r="B281" t="s">
        <v>772</v>
      </c>
      <c r="C281" t="s">
        <v>14</v>
      </c>
      <c r="D281" t="s">
        <v>17</v>
      </c>
      <c r="E281" t="s">
        <v>24</v>
      </c>
      <c r="F281" s="1">
        <v>45324</v>
      </c>
      <c r="G281">
        <v>11075.6</v>
      </c>
      <c r="H281">
        <v>139364.17000000001</v>
      </c>
      <c r="I281" t="str">
        <f t="shared" si="60"/>
        <v xml:space="preserve">Pune </v>
      </c>
      <c r="J281" t="str">
        <f t="shared" si="61"/>
        <v>Pune</v>
      </c>
      <c r="K281" t="str">
        <f t="shared" si="62"/>
        <v>Charge Point</v>
      </c>
      <c r="L281" s="4" t="str">
        <f t="shared" si="63"/>
        <v>Charge Point</v>
      </c>
      <c r="M281" s="4" t="str">
        <f t="shared" si="64"/>
        <v>Type2 Ac</v>
      </c>
      <c r="N281" s="4" t="str">
        <f t="shared" si="65"/>
        <v>Type2 Ac</v>
      </c>
      <c r="O281" s="4" t="str">
        <f t="shared" si="66"/>
        <v>Active</v>
      </c>
      <c r="P281" s="4" t="str">
        <f t="shared" si="67"/>
        <v>Active</v>
      </c>
      <c r="Q281" s="4" t="str">
        <f t="shared" si="68"/>
        <v xml:space="preserve">Pune </v>
      </c>
      <c r="R281" s="4" t="b">
        <f t="shared" si="69"/>
        <v>1</v>
      </c>
      <c r="S281" s="5" t="str">
        <f t="shared" si="70"/>
        <v>45324</v>
      </c>
      <c r="T281" s="4" t="str">
        <f t="shared" si="71"/>
        <v>Private</v>
      </c>
      <c r="U281" s="4" t="str">
        <f t="shared" si="72"/>
        <v>Slow</v>
      </c>
      <c r="V281" s="4">
        <f t="shared" si="73"/>
        <v>2024</v>
      </c>
      <c r="W281" s="4" t="str">
        <f t="shared" si="74"/>
        <v>Germany</v>
      </c>
    </row>
    <row r="282" spans="1:23" x14ac:dyDescent="0.25">
      <c r="A282" t="s">
        <v>454</v>
      </c>
      <c r="B282" t="s">
        <v>46</v>
      </c>
      <c r="C282" t="s">
        <v>41</v>
      </c>
      <c r="D282" t="s">
        <v>17</v>
      </c>
      <c r="E282" t="s">
        <v>15</v>
      </c>
      <c r="F282" s="1">
        <v>45630</v>
      </c>
      <c r="G282">
        <v>154.93</v>
      </c>
      <c r="H282">
        <v>2191.3200000000002</v>
      </c>
      <c r="I282" t="str">
        <f t="shared" si="60"/>
        <v>Kolkata</v>
      </c>
      <c r="J282" t="str">
        <f t="shared" si="61"/>
        <v>Kolkata</v>
      </c>
      <c r="K282" t="str">
        <f t="shared" si="62"/>
        <v>Ather Grid</v>
      </c>
      <c r="L282" s="4" t="str">
        <f t="shared" si="63"/>
        <v>Ather Grid</v>
      </c>
      <c r="M282" s="4" t="str">
        <f t="shared" si="64"/>
        <v>Type2 Ac</v>
      </c>
      <c r="N282" s="4" t="str">
        <f t="shared" si="65"/>
        <v>Type2 Ac</v>
      </c>
      <c r="O282" s="4" t="str">
        <f t="shared" si="66"/>
        <v>Decommissioned</v>
      </c>
      <c r="P282" s="4" t="str">
        <f t="shared" si="67"/>
        <v>Decommissioned</v>
      </c>
      <c r="Q282" s="4" t="str">
        <f t="shared" si="68"/>
        <v>Kolkata</v>
      </c>
      <c r="R282" s="4" t="b">
        <f t="shared" si="69"/>
        <v>1</v>
      </c>
      <c r="S282" s="5" t="str">
        <f t="shared" si="70"/>
        <v>45630</v>
      </c>
      <c r="T282" s="4" t="str">
        <f t="shared" si="71"/>
        <v>Private</v>
      </c>
      <c r="U282" s="4" t="str">
        <f t="shared" si="72"/>
        <v>Slow</v>
      </c>
      <c r="V282" s="4">
        <f t="shared" si="73"/>
        <v>2024</v>
      </c>
      <c r="W282" s="4" t="str">
        <f t="shared" si="74"/>
        <v>Germany</v>
      </c>
    </row>
    <row r="283" spans="1:23" x14ac:dyDescent="0.25">
      <c r="A283" t="s">
        <v>455</v>
      </c>
      <c r="C283" t="s">
        <v>774</v>
      </c>
      <c r="D283" t="s">
        <v>26</v>
      </c>
      <c r="E283" t="s">
        <v>54</v>
      </c>
      <c r="F283" s="1">
        <v>45364</v>
      </c>
      <c r="H283">
        <v>2756.59</v>
      </c>
      <c r="I283" t="str">
        <f t="shared" si="60"/>
        <v/>
      </c>
      <c r="J283" t="str">
        <f t="shared" si="61"/>
        <v/>
      </c>
      <c r="K283" t="str">
        <f t="shared" si="62"/>
        <v>Zeon Charging</v>
      </c>
      <c r="L283" s="4" t="str">
        <f t="shared" si="63"/>
        <v>Zeon Charging</v>
      </c>
      <c r="M283" s="4" t="str">
        <f t="shared" si="64"/>
        <v>Chademo</v>
      </c>
      <c r="N283" s="4" t="str">
        <f t="shared" si="65"/>
        <v>Chademo</v>
      </c>
      <c r="O283" s="4" t="str">
        <f t="shared" si="66"/>
        <v>Inactive</v>
      </c>
      <c r="P283" s="4" t="str">
        <f t="shared" si="67"/>
        <v>Inactive</v>
      </c>
      <c r="Q283" s="4" t="str">
        <f t="shared" si="68"/>
        <v/>
      </c>
      <c r="R283" s="4" t="b">
        <f t="shared" si="69"/>
        <v>1</v>
      </c>
      <c r="S283" s="5" t="str">
        <f t="shared" si="70"/>
        <v>45364</v>
      </c>
      <c r="T283" s="4" t="str">
        <f t="shared" si="71"/>
        <v>Private</v>
      </c>
      <c r="U283" s="4" t="str">
        <f t="shared" si="72"/>
        <v>fast</v>
      </c>
      <c r="V283" s="4">
        <f t="shared" si="73"/>
        <v>2024</v>
      </c>
      <c r="W283" s="4" t="str">
        <f t="shared" si="74"/>
        <v>Japan</v>
      </c>
    </row>
    <row r="284" spans="1:23" x14ac:dyDescent="0.25">
      <c r="A284" t="s">
        <v>456</v>
      </c>
      <c r="B284" t="s">
        <v>13</v>
      </c>
      <c r="C284" t="s">
        <v>764</v>
      </c>
      <c r="D284" t="s">
        <v>26</v>
      </c>
      <c r="E284" t="s">
        <v>24</v>
      </c>
      <c r="F284" s="1">
        <v>45818</v>
      </c>
      <c r="G284">
        <v>9995.9500000000007</v>
      </c>
      <c r="H284">
        <v>140527.53</v>
      </c>
      <c r="I284" t="str">
        <f t="shared" si="60"/>
        <v>Bengaluru</v>
      </c>
      <c r="J284" t="str">
        <f t="shared" si="61"/>
        <v>Bengaluru</v>
      </c>
      <c r="K284" t="str">
        <f t="shared" si="62"/>
        <v>Bpcl</v>
      </c>
      <c r="L284" s="4" t="str">
        <f t="shared" si="63"/>
        <v>Bpcl</v>
      </c>
      <c r="M284" s="4" t="str">
        <f t="shared" si="64"/>
        <v>Chademo</v>
      </c>
      <c r="N284" s="4" t="str">
        <f t="shared" si="65"/>
        <v>Chademo</v>
      </c>
      <c r="O284" s="4" t="str">
        <f t="shared" si="66"/>
        <v>Active</v>
      </c>
      <c r="P284" s="4" t="str">
        <f t="shared" si="67"/>
        <v>Active</v>
      </c>
      <c r="Q284" s="4" t="str">
        <f t="shared" si="68"/>
        <v>Bengaluru</v>
      </c>
      <c r="R284" s="4" t="b">
        <f t="shared" si="69"/>
        <v>1</v>
      </c>
      <c r="S284" s="5" t="str">
        <f t="shared" si="70"/>
        <v>45818</v>
      </c>
      <c r="T284" s="4" t="str">
        <f t="shared" si="71"/>
        <v>Government</v>
      </c>
      <c r="U284" s="4" t="str">
        <f t="shared" si="72"/>
        <v>fast</v>
      </c>
      <c r="V284" s="4">
        <f t="shared" si="73"/>
        <v>2025</v>
      </c>
      <c r="W284" s="4" t="str">
        <f t="shared" si="74"/>
        <v>Japan</v>
      </c>
    </row>
    <row r="285" spans="1:23" x14ac:dyDescent="0.25">
      <c r="A285" t="s">
        <v>457</v>
      </c>
      <c r="B285" t="s">
        <v>40</v>
      </c>
      <c r="C285" t="s">
        <v>14</v>
      </c>
      <c r="D285" t="s">
        <v>26</v>
      </c>
      <c r="E285" t="s">
        <v>24</v>
      </c>
      <c r="F285" s="1">
        <v>45535</v>
      </c>
      <c r="G285">
        <v>7313.46</v>
      </c>
      <c r="I285" t="str">
        <f t="shared" si="60"/>
        <v>Mumbai</v>
      </c>
      <c r="J285" t="str">
        <f t="shared" si="61"/>
        <v>Mumbai</v>
      </c>
      <c r="K285" t="str">
        <f t="shared" si="62"/>
        <v>Charge Point</v>
      </c>
      <c r="L285" s="4" t="str">
        <f t="shared" si="63"/>
        <v>Charge Point</v>
      </c>
      <c r="M285" s="4" t="str">
        <f t="shared" si="64"/>
        <v>Chademo</v>
      </c>
      <c r="N285" s="4" t="str">
        <f t="shared" si="65"/>
        <v>Chademo</v>
      </c>
      <c r="O285" s="4" t="str">
        <f t="shared" si="66"/>
        <v>Active</v>
      </c>
      <c r="P285" s="4" t="str">
        <f t="shared" si="67"/>
        <v>Active</v>
      </c>
      <c r="Q285" s="4" t="str">
        <f t="shared" si="68"/>
        <v>Mumbai</v>
      </c>
      <c r="R285" s="4" t="b">
        <f t="shared" si="69"/>
        <v>1</v>
      </c>
      <c r="S285" s="5" t="str">
        <f t="shared" si="70"/>
        <v>45535</v>
      </c>
      <c r="T285" s="4" t="str">
        <f t="shared" si="71"/>
        <v>Private</v>
      </c>
      <c r="U285" s="4" t="str">
        <f t="shared" si="72"/>
        <v>fast</v>
      </c>
      <c r="V285" s="4">
        <f t="shared" si="73"/>
        <v>2024</v>
      </c>
      <c r="W285" s="4" t="str">
        <f t="shared" si="74"/>
        <v>Japan</v>
      </c>
    </row>
    <row r="286" spans="1:23" x14ac:dyDescent="0.25">
      <c r="A286" t="s">
        <v>459</v>
      </c>
      <c r="B286" t="s">
        <v>778</v>
      </c>
      <c r="C286" t="s">
        <v>765</v>
      </c>
      <c r="D286" t="s">
        <v>17</v>
      </c>
      <c r="E286" t="s">
        <v>54</v>
      </c>
      <c r="F286" s="1">
        <v>45577</v>
      </c>
      <c r="G286">
        <v>161.15</v>
      </c>
      <c r="H286">
        <v>2291.0100000000002</v>
      </c>
      <c r="I286" t="str">
        <f t="shared" si="60"/>
        <v xml:space="preserve">Chennai </v>
      </c>
      <c r="J286" t="str">
        <f t="shared" si="61"/>
        <v>Chennai</v>
      </c>
      <c r="K286" t="str">
        <f t="shared" si="62"/>
        <v>Zeon Charging</v>
      </c>
      <c r="L286" s="4" t="str">
        <f t="shared" si="63"/>
        <v>Zeon Charging</v>
      </c>
      <c r="M286" s="4" t="str">
        <f t="shared" si="64"/>
        <v>Type2 Ac</v>
      </c>
      <c r="N286" s="4" t="str">
        <f t="shared" si="65"/>
        <v>Type2 Ac</v>
      </c>
      <c r="O286" s="4" t="str">
        <f t="shared" si="66"/>
        <v>Inactive</v>
      </c>
      <c r="P286" s="4" t="str">
        <f t="shared" si="67"/>
        <v>Inactive</v>
      </c>
      <c r="Q286" s="4" t="str">
        <f t="shared" si="68"/>
        <v xml:space="preserve">Chennai </v>
      </c>
      <c r="R286" s="4" t="b">
        <f t="shared" si="69"/>
        <v>1</v>
      </c>
      <c r="S286" s="5" t="str">
        <f t="shared" si="70"/>
        <v>45577</v>
      </c>
      <c r="T286" s="4" t="str">
        <f t="shared" si="71"/>
        <v>Private</v>
      </c>
      <c r="U286" s="4" t="str">
        <f t="shared" si="72"/>
        <v>Slow</v>
      </c>
      <c r="V286" s="4">
        <f t="shared" si="73"/>
        <v>2024</v>
      </c>
      <c r="W286" s="4" t="str">
        <f t="shared" si="74"/>
        <v>Germany</v>
      </c>
    </row>
    <row r="287" spans="1:23" x14ac:dyDescent="0.25">
      <c r="A287" t="s">
        <v>460</v>
      </c>
      <c r="B287" t="s">
        <v>776</v>
      </c>
      <c r="D287" t="s">
        <v>17</v>
      </c>
      <c r="E287" t="s">
        <v>769</v>
      </c>
      <c r="F287" s="1">
        <v>45977</v>
      </c>
      <c r="G287">
        <v>3323.19</v>
      </c>
      <c r="H287">
        <v>36211.79</v>
      </c>
      <c r="I287" t="str">
        <f t="shared" si="60"/>
        <v>Mumbai</v>
      </c>
      <c r="J287" t="str">
        <f t="shared" si="61"/>
        <v>Mumbai</v>
      </c>
      <c r="K287" t="str">
        <f t="shared" si="62"/>
        <v/>
      </c>
      <c r="L287" s="4" t="str">
        <f t="shared" si="63"/>
        <v/>
      </c>
      <c r="M287" s="4" t="str">
        <f t="shared" si="64"/>
        <v>Type2 Ac</v>
      </c>
      <c r="N287" s="4" t="str">
        <f t="shared" si="65"/>
        <v>Type2 Ac</v>
      </c>
      <c r="O287" s="4" t="str">
        <f t="shared" si="66"/>
        <v>Active</v>
      </c>
      <c r="P287" s="4" t="str">
        <f t="shared" si="67"/>
        <v>Active</v>
      </c>
      <c r="Q287" s="4" t="str">
        <f t="shared" si="68"/>
        <v>Mumbai</v>
      </c>
      <c r="R287" s="4" t="b">
        <f t="shared" si="69"/>
        <v>1</v>
      </c>
      <c r="S287" s="5" t="str">
        <f t="shared" si="70"/>
        <v>45977</v>
      </c>
      <c r="T287" s="4" t="str">
        <f t="shared" si="71"/>
        <v>Private</v>
      </c>
      <c r="U287" s="4" t="str">
        <f t="shared" si="72"/>
        <v>Slow</v>
      </c>
      <c r="V287" s="4">
        <f t="shared" si="73"/>
        <v>2025</v>
      </c>
      <c r="W287" s="4" t="str">
        <f t="shared" si="74"/>
        <v>Germany</v>
      </c>
    </row>
    <row r="288" spans="1:23" x14ac:dyDescent="0.25">
      <c r="A288" t="s">
        <v>462</v>
      </c>
      <c r="B288" t="s">
        <v>13</v>
      </c>
      <c r="C288" t="s">
        <v>764</v>
      </c>
      <c r="D288" t="s">
        <v>56</v>
      </c>
      <c r="E288" t="s">
        <v>24</v>
      </c>
      <c r="F288" s="1">
        <v>45789</v>
      </c>
      <c r="G288">
        <v>11248.15</v>
      </c>
      <c r="H288">
        <v>155133.75</v>
      </c>
      <c r="I288" t="str">
        <f t="shared" si="60"/>
        <v>Bengaluru</v>
      </c>
      <c r="J288" t="str">
        <f t="shared" si="61"/>
        <v>Bengaluru</v>
      </c>
      <c r="K288" t="str">
        <f t="shared" si="62"/>
        <v>Bpcl</v>
      </c>
      <c r="L288" s="4" t="str">
        <f t="shared" si="63"/>
        <v>Bpcl</v>
      </c>
      <c r="M288" s="4" t="str">
        <f t="shared" si="64"/>
        <v>Ccs2</v>
      </c>
      <c r="N288" s="4" t="str">
        <f t="shared" si="65"/>
        <v>Ccs2</v>
      </c>
      <c r="O288" s="4" t="str">
        <f t="shared" si="66"/>
        <v>Active</v>
      </c>
      <c r="P288" s="4" t="str">
        <f t="shared" si="67"/>
        <v>Active</v>
      </c>
      <c r="Q288" s="4" t="str">
        <f t="shared" si="68"/>
        <v>Bengaluru</v>
      </c>
      <c r="R288" s="4" t="b">
        <f t="shared" si="69"/>
        <v>1</v>
      </c>
      <c r="S288" s="5" t="str">
        <f t="shared" si="70"/>
        <v>45789</v>
      </c>
      <c r="T288" s="4" t="str">
        <f t="shared" si="71"/>
        <v>Government</v>
      </c>
      <c r="U288" s="4" t="str">
        <f t="shared" si="72"/>
        <v>Ultra Fast</v>
      </c>
      <c r="V288" s="4">
        <f t="shared" si="73"/>
        <v>2025</v>
      </c>
      <c r="W288" s="4" t="str">
        <f t="shared" si="74"/>
        <v>Europe</v>
      </c>
    </row>
    <row r="289" spans="1:23" x14ac:dyDescent="0.25">
      <c r="A289" t="s">
        <v>463</v>
      </c>
      <c r="B289" t="s">
        <v>35</v>
      </c>
      <c r="C289" t="s">
        <v>36</v>
      </c>
      <c r="D289" t="s">
        <v>56</v>
      </c>
      <c r="E289" t="s">
        <v>15</v>
      </c>
      <c r="F289" s="1">
        <v>45511</v>
      </c>
      <c r="G289">
        <v>55.79</v>
      </c>
      <c r="H289">
        <v>602.04</v>
      </c>
      <c r="I289" t="str">
        <f t="shared" si="60"/>
        <v>Chennai</v>
      </c>
      <c r="J289" t="str">
        <f t="shared" si="61"/>
        <v>Chennai</v>
      </c>
      <c r="K289" t="str">
        <f t="shared" si="62"/>
        <v>Zeon Charging</v>
      </c>
      <c r="L289" s="4" t="str">
        <f t="shared" si="63"/>
        <v>Zeon Charging</v>
      </c>
      <c r="M289" s="4" t="str">
        <f t="shared" si="64"/>
        <v>Ccs2</v>
      </c>
      <c r="N289" s="4" t="str">
        <f t="shared" si="65"/>
        <v>Ccs2</v>
      </c>
      <c r="O289" s="4" t="str">
        <f t="shared" si="66"/>
        <v>Decommissioned</v>
      </c>
      <c r="P289" s="4" t="str">
        <f t="shared" si="67"/>
        <v>Decommissioned</v>
      </c>
      <c r="Q289" s="4" t="str">
        <f t="shared" si="68"/>
        <v>Chennai</v>
      </c>
      <c r="R289" s="4" t="b">
        <f t="shared" si="69"/>
        <v>1</v>
      </c>
      <c r="S289" s="5" t="str">
        <f t="shared" si="70"/>
        <v>45511</v>
      </c>
      <c r="T289" s="4" t="str">
        <f t="shared" si="71"/>
        <v>Private</v>
      </c>
      <c r="U289" s="4" t="str">
        <f t="shared" si="72"/>
        <v>Ultra Fast</v>
      </c>
      <c r="V289" s="4">
        <f t="shared" si="73"/>
        <v>2024</v>
      </c>
      <c r="W289" s="4" t="str">
        <f t="shared" si="74"/>
        <v>Europe</v>
      </c>
    </row>
    <row r="290" spans="1:23" x14ac:dyDescent="0.25">
      <c r="A290" t="s">
        <v>464</v>
      </c>
      <c r="B290" t="s">
        <v>70</v>
      </c>
      <c r="C290" t="s">
        <v>36</v>
      </c>
      <c r="D290" t="s">
        <v>26</v>
      </c>
      <c r="E290" t="s">
        <v>769</v>
      </c>
      <c r="F290" s="1">
        <v>45844</v>
      </c>
      <c r="G290">
        <v>5684.22</v>
      </c>
      <c r="H290">
        <v>74504.710000000006</v>
      </c>
      <c r="I290" t="str">
        <f t="shared" si="60"/>
        <v>Delhi</v>
      </c>
      <c r="J290" t="str">
        <f t="shared" si="61"/>
        <v>Delhi</v>
      </c>
      <c r="K290" t="str">
        <f t="shared" si="62"/>
        <v>Zeon Charging</v>
      </c>
      <c r="L290" s="4" t="str">
        <f t="shared" si="63"/>
        <v>Zeon Charging</v>
      </c>
      <c r="M290" s="4" t="str">
        <f t="shared" si="64"/>
        <v>Chademo</v>
      </c>
      <c r="N290" s="4" t="str">
        <f t="shared" si="65"/>
        <v>Chademo</v>
      </c>
      <c r="O290" s="4" t="str">
        <f t="shared" si="66"/>
        <v>Active</v>
      </c>
      <c r="P290" s="4" t="str">
        <f t="shared" si="67"/>
        <v>Active</v>
      </c>
      <c r="Q290" s="4" t="str">
        <f t="shared" si="68"/>
        <v>Delhi</v>
      </c>
      <c r="R290" s="4" t="b">
        <f t="shared" si="69"/>
        <v>1</v>
      </c>
      <c r="S290" s="5" t="str">
        <f t="shared" si="70"/>
        <v>45844</v>
      </c>
      <c r="T290" s="4" t="str">
        <f t="shared" si="71"/>
        <v>Private</v>
      </c>
      <c r="U290" s="4" t="str">
        <f t="shared" si="72"/>
        <v>fast</v>
      </c>
      <c r="V290" s="4">
        <f t="shared" si="73"/>
        <v>2025</v>
      </c>
      <c r="W290" s="4" t="str">
        <f t="shared" si="74"/>
        <v>Japan</v>
      </c>
    </row>
    <row r="291" spans="1:23" x14ac:dyDescent="0.25">
      <c r="A291" t="s">
        <v>465</v>
      </c>
      <c r="B291" t="s">
        <v>35</v>
      </c>
      <c r="C291" t="s">
        <v>36</v>
      </c>
      <c r="D291" t="s">
        <v>48</v>
      </c>
      <c r="E291" t="s">
        <v>54</v>
      </c>
      <c r="F291" s="1">
        <v>45427</v>
      </c>
      <c r="G291">
        <v>375.24</v>
      </c>
      <c r="H291">
        <v>3822.88</v>
      </c>
      <c r="I291" t="str">
        <f t="shared" si="60"/>
        <v>Chennai</v>
      </c>
      <c r="J291" t="str">
        <f t="shared" si="61"/>
        <v>Chennai</v>
      </c>
      <c r="K291" t="str">
        <f t="shared" si="62"/>
        <v>Zeon Charging</v>
      </c>
      <c r="L291" s="4" t="str">
        <f t="shared" si="63"/>
        <v>Zeon Charging</v>
      </c>
      <c r="M291" s="4" t="str">
        <f t="shared" si="64"/>
        <v>Bharat Dc-001</v>
      </c>
      <c r="N291" s="4" t="str">
        <f t="shared" si="65"/>
        <v>Bharat Dc-001</v>
      </c>
      <c r="O291" s="4" t="str">
        <f t="shared" si="66"/>
        <v>Inactive</v>
      </c>
      <c r="P291" s="4" t="str">
        <f t="shared" si="67"/>
        <v>Inactive</v>
      </c>
      <c r="Q291" s="4" t="str">
        <f t="shared" si="68"/>
        <v>Chennai</v>
      </c>
      <c r="R291" s="4" t="b">
        <f t="shared" si="69"/>
        <v>1</v>
      </c>
      <c r="S291" s="5" t="str">
        <f t="shared" si="70"/>
        <v>45427</v>
      </c>
      <c r="T291" s="4" t="str">
        <f t="shared" si="71"/>
        <v>Private</v>
      </c>
      <c r="U291" s="4" t="str">
        <f t="shared" si="72"/>
        <v>fast</v>
      </c>
      <c r="V291" s="4">
        <f t="shared" si="73"/>
        <v>2024</v>
      </c>
      <c r="W291" s="4" t="str">
        <f t="shared" si="74"/>
        <v>India</v>
      </c>
    </row>
    <row r="292" spans="1:23" x14ac:dyDescent="0.25">
      <c r="A292" t="s">
        <v>467</v>
      </c>
      <c r="B292" t="s">
        <v>40</v>
      </c>
      <c r="C292" t="s">
        <v>764</v>
      </c>
      <c r="D292" t="s">
        <v>48</v>
      </c>
      <c r="E292" t="s">
        <v>15</v>
      </c>
      <c r="F292" s="1">
        <v>46032</v>
      </c>
      <c r="G292">
        <v>113.97</v>
      </c>
      <c r="H292">
        <v>1161.0899999999999</v>
      </c>
      <c r="I292" t="str">
        <f t="shared" si="60"/>
        <v>Mumbai</v>
      </c>
      <c r="J292" t="str">
        <f t="shared" si="61"/>
        <v>Mumbai</v>
      </c>
      <c r="K292" t="str">
        <f t="shared" si="62"/>
        <v>Bpcl</v>
      </c>
      <c r="L292" s="4" t="str">
        <f t="shared" si="63"/>
        <v>Bpcl</v>
      </c>
      <c r="M292" s="4" t="str">
        <f t="shared" si="64"/>
        <v>Bharat Dc-001</v>
      </c>
      <c r="N292" s="4" t="str">
        <f t="shared" si="65"/>
        <v>Bharat Dc-001</v>
      </c>
      <c r="O292" s="4" t="str">
        <f t="shared" si="66"/>
        <v>Decommissioned</v>
      </c>
      <c r="P292" s="4" t="str">
        <f t="shared" si="67"/>
        <v>Decommissioned</v>
      </c>
      <c r="Q292" s="4" t="str">
        <f t="shared" si="68"/>
        <v>Mumbai</v>
      </c>
      <c r="R292" s="4" t="b">
        <f t="shared" si="69"/>
        <v>1</v>
      </c>
      <c r="S292" s="5" t="str">
        <f t="shared" si="70"/>
        <v>46032</v>
      </c>
      <c r="T292" s="4" t="str">
        <f t="shared" si="71"/>
        <v>Government</v>
      </c>
      <c r="U292" s="4" t="str">
        <f t="shared" si="72"/>
        <v>fast</v>
      </c>
      <c r="V292" s="4">
        <f t="shared" si="73"/>
        <v>2026</v>
      </c>
      <c r="W292" s="4" t="str">
        <f t="shared" si="74"/>
        <v>India</v>
      </c>
    </row>
    <row r="293" spans="1:23" x14ac:dyDescent="0.25">
      <c r="A293" t="s">
        <v>468</v>
      </c>
      <c r="C293" t="s">
        <v>95</v>
      </c>
      <c r="D293" t="s">
        <v>17</v>
      </c>
      <c r="E293" t="s">
        <v>24</v>
      </c>
      <c r="F293" s="1"/>
      <c r="G293">
        <v>8184.17</v>
      </c>
      <c r="H293">
        <v>80075.789999999994</v>
      </c>
      <c r="I293" t="str">
        <f t="shared" si="60"/>
        <v/>
      </c>
      <c r="J293" t="str">
        <f t="shared" si="61"/>
        <v/>
      </c>
      <c r="K293" t="str">
        <f t="shared" si="62"/>
        <v>Bharat Petroleum</v>
      </c>
      <c r="L293" s="4" t="str">
        <f t="shared" si="63"/>
        <v>Bharat Petroleum</v>
      </c>
      <c r="M293" s="4" t="str">
        <f t="shared" si="64"/>
        <v>Type2 Ac</v>
      </c>
      <c r="N293" s="4" t="str">
        <f t="shared" si="65"/>
        <v>Type2 Ac</v>
      </c>
      <c r="O293" s="4" t="str">
        <f t="shared" si="66"/>
        <v>Active</v>
      </c>
      <c r="P293" s="4" t="str">
        <f t="shared" si="67"/>
        <v>Active</v>
      </c>
      <c r="Q293" s="4" t="str">
        <f t="shared" si="68"/>
        <v/>
      </c>
      <c r="R293" s="4" t="b">
        <f t="shared" si="69"/>
        <v>0</v>
      </c>
      <c r="S293" s="4" t="str">
        <f t="shared" si="70"/>
        <v/>
      </c>
      <c r="T293" s="4" t="str">
        <f t="shared" si="71"/>
        <v>Private</v>
      </c>
      <c r="U293" s="4" t="str">
        <f t="shared" si="72"/>
        <v>Slow</v>
      </c>
      <c r="V293" s="4">
        <f t="shared" si="73"/>
        <v>1900</v>
      </c>
      <c r="W293" s="4" t="str">
        <f t="shared" si="74"/>
        <v>Germany</v>
      </c>
    </row>
    <row r="294" spans="1:23" x14ac:dyDescent="0.25">
      <c r="A294" t="s">
        <v>469</v>
      </c>
      <c r="B294" t="s">
        <v>66</v>
      </c>
      <c r="C294" t="s">
        <v>63</v>
      </c>
      <c r="D294" t="s">
        <v>17</v>
      </c>
      <c r="E294" t="s">
        <v>24</v>
      </c>
      <c r="F294" s="1">
        <v>45882</v>
      </c>
      <c r="G294">
        <v>4368.5600000000004</v>
      </c>
      <c r="H294">
        <v>64109.26</v>
      </c>
      <c r="I294" t="str">
        <f t="shared" si="60"/>
        <v>Pune</v>
      </c>
      <c r="J294" t="str">
        <f t="shared" si="61"/>
        <v>Pune</v>
      </c>
      <c r="K294" t="str">
        <f t="shared" si="62"/>
        <v>Tata Power</v>
      </c>
      <c r="L294" s="4" t="str">
        <f t="shared" si="63"/>
        <v>Tata Power</v>
      </c>
      <c r="M294" s="4" t="str">
        <f t="shared" si="64"/>
        <v>Type2 Ac</v>
      </c>
      <c r="N294" s="4" t="str">
        <f t="shared" si="65"/>
        <v>Type2 Ac</v>
      </c>
      <c r="O294" s="4" t="str">
        <f t="shared" si="66"/>
        <v>Active</v>
      </c>
      <c r="P294" s="4" t="str">
        <f t="shared" si="67"/>
        <v>Active</v>
      </c>
      <c r="Q294" s="4" t="str">
        <f t="shared" si="68"/>
        <v>Pune</v>
      </c>
      <c r="R294" s="4" t="b">
        <f t="shared" si="69"/>
        <v>1</v>
      </c>
      <c r="S294" s="5" t="str">
        <f t="shared" si="70"/>
        <v>45882</v>
      </c>
      <c r="T294" s="4" t="str">
        <f t="shared" si="71"/>
        <v>Government</v>
      </c>
      <c r="U294" s="4" t="str">
        <f t="shared" si="72"/>
        <v>Slow</v>
      </c>
      <c r="V294" s="4">
        <f t="shared" si="73"/>
        <v>2025</v>
      </c>
      <c r="W294" s="4" t="str">
        <f t="shared" si="74"/>
        <v>Germany</v>
      </c>
    </row>
    <row r="295" spans="1:23" x14ac:dyDescent="0.25">
      <c r="A295" t="s">
        <v>471</v>
      </c>
      <c r="B295" t="s">
        <v>13</v>
      </c>
      <c r="C295" t="s">
        <v>41</v>
      </c>
      <c r="D295" t="s">
        <v>17</v>
      </c>
      <c r="E295" t="s">
        <v>24</v>
      </c>
      <c r="F295" s="1">
        <v>45776</v>
      </c>
      <c r="G295">
        <v>6184.52</v>
      </c>
      <c r="H295">
        <v>79209.77</v>
      </c>
      <c r="I295" t="str">
        <f t="shared" si="60"/>
        <v>Bengaluru</v>
      </c>
      <c r="J295" t="str">
        <f t="shared" si="61"/>
        <v>Bengaluru</v>
      </c>
      <c r="K295" t="str">
        <f t="shared" si="62"/>
        <v>Ather Grid</v>
      </c>
      <c r="L295" s="4" t="str">
        <f t="shared" si="63"/>
        <v>Ather Grid</v>
      </c>
      <c r="M295" s="4" t="str">
        <f t="shared" si="64"/>
        <v>Type2 Ac</v>
      </c>
      <c r="N295" s="4" t="str">
        <f t="shared" si="65"/>
        <v>Type2 Ac</v>
      </c>
      <c r="O295" s="4" t="str">
        <f t="shared" si="66"/>
        <v>Active</v>
      </c>
      <c r="P295" s="4" t="str">
        <f t="shared" si="67"/>
        <v>Active</v>
      </c>
      <c r="Q295" s="4" t="str">
        <f t="shared" si="68"/>
        <v>Bengaluru</v>
      </c>
      <c r="R295" s="4" t="b">
        <f t="shared" si="69"/>
        <v>1</v>
      </c>
      <c r="S295" s="5" t="str">
        <f t="shared" si="70"/>
        <v>45776</v>
      </c>
      <c r="T295" s="4" t="str">
        <f t="shared" si="71"/>
        <v>Private</v>
      </c>
      <c r="U295" s="4" t="str">
        <f t="shared" si="72"/>
        <v>Slow</v>
      </c>
      <c r="V295" s="4">
        <f t="shared" si="73"/>
        <v>2025</v>
      </c>
      <c r="W295" s="4" t="str">
        <f t="shared" si="74"/>
        <v>Germany</v>
      </c>
    </row>
    <row r="296" spans="1:23" x14ac:dyDescent="0.25">
      <c r="A296" t="s">
        <v>473</v>
      </c>
      <c r="B296" t="s">
        <v>40</v>
      </c>
      <c r="C296" t="s">
        <v>14</v>
      </c>
      <c r="D296" t="s">
        <v>26</v>
      </c>
      <c r="E296" t="s">
        <v>31</v>
      </c>
      <c r="F296" s="1">
        <v>45540</v>
      </c>
      <c r="G296">
        <v>1042.54</v>
      </c>
      <c r="H296">
        <v>11801.42</v>
      </c>
      <c r="I296" t="str">
        <f t="shared" si="60"/>
        <v>Mumbai</v>
      </c>
      <c r="J296" t="str">
        <f t="shared" si="61"/>
        <v>Mumbai</v>
      </c>
      <c r="K296" t="str">
        <f t="shared" si="62"/>
        <v>Charge Point</v>
      </c>
      <c r="L296" s="4" t="str">
        <f t="shared" si="63"/>
        <v>Charge Point</v>
      </c>
      <c r="M296" s="4" t="str">
        <f t="shared" si="64"/>
        <v>Chademo</v>
      </c>
      <c r="N296" s="4" t="str">
        <f t="shared" si="65"/>
        <v>Chademo</v>
      </c>
      <c r="O296" s="4" t="str">
        <f t="shared" si="66"/>
        <v>Maintenance</v>
      </c>
      <c r="P296" s="4" t="str">
        <f t="shared" si="67"/>
        <v>Maintenance</v>
      </c>
      <c r="Q296" s="4" t="str">
        <f t="shared" si="68"/>
        <v>Mumbai</v>
      </c>
      <c r="R296" s="4" t="b">
        <f t="shared" si="69"/>
        <v>1</v>
      </c>
      <c r="S296" s="5" t="str">
        <f t="shared" si="70"/>
        <v>45540</v>
      </c>
      <c r="T296" s="4" t="str">
        <f t="shared" si="71"/>
        <v>Private</v>
      </c>
      <c r="U296" s="4" t="str">
        <f t="shared" si="72"/>
        <v>fast</v>
      </c>
      <c r="V296" s="4">
        <f t="shared" si="73"/>
        <v>2024</v>
      </c>
      <c r="W296" s="4" t="str">
        <f t="shared" si="74"/>
        <v>Japan</v>
      </c>
    </row>
    <row r="297" spans="1:23" x14ac:dyDescent="0.25">
      <c r="A297" t="s">
        <v>474</v>
      </c>
      <c r="B297" t="s">
        <v>766</v>
      </c>
      <c r="C297" t="s">
        <v>36</v>
      </c>
      <c r="D297" t="s">
        <v>48</v>
      </c>
      <c r="E297" t="s">
        <v>31</v>
      </c>
      <c r="F297" s="1" t="s">
        <v>475</v>
      </c>
      <c r="G297">
        <v>1513.89</v>
      </c>
      <c r="H297">
        <v>13077.85</v>
      </c>
      <c r="I297" t="str">
        <f t="shared" si="60"/>
        <v>Chennai</v>
      </c>
      <c r="J297" t="str">
        <f t="shared" si="61"/>
        <v>Chennai</v>
      </c>
      <c r="K297" t="str">
        <f t="shared" si="62"/>
        <v>Zeon Charging</v>
      </c>
      <c r="L297" s="4" t="str">
        <f t="shared" si="63"/>
        <v>Zeon Charging</v>
      </c>
      <c r="M297" s="4" t="str">
        <f t="shared" si="64"/>
        <v>Bharat Dc-001</v>
      </c>
      <c r="N297" s="4" t="str">
        <f t="shared" si="65"/>
        <v>Bharat Dc-001</v>
      </c>
      <c r="O297" s="4" t="str">
        <f t="shared" si="66"/>
        <v>Maintenance</v>
      </c>
      <c r="P297" s="4" t="str">
        <f t="shared" si="67"/>
        <v>Maintenance</v>
      </c>
      <c r="Q297" s="4" t="str">
        <f t="shared" si="68"/>
        <v>Chennai</v>
      </c>
      <c r="R297" s="4" t="b">
        <f t="shared" si="69"/>
        <v>0</v>
      </c>
      <c r="S297" s="5" t="str">
        <f t="shared" si="70"/>
        <v>14/03/2026</v>
      </c>
      <c r="T297" s="4" t="str">
        <f t="shared" si="71"/>
        <v>Private</v>
      </c>
      <c r="U297" s="4" t="str">
        <f t="shared" si="72"/>
        <v>fast</v>
      </c>
      <c r="V297" s="4" t="e">
        <f t="shared" si="73"/>
        <v>#VALUE!</v>
      </c>
      <c r="W297" s="4" t="str">
        <f t="shared" si="74"/>
        <v>India</v>
      </c>
    </row>
    <row r="298" spans="1:23" x14ac:dyDescent="0.25">
      <c r="A298" t="s">
        <v>476</v>
      </c>
      <c r="B298" t="s">
        <v>66</v>
      </c>
      <c r="C298" t="s">
        <v>63</v>
      </c>
      <c r="D298" t="s">
        <v>56</v>
      </c>
      <c r="E298" t="s">
        <v>54</v>
      </c>
      <c r="F298" s="1">
        <v>45776</v>
      </c>
      <c r="G298">
        <v>177.41</v>
      </c>
      <c r="H298">
        <v>1525.29</v>
      </c>
      <c r="I298" t="str">
        <f t="shared" si="60"/>
        <v>Pune</v>
      </c>
      <c r="J298" t="str">
        <f t="shared" si="61"/>
        <v>Pune</v>
      </c>
      <c r="K298" t="str">
        <f t="shared" si="62"/>
        <v>Tata Power</v>
      </c>
      <c r="L298" s="4" t="str">
        <f t="shared" si="63"/>
        <v>Tata Power</v>
      </c>
      <c r="M298" s="4" t="str">
        <f t="shared" si="64"/>
        <v>Ccs2</v>
      </c>
      <c r="N298" s="4" t="str">
        <f t="shared" si="65"/>
        <v>Ccs2</v>
      </c>
      <c r="O298" s="4" t="str">
        <f t="shared" si="66"/>
        <v>Inactive</v>
      </c>
      <c r="P298" s="4" t="str">
        <f t="shared" si="67"/>
        <v>Inactive</v>
      </c>
      <c r="Q298" s="4" t="str">
        <f t="shared" si="68"/>
        <v>Pune</v>
      </c>
      <c r="R298" s="4" t="b">
        <f t="shared" si="69"/>
        <v>1</v>
      </c>
      <c r="S298" s="5" t="str">
        <f t="shared" si="70"/>
        <v>45776</v>
      </c>
      <c r="T298" s="4" t="str">
        <f t="shared" si="71"/>
        <v>Government</v>
      </c>
      <c r="U298" s="4" t="str">
        <f t="shared" si="72"/>
        <v>Ultra Fast</v>
      </c>
      <c r="V298" s="4">
        <f t="shared" si="73"/>
        <v>2025</v>
      </c>
      <c r="W298" s="4" t="str">
        <f t="shared" si="74"/>
        <v>Europe</v>
      </c>
    </row>
    <row r="299" spans="1:23" x14ac:dyDescent="0.25">
      <c r="A299" t="s">
        <v>477</v>
      </c>
      <c r="B299" t="s">
        <v>70</v>
      </c>
      <c r="C299" t="s">
        <v>14</v>
      </c>
      <c r="D299" t="s">
        <v>26</v>
      </c>
      <c r="E299" t="s">
        <v>24</v>
      </c>
      <c r="F299" s="1">
        <v>46118</v>
      </c>
      <c r="G299">
        <v>3471.05</v>
      </c>
      <c r="H299">
        <v>38261.85</v>
      </c>
      <c r="I299" t="str">
        <f t="shared" si="60"/>
        <v>Delhi</v>
      </c>
      <c r="J299" t="str">
        <f t="shared" si="61"/>
        <v>Delhi</v>
      </c>
      <c r="K299" t="str">
        <f t="shared" si="62"/>
        <v>Charge Point</v>
      </c>
      <c r="L299" s="4" t="str">
        <f t="shared" si="63"/>
        <v>Charge Point</v>
      </c>
      <c r="M299" s="4" t="str">
        <f t="shared" si="64"/>
        <v>Chademo</v>
      </c>
      <c r="N299" s="4" t="str">
        <f t="shared" si="65"/>
        <v>Chademo</v>
      </c>
      <c r="O299" s="4" t="str">
        <f t="shared" si="66"/>
        <v>Active</v>
      </c>
      <c r="P299" s="4" t="str">
        <f t="shared" si="67"/>
        <v>Active</v>
      </c>
      <c r="Q299" s="4" t="str">
        <f t="shared" si="68"/>
        <v>Delhi</v>
      </c>
      <c r="R299" s="4" t="b">
        <f t="shared" si="69"/>
        <v>1</v>
      </c>
      <c r="S299" s="5" t="str">
        <f t="shared" si="70"/>
        <v>46118</v>
      </c>
      <c r="T299" s="4" t="str">
        <f t="shared" si="71"/>
        <v>Private</v>
      </c>
      <c r="U299" s="4" t="str">
        <f t="shared" si="72"/>
        <v>fast</v>
      </c>
      <c r="V299" s="4">
        <f t="shared" si="73"/>
        <v>2026</v>
      </c>
      <c r="W299" s="4" t="str">
        <f t="shared" si="74"/>
        <v>Japan</v>
      </c>
    </row>
    <row r="300" spans="1:23" x14ac:dyDescent="0.25">
      <c r="A300" t="s">
        <v>478</v>
      </c>
      <c r="B300" t="s">
        <v>35</v>
      </c>
      <c r="C300" t="s">
        <v>63</v>
      </c>
      <c r="D300" t="s">
        <v>56</v>
      </c>
      <c r="E300" t="s">
        <v>54</v>
      </c>
      <c r="F300" s="1">
        <v>45708</v>
      </c>
      <c r="G300">
        <v>139.83000000000001</v>
      </c>
      <c r="H300">
        <v>1847.45</v>
      </c>
      <c r="I300" t="str">
        <f t="shared" si="60"/>
        <v>Chennai</v>
      </c>
      <c r="J300" t="str">
        <f t="shared" si="61"/>
        <v>Chennai</v>
      </c>
      <c r="K300" t="str">
        <f t="shared" si="62"/>
        <v>Tata Power</v>
      </c>
      <c r="L300" s="4" t="str">
        <f t="shared" si="63"/>
        <v>Tata Power</v>
      </c>
      <c r="M300" s="4" t="str">
        <f t="shared" si="64"/>
        <v>Ccs2</v>
      </c>
      <c r="N300" s="4" t="str">
        <f t="shared" si="65"/>
        <v>Ccs2</v>
      </c>
      <c r="O300" s="4" t="str">
        <f t="shared" si="66"/>
        <v>Inactive</v>
      </c>
      <c r="P300" s="4" t="str">
        <f t="shared" si="67"/>
        <v>Inactive</v>
      </c>
      <c r="Q300" s="4" t="str">
        <f t="shared" si="68"/>
        <v>Chennai</v>
      </c>
      <c r="R300" s="4" t="b">
        <f t="shared" si="69"/>
        <v>1</v>
      </c>
      <c r="S300" s="5" t="str">
        <f t="shared" si="70"/>
        <v>45708</v>
      </c>
      <c r="T300" s="4" t="str">
        <f t="shared" si="71"/>
        <v>Government</v>
      </c>
      <c r="U300" s="4" t="str">
        <f t="shared" si="72"/>
        <v>Ultra Fast</v>
      </c>
      <c r="V300" s="4">
        <f t="shared" si="73"/>
        <v>2025</v>
      </c>
      <c r="W300" s="4" t="str">
        <f t="shared" si="74"/>
        <v>Europe</v>
      </c>
    </row>
    <row r="301" spans="1:23" x14ac:dyDescent="0.25">
      <c r="A301" t="s">
        <v>480</v>
      </c>
      <c r="B301" t="s">
        <v>40</v>
      </c>
      <c r="C301" t="s">
        <v>764</v>
      </c>
      <c r="D301" t="s">
        <v>56</v>
      </c>
      <c r="E301" t="s">
        <v>31</v>
      </c>
      <c r="F301" s="1">
        <v>45486</v>
      </c>
      <c r="G301">
        <v>1828.85</v>
      </c>
      <c r="H301">
        <v>19401.41</v>
      </c>
      <c r="I301" t="str">
        <f t="shared" si="60"/>
        <v>Mumbai</v>
      </c>
      <c r="J301" t="str">
        <f t="shared" si="61"/>
        <v>Mumbai</v>
      </c>
      <c r="K301" t="str">
        <f t="shared" si="62"/>
        <v>Bpcl</v>
      </c>
      <c r="L301" s="4" t="str">
        <f t="shared" si="63"/>
        <v>Bpcl</v>
      </c>
      <c r="M301" s="4" t="str">
        <f t="shared" si="64"/>
        <v>Ccs2</v>
      </c>
      <c r="N301" s="4" t="str">
        <f t="shared" si="65"/>
        <v>Ccs2</v>
      </c>
      <c r="O301" s="4" t="str">
        <f t="shared" si="66"/>
        <v>Maintenance</v>
      </c>
      <c r="P301" s="4" t="str">
        <f t="shared" si="67"/>
        <v>Maintenance</v>
      </c>
      <c r="Q301" s="4" t="str">
        <f t="shared" si="68"/>
        <v>Mumbai</v>
      </c>
      <c r="R301" s="4" t="b">
        <f t="shared" si="69"/>
        <v>1</v>
      </c>
      <c r="S301" s="5" t="str">
        <f t="shared" si="70"/>
        <v>45486</v>
      </c>
      <c r="T301" s="4" t="str">
        <f t="shared" si="71"/>
        <v>Government</v>
      </c>
      <c r="U301" s="4" t="str">
        <f t="shared" si="72"/>
        <v>Ultra Fast</v>
      </c>
      <c r="V301" s="4">
        <f t="shared" si="73"/>
        <v>2024</v>
      </c>
      <c r="W301" s="4" t="str">
        <f t="shared" si="74"/>
        <v>Europe</v>
      </c>
    </row>
    <row r="302" spans="1:23" x14ac:dyDescent="0.25">
      <c r="A302" t="s">
        <v>482</v>
      </c>
      <c r="B302" t="s">
        <v>40</v>
      </c>
      <c r="C302" t="s">
        <v>36</v>
      </c>
      <c r="D302" t="s">
        <v>26</v>
      </c>
      <c r="E302" t="s">
        <v>24</v>
      </c>
      <c r="F302" s="1">
        <v>45388</v>
      </c>
      <c r="G302">
        <v>10621.23</v>
      </c>
      <c r="H302">
        <v>94643.74</v>
      </c>
      <c r="I302" t="str">
        <f t="shared" si="60"/>
        <v>Mumbai</v>
      </c>
      <c r="J302" t="str">
        <f t="shared" si="61"/>
        <v>Mumbai</v>
      </c>
      <c r="K302" t="str">
        <f t="shared" si="62"/>
        <v>Zeon Charging</v>
      </c>
      <c r="L302" s="4" t="str">
        <f t="shared" si="63"/>
        <v>Zeon Charging</v>
      </c>
      <c r="M302" s="4" t="str">
        <f t="shared" si="64"/>
        <v>Chademo</v>
      </c>
      <c r="N302" s="4" t="str">
        <f t="shared" si="65"/>
        <v>Chademo</v>
      </c>
      <c r="O302" s="4" t="str">
        <f t="shared" si="66"/>
        <v>Active</v>
      </c>
      <c r="P302" s="4" t="str">
        <f t="shared" si="67"/>
        <v>Active</v>
      </c>
      <c r="Q302" s="4" t="str">
        <f t="shared" si="68"/>
        <v>Mumbai</v>
      </c>
      <c r="R302" s="4" t="b">
        <f t="shared" si="69"/>
        <v>1</v>
      </c>
      <c r="S302" s="5" t="str">
        <f t="shared" si="70"/>
        <v>45388</v>
      </c>
      <c r="T302" s="4" t="str">
        <f t="shared" si="71"/>
        <v>Private</v>
      </c>
      <c r="U302" s="4" t="str">
        <f t="shared" si="72"/>
        <v>fast</v>
      </c>
      <c r="V302" s="4">
        <f t="shared" si="73"/>
        <v>2024</v>
      </c>
      <c r="W302" s="4" t="str">
        <f t="shared" si="74"/>
        <v>Japan</v>
      </c>
    </row>
    <row r="303" spans="1:23" x14ac:dyDescent="0.25">
      <c r="A303" t="s">
        <v>483</v>
      </c>
      <c r="B303" t="s">
        <v>766</v>
      </c>
      <c r="C303" t="s">
        <v>14</v>
      </c>
      <c r="D303" t="s">
        <v>56</v>
      </c>
      <c r="E303" t="s">
        <v>15</v>
      </c>
      <c r="F303" s="1">
        <v>45391</v>
      </c>
      <c r="G303">
        <v>111.16</v>
      </c>
      <c r="H303">
        <v>935.95</v>
      </c>
      <c r="I303" t="str">
        <f t="shared" si="60"/>
        <v>Chennai</v>
      </c>
      <c r="J303" t="str">
        <f t="shared" si="61"/>
        <v>Chennai</v>
      </c>
      <c r="K303" t="str">
        <f t="shared" si="62"/>
        <v>Charge Point</v>
      </c>
      <c r="L303" s="4" t="str">
        <f t="shared" si="63"/>
        <v>Charge Point</v>
      </c>
      <c r="M303" s="4" t="str">
        <f t="shared" si="64"/>
        <v>Ccs2</v>
      </c>
      <c r="N303" s="4" t="str">
        <f t="shared" si="65"/>
        <v>Ccs2</v>
      </c>
      <c r="O303" s="4" t="str">
        <f t="shared" si="66"/>
        <v>Decommissioned</v>
      </c>
      <c r="P303" s="4" t="str">
        <f t="shared" si="67"/>
        <v>Decommissioned</v>
      </c>
      <c r="Q303" s="4" t="str">
        <f t="shared" si="68"/>
        <v>Chennai</v>
      </c>
      <c r="R303" s="4" t="b">
        <f t="shared" si="69"/>
        <v>1</v>
      </c>
      <c r="S303" s="5" t="str">
        <f t="shared" si="70"/>
        <v>45391</v>
      </c>
      <c r="T303" s="4" t="str">
        <f t="shared" si="71"/>
        <v>Private</v>
      </c>
      <c r="U303" s="4" t="str">
        <f t="shared" si="72"/>
        <v>Ultra Fast</v>
      </c>
      <c r="V303" s="4">
        <f t="shared" si="73"/>
        <v>2024</v>
      </c>
      <c r="W303" s="4" t="str">
        <f t="shared" si="74"/>
        <v>Europe</v>
      </c>
    </row>
    <row r="304" spans="1:23" x14ac:dyDescent="0.25">
      <c r="A304" t="s">
        <v>484</v>
      </c>
      <c r="B304" t="s">
        <v>35</v>
      </c>
      <c r="C304" t="s">
        <v>14</v>
      </c>
      <c r="D304" t="s">
        <v>48</v>
      </c>
      <c r="E304" t="s">
        <v>31</v>
      </c>
      <c r="F304" s="1">
        <v>45966</v>
      </c>
      <c r="G304">
        <v>1598.22</v>
      </c>
      <c r="H304">
        <v>23488.04</v>
      </c>
      <c r="I304" t="str">
        <f t="shared" si="60"/>
        <v>Chennai</v>
      </c>
      <c r="J304" t="str">
        <f t="shared" si="61"/>
        <v>Chennai</v>
      </c>
      <c r="K304" t="str">
        <f t="shared" si="62"/>
        <v>Charge Point</v>
      </c>
      <c r="L304" s="4" t="str">
        <f t="shared" si="63"/>
        <v>Charge Point</v>
      </c>
      <c r="M304" s="4" t="str">
        <f t="shared" si="64"/>
        <v>Bharat Dc-001</v>
      </c>
      <c r="N304" s="4" t="str">
        <f t="shared" si="65"/>
        <v>Bharat Dc-001</v>
      </c>
      <c r="O304" s="4" t="str">
        <f t="shared" si="66"/>
        <v>Maintenance</v>
      </c>
      <c r="P304" s="4" t="str">
        <f t="shared" si="67"/>
        <v>Maintenance</v>
      </c>
      <c r="Q304" s="4" t="str">
        <f t="shared" si="68"/>
        <v>Chennai</v>
      </c>
      <c r="R304" s="4" t="b">
        <f t="shared" si="69"/>
        <v>1</v>
      </c>
      <c r="S304" s="5" t="str">
        <f t="shared" si="70"/>
        <v>45966</v>
      </c>
      <c r="T304" s="4" t="str">
        <f t="shared" si="71"/>
        <v>Private</v>
      </c>
      <c r="U304" s="4" t="str">
        <f t="shared" si="72"/>
        <v>fast</v>
      </c>
      <c r="V304" s="4">
        <f t="shared" si="73"/>
        <v>2025</v>
      </c>
      <c r="W304" s="4" t="str">
        <f t="shared" si="74"/>
        <v>India</v>
      </c>
    </row>
    <row r="305" spans="1:23" x14ac:dyDescent="0.25">
      <c r="A305" t="s">
        <v>485</v>
      </c>
      <c r="B305" t="s">
        <v>30</v>
      </c>
      <c r="C305" t="s">
        <v>14</v>
      </c>
      <c r="D305" t="s">
        <v>56</v>
      </c>
      <c r="E305" t="s">
        <v>54</v>
      </c>
      <c r="F305" s="1">
        <v>45733</v>
      </c>
      <c r="G305">
        <v>95.53</v>
      </c>
      <c r="H305">
        <v>1139.8399999999999</v>
      </c>
      <c r="I305" t="str">
        <f t="shared" si="60"/>
        <v>Hyderabad</v>
      </c>
      <c r="J305" t="str">
        <f t="shared" si="61"/>
        <v>Hyderabad</v>
      </c>
      <c r="K305" t="str">
        <f t="shared" si="62"/>
        <v>Charge Point</v>
      </c>
      <c r="L305" s="4" t="str">
        <f t="shared" si="63"/>
        <v>Charge Point</v>
      </c>
      <c r="M305" s="4" t="str">
        <f t="shared" si="64"/>
        <v>Ccs2</v>
      </c>
      <c r="N305" s="4" t="str">
        <f t="shared" si="65"/>
        <v>Ccs2</v>
      </c>
      <c r="O305" s="4" t="str">
        <f t="shared" si="66"/>
        <v>Inactive</v>
      </c>
      <c r="P305" s="4" t="str">
        <f t="shared" si="67"/>
        <v>Inactive</v>
      </c>
      <c r="Q305" s="4" t="str">
        <f t="shared" si="68"/>
        <v>Hyderabad</v>
      </c>
      <c r="R305" s="4" t="b">
        <f t="shared" si="69"/>
        <v>1</v>
      </c>
      <c r="S305" s="5" t="str">
        <f t="shared" si="70"/>
        <v>45733</v>
      </c>
      <c r="T305" s="4" t="str">
        <f t="shared" si="71"/>
        <v>Private</v>
      </c>
      <c r="U305" s="4" t="str">
        <f t="shared" si="72"/>
        <v>Ultra Fast</v>
      </c>
      <c r="V305" s="4">
        <f t="shared" si="73"/>
        <v>2025</v>
      </c>
      <c r="W305" s="4" t="str">
        <f t="shared" si="74"/>
        <v>Europe</v>
      </c>
    </row>
    <row r="306" spans="1:23" x14ac:dyDescent="0.25">
      <c r="A306" t="s">
        <v>487</v>
      </c>
      <c r="B306" t="s">
        <v>30</v>
      </c>
      <c r="C306" t="s">
        <v>14</v>
      </c>
      <c r="D306" t="s">
        <v>48</v>
      </c>
      <c r="E306" t="s">
        <v>24</v>
      </c>
      <c r="F306" s="1">
        <v>45654</v>
      </c>
      <c r="G306">
        <v>3275.59</v>
      </c>
      <c r="H306">
        <v>41567.54</v>
      </c>
      <c r="I306" t="str">
        <f t="shared" si="60"/>
        <v>Hyderabad</v>
      </c>
      <c r="J306" t="str">
        <f t="shared" si="61"/>
        <v>Hyderabad</v>
      </c>
      <c r="K306" t="str">
        <f t="shared" si="62"/>
        <v>Charge Point</v>
      </c>
      <c r="L306" s="4" t="str">
        <f t="shared" si="63"/>
        <v>Charge Point</v>
      </c>
      <c r="M306" s="4" t="str">
        <f t="shared" si="64"/>
        <v>Bharat Dc-001</v>
      </c>
      <c r="N306" s="4" t="str">
        <f t="shared" si="65"/>
        <v>Bharat Dc-001</v>
      </c>
      <c r="O306" s="4" t="str">
        <f t="shared" si="66"/>
        <v>Active</v>
      </c>
      <c r="P306" s="4" t="str">
        <f t="shared" si="67"/>
        <v>Active</v>
      </c>
      <c r="Q306" s="4" t="str">
        <f t="shared" si="68"/>
        <v>Hyderabad</v>
      </c>
      <c r="R306" s="4" t="b">
        <f t="shared" si="69"/>
        <v>1</v>
      </c>
      <c r="S306" s="5" t="str">
        <f t="shared" si="70"/>
        <v>45654</v>
      </c>
      <c r="T306" s="4" t="str">
        <f t="shared" si="71"/>
        <v>Private</v>
      </c>
      <c r="U306" s="4" t="str">
        <f t="shared" si="72"/>
        <v>fast</v>
      </c>
      <c r="V306" s="4">
        <f t="shared" si="73"/>
        <v>2024</v>
      </c>
      <c r="W306" s="4" t="str">
        <f t="shared" si="74"/>
        <v>India</v>
      </c>
    </row>
    <row r="307" spans="1:23" x14ac:dyDescent="0.25">
      <c r="A307" t="s">
        <v>489</v>
      </c>
      <c r="B307" t="s">
        <v>23</v>
      </c>
      <c r="C307" t="s">
        <v>14</v>
      </c>
      <c r="D307" t="s">
        <v>48</v>
      </c>
      <c r="E307" t="s">
        <v>24</v>
      </c>
      <c r="F307" s="1">
        <v>45725</v>
      </c>
      <c r="G307">
        <v>5173.92</v>
      </c>
      <c r="H307">
        <v>56269.8</v>
      </c>
      <c r="I307" t="str">
        <f t="shared" si="60"/>
        <v>Ahemdabad</v>
      </c>
      <c r="J307" t="str">
        <f t="shared" si="61"/>
        <v>Ahemdabad</v>
      </c>
      <c r="K307" t="str">
        <f t="shared" si="62"/>
        <v>Charge Point</v>
      </c>
      <c r="L307" s="4" t="str">
        <f t="shared" si="63"/>
        <v>Charge Point</v>
      </c>
      <c r="M307" s="4" t="str">
        <f t="shared" si="64"/>
        <v>Bharat Dc-001</v>
      </c>
      <c r="N307" s="4" t="str">
        <f t="shared" si="65"/>
        <v>Bharat Dc-001</v>
      </c>
      <c r="O307" s="4" t="str">
        <f t="shared" si="66"/>
        <v>Active</v>
      </c>
      <c r="P307" s="4" t="str">
        <f t="shared" si="67"/>
        <v>Active</v>
      </c>
      <c r="Q307" s="4" t="str">
        <f t="shared" si="68"/>
        <v>Ahemdabad</v>
      </c>
      <c r="R307" s="4" t="b">
        <f t="shared" si="69"/>
        <v>1</v>
      </c>
      <c r="S307" s="5" t="str">
        <f t="shared" si="70"/>
        <v>45725</v>
      </c>
      <c r="T307" s="4" t="str">
        <f t="shared" si="71"/>
        <v>Private</v>
      </c>
      <c r="U307" s="4" t="str">
        <f t="shared" si="72"/>
        <v>fast</v>
      </c>
      <c r="V307" s="4">
        <f t="shared" si="73"/>
        <v>2025</v>
      </c>
      <c r="W307" s="4" t="str">
        <f t="shared" si="74"/>
        <v>India</v>
      </c>
    </row>
    <row r="308" spans="1:23" x14ac:dyDescent="0.25">
      <c r="A308" t="s">
        <v>490</v>
      </c>
      <c r="B308" t="s">
        <v>35</v>
      </c>
      <c r="C308" t="s">
        <v>63</v>
      </c>
      <c r="D308" t="s">
        <v>48</v>
      </c>
      <c r="E308" t="s">
        <v>24</v>
      </c>
      <c r="F308" s="1">
        <v>45712</v>
      </c>
      <c r="G308">
        <v>6884.53</v>
      </c>
      <c r="H308">
        <v>97176.87</v>
      </c>
      <c r="I308" t="str">
        <f t="shared" si="60"/>
        <v>Chennai</v>
      </c>
      <c r="J308" t="str">
        <f t="shared" si="61"/>
        <v>Chennai</v>
      </c>
      <c r="K308" t="str">
        <f t="shared" si="62"/>
        <v>Tata Power</v>
      </c>
      <c r="L308" s="4" t="str">
        <f t="shared" si="63"/>
        <v>Tata Power</v>
      </c>
      <c r="M308" s="4" t="str">
        <f t="shared" si="64"/>
        <v>Bharat Dc-001</v>
      </c>
      <c r="N308" s="4" t="str">
        <f t="shared" si="65"/>
        <v>Bharat Dc-001</v>
      </c>
      <c r="O308" s="4" t="str">
        <f t="shared" si="66"/>
        <v>Active</v>
      </c>
      <c r="P308" s="4" t="str">
        <f t="shared" si="67"/>
        <v>Active</v>
      </c>
      <c r="Q308" s="4" t="str">
        <f t="shared" si="68"/>
        <v>Chennai</v>
      </c>
      <c r="R308" s="4" t="b">
        <f t="shared" si="69"/>
        <v>1</v>
      </c>
      <c r="S308" s="5" t="str">
        <f t="shared" si="70"/>
        <v>45712</v>
      </c>
      <c r="T308" s="4" t="str">
        <f t="shared" si="71"/>
        <v>Government</v>
      </c>
      <c r="U308" s="4" t="str">
        <f t="shared" si="72"/>
        <v>fast</v>
      </c>
      <c r="V308" s="4">
        <f t="shared" si="73"/>
        <v>2025</v>
      </c>
      <c r="W308" s="4" t="str">
        <f t="shared" si="74"/>
        <v>India</v>
      </c>
    </row>
    <row r="309" spans="1:23" x14ac:dyDescent="0.25">
      <c r="A309" t="s">
        <v>492</v>
      </c>
      <c r="B309" t="s">
        <v>70</v>
      </c>
      <c r="C309" t="s">
        <v>36</v>
      </c>
      <c r="D309" t="s">
        <v>17</v>
      </c>
      <c r="E309" t="s">
        <v>24</v>
      </c>
      <c r="F309" s="1">
        <v>45770</v>
      </c>
      <c r="G309">
        <v>3263.73</v>
      </c>
      <c r="H309">
        <v>47611</v>
      </c>
      <c r="I309" t="str">
        <f t="shared" si="60"/>
        <v>Delhi</v>
      </c>
      <c r="J309" t="str">
        <f t="shared" si="61"/>
        <v>Delhi</v>
      </c>
      <c r="K309" t="str">
        <f t="shared" si="62"/>
        <v>Zeon Charging</v>
      </c>
      <c r="L309" s="4" t="str">
        <f t="shared" si="63"/>
        <v>Zeon Charging</v>
      </c>
      <c r="M309" s="4" t="str">
        <f t="shared" si="64"/>
        <v>Type2 Ac</v>
      </c>
      <c r="N309" s="4" t="str">
        <f t="shared" si="65"/>
        <v>Type2 Ac</v>
      </c>
      <c r="O309" s="4" t="str">
        <f t="shared" si="66"/>
        <v>Active</v>
      </c>
      <c r="P309" s="4" t="str">
        <f t="shared" si="67"/>
        <v>Active</v>
      </c>
      <c r="Q309" s="4" t="str">
        <f t="shared" si="68"/>
        <v>Delhi</v>
      </c>
      <c r="R309" s="4" t="b">
        <f t="shared" si="69"/>
        <v>1</v>
      </c>
      <c r="S309" s="5" t="str">
        <f t="shared" si="70"/>
        <v>45770</v>
      </c>
      <c r="T309" s="4" t="str">
        <f t="shared" si="71"/>
        <v>Private</v>
      </c>
      <c r="U309" s="4" t="str">
        <f t="shared" si="72"/>
        <v>Slow</v>
      </c>
      <c r="V309" s="4">
        <f t="shared" si="73"/>
        <v>2025</v>
      </c>
      <c r="W309" s="4" t="str">
        <f t="shared" si="74"/>
        <v>Germany</v>
      </c>
    </row>
    <row r="310" spans="1:23" x14ac:dyDescent="0.25">
      <c r="A310" t="s">
        <v>494</v>
      </c>
      <c r="B310" t="s">
        <v>66</v>
      </c>
      <c r="C310" t="s">
        <v>764</v>
      </c>
      <c r="D310" t="s">
        <v>56</v>
      </c>
      <c r="E310" t="s">
        <v>24</v>
      </c>
      <c r="F310" s="1">
        <v>46038</v>
      </c>
      <c r="G310">
        <v>5975.07</v>
      </c>
      <c r="H310">
        <v>65490.1</v>
      </c>
      <c r="I310" t="str">
        <f t="shared" si="60"/>
        <v>Pune</v>
      </c>
      <c r="J310" t="str">
        <f t="shared" si="61"/>
        <v>Pune</v>
      </c>
      <c r="K310" t="str">
        <f t="shared" si="62"/>
        <v>Bpcl</v>
      </c>
      <c r="L310" s="4" t="str">
        <f t="shared" si="63"/>
        <v>Bpcl</v>
      </c>
      <c r="M310" s="4" t="str">
        <f t="shared" si="64"/>
        <v>Ccs2</v>
      </c>
      <c r="N310" s="4" t="str">
        <f t="shared" si="65"/>
        <v>Ccs2</v>
      </c>
      <c r="O310" s="4" t="str">
        <f t="shared" si="66"/>
        <v>Active</v>
      </c>
      <c r="P310" s="4" t="str">
        <f t="shared" si="67"/>
        <v>Active</v>
      </c>
      <c r="Q310" s="4" t="str">
        <f t="shared" si="68"/>
        <v>Pune</v>
      </c>
      <c r="R310" s="4" t="b">
        <f t="shared" si="69"/>
        <v>1</v>
      </c>
      <c r="S310" s="5" t="str">
        <f t="shared" si="70"/>
        <v>46038</v>
      </c>
      <c r="T310" s="4" t="str">
        <f t="shared" si="71"/>
        <v>Government</v>
      </c>
      <c r="U310" s="4" t="str">
        <f t="shared" si="72"/>
        <v>Ultra Fast</v>
      </c>
      <c r="V310" s="4">
        <f t="shared" si="73"/>
        <v>2026</v>
      </c>
      <c r="W310" s="4" t="str">
        <f t="shared" si="74"/>
        <v>Europe</v>
      </c>
    </row>
    <row r="311" spans="1:23" x14ac:dyDescent="0.25">
      <c r="A311" t="s">
        <v>495</v>
      </c>
      <c r="B311" t="s">
        <v>70</v>
      </c>
      <c r="C311" t="s">
        <v>764</v>
      </c>
      <c r="D311" t="s">
        <v>26</v>
      </c>
      <c r="E311" t="s">
        <v>31</v>
      </c>
      <c r="F311" s="1">
        <v>45347</v>
      </c>
      <c r="G311">
        <v>2164.34</v>
      </c>
      <c r="H311">
        <v>31190.1</v>
      </c>
      <c r="I311" t="str">
        <f t="shared" si="60"/>
        <v>Delhi</v>
      </c>
      <c r="J311" t="str">
        <f t="shared" si="61"/>
        <v>Delhi</v>
      </c>
      <c r="K311" t="str">
        <f t="shared" si="62"/>
        <v>Bpcl</v>
      </c>
      <c r="L311" s="4" t="str">
        <f t="shared" si="63"/>
        <v>Bpcl</v>
      </c>
      <c r="M311" s="4" t="str">
        <f t="shared" si="64"/>
        <v>Chademo</v>
      </c>
      <c r="N311" s="4" t="str">
        <f t="shared" si="65"/>
        <v>Chademo</v>
      </c>
      <c r="O311" s="4" t="str">
        <f t="shared" si="66"/>
        <v>Maintenance</v>
      </c>
      <c r="P311" s="4" t="str">
        <f t="shared" si="67"/>
        <v>Maintenance</v>
      </c>
      <c r="Q311" s="4" t="str">
        <f t="shared" si="68"/>
        <v>Delhi</v>
      </c>
      <c r="R311" s="4" t="b">
        <f t="shared" si="69"/>
        <v>1</v>
      </c>
      <c r="S311" s="5" t="str">
        <f t="shared" si="70"/>
        <v>45347</v>
      </c>
      <c r="T311" s="4" t="str">
        <f t="shared" si="71"/>
        <v>Government</v>
      </c>
      <c r="U311" s="4" t="str">
        <f t="shared" si="72"/>
        <v>fast</v>
      </c>
      <c r="V311" s="4">
        <f t="shared" si="73"/>
        <v>2024</v>
      </c>
      <c r="W311" s="4" t="str">
        <f t="shared" si="74"/>
        <v>Japan</v>
      </c>
    </row>
    <row r="312" spans="1:23" x14ac:dyDescent="0.25">
      <c r="A312" t="s">
        <v>497</v>
      </c>
      <c r="B312" t="s">
        <v>13</v>
      </c>
      <c r="C312" t="s">
        <v>764</v>
      </c>
      <c r="D312" t="s">
        <v>26</v>
      </c>
      <c r="E312" t="s">
        <v>15</v>
      </c>
      <c r="F312" s="1">
        <v>45981</v>
      </c>
      <c r="G312">
        <v>89.63</v>
      </c>
      <c r="H312">
        <v>749.32</v>
      </c>
      <c r="I312" t="str">
        <f t="shared" si="60"/>
        <v>Bengaluru</v>
      </c>
      <c r="J312" t="str">
        <f t="shared" si="61"/>
        <v>Bengaluru</v>
      </c>
      <c r="K312" t="str">
        <f t="shared" si="62"/>
        <v>Bpcl</v>
      </c>
      <c r="L312" s="4" t="str">
        <f t="shared" si="63"/>
        <v>Bpcl</v>
      </c>
      <c r="M312" s="4" t="str">
        <f t="shared" si="64"/>
        <v>Chademo</v>
      </c>
      <c r="N312" s="4" t="str">
        <f t="shared" si="65"/>
        <v>Chademo</v>
      </c>
      <c r="O312" s="4" t="str">
        <f t="shared" si="66"/>
        <v>Decommissioned</v>
      </c>
      <c r="P312" s="4" t="str">
        <f t="shared" si="67"/>
        <v>Decommissioned</v>
      </c>
      <c r="Q312" s="4" t="str">
        <f t="shared" si="68"/>
        <v>Bengaluru</v>
      </c>
      <c r="R312" s="4" t="b">
        <f t="shared" si="69"/>
        <v>1</v>
      </c>
      <c r="S312" s="5" t="str">
        <f t="shared" si="70"/>
        <v>45981</v>
      </c>
      <c r="T312" s="4" t="str">
        <f t="shared" si="71"/>
        <v>Government</v>
      </c>
      <c r="U312" s="4" t="str">
        <f t="shared" si="72"/>
        <v>fast</v>
      </c>
      <c r="V312" s="4">
        <f t="shared" si="73"/>
        <v>2025</v>
      </c>
      <c r="W312" s="4" t="str">
        <f t="shared" si="74"/>
        <v>Japan</v>
      </c>
    </row>
    <row r="313" spans="1:23" x14ac:dyDescent="0.25">
      <c r="A313" t="s">
        <v>499</v>
      </c>
      <c r="B313" t="s">
        <v>40</v>
      </c>
      <c r="C313" t="s">
        <v>764</v>
      </c>
      <c r="D313" t="s">
        <v>56</v>
      </c>
      <c r="E313" t="s">
        <v>54</v>
      </c>
      <c r="F313" s="1">
        <v>45961</v>
      </c>
      <c r="G313">
        <v>8.6199999999999992</v>
      </c>
      <c r="H313">
        <v>86.32</v>
      </c>
      <c r="I313" t="str">
        <f t="shared" si="60"/>
        <v>Mumbai</v>
      </c>
      <c r="J313" t="str">
        <f t="shared" si="61"/>
        <v>Mumbai</v>
      </c>
      <c r="K313" t="str">
        <f t="shared" si="62"/>
        <v>Bpcl</v>
      </c>
      <c r="L313" s="4" t="str">
        <f t="shared" si="63"/>
        <v>Bpcl</v>
      </c>
      <c r="M313" s="4" t="str">
        <f t="shared" si="64"/>
        <v>Ccs2</v>
      </c>
      <c r="N313" s="4" t="str">
        <f t="shared" si="65"/>
        <v>Ccs2</v>
      </c>
      <c r="O313" s="4" t="str">
        <f t="shared" si="66"/>
        <v>Inactive</v>
      </c>
      <c r="P313" s="4" t="str">
        <f t="shared" si="67"/>
        <v>Inactive</v>
      </c>
      <c r="Q313" s="4" t="str">
        <f t="shared" si="68"/>
        <v>Mumbai</v>
      </c>
      <c r="R313" s="4" t="b">
        <f t="shared" si="69"/>
        <v>1</v>
      </c>
      <c r="S313" s="5" t="str">
        <f t="shared" si="70"/>
        <v>45961</v>
      </c>
      <c r="T313" s="4" t="str">
        <f t="shared" si="71"/>
        <v>Government</v>
      </c>
      <c r="U313" s="4" t="str">
        <f t="shared" si="72"/>
        <v>Ultra Fast</v>
      </c>
      <c r="V313" s="4">
        <f t="shared" si="73"/>
        <v>2025</v>
      </c>
      <c r="W313" s="4" t="str">
        <f t="shared" si="74"/>
        <v>Europe</v>
      </c>
    </row>
    <row r="314" spans="1:23" x14ac:dyDescent="0.25">
      <c r="A314" t="s">
        <v>501</v>
      </c>
      <c r="B314" t="s">
        <v>40</v>
      </c>
      <c r="C314" t="s">
        <v>63</v>
      </c>
      <c r="D314" t="s">
        <v>17</v>
      </c>
      <c r="E314" t="s">
        <v>24</v>
      </c>
      <c r="F314" s="1">
        <v>45953</v>
      </c>
      <c r="G314">
        <v>3883.71</v>
      </c>
      <c r="H314">
        <v>39563.910000000003</v>
      </c>
      <c r="I314" t="str">
        <f t="shared" si="60"/>
        <v>Mumbai</v>
      </c>
      <c r="J314" t="str">
        <f t="shared" si="61"/>
        <v>Mumbai</v>
      </c>
      <c r="K314" t="str">
        <f t="shared" si="62"/>
        <v>Tata Power</v>
      </c>
      <c r="L314" s="4" t="str">
        <f t="shared" si="63"/>
        <v>Tata Power</v>
      </c>
      <c r="M314" s="4" t="str">
        <f t="shared" si="64"/>
        <v>Type2 Ac</v>
      </c>
      <c r="N314" s="4" t="str">
        <f t="shared" si="65"/>
        <v>Type2 Ac</v>
      </c>
      <c r="O314" s="4" t="str">
        <f t="shared" si="66"/>
        <v>Active</v>
      </c>
      <c r="P314" s="4" t="str">
        <f t="shared" si="67"/>
        <v>Active</v>
      </c>
      <c r="Q314" s="4" t="str">
        <f t="shared" si="68"/>
        <v>Mumbai</v>
      </c>
      <c r="R314" s="4" t="b">
        <f t="shared" si="69"/>
        <v>1</v>
      </c>
      <c r="S314" s="5" t="str">
        <f t="shared" si="70"/>
        <v>45953</v>
      </c>
      <c r="T314" s="4" t="str">
        <f t="shared" si="71"/>
        <v>Government</v>
      </c>
      <c r="U314" s="4" t="str">
        <f t="shared" si="72"/>
        <v>Slow</v>
      </c>
      <c r="V314" s="4">
        <f t="shared" si="73"/>
        <v>2025</v>
      </c>
      <c r="W314" s="4" t="str">
        <f t="shared" si="74"/>
        <v>Germany</v>
      </c>
    </row>
    <row r="315" spans="1:23" x14ac:dyDescent="0.25">
      <c r="A315" t="s">
        <v>503</v>
      </c>
      <c r="B315" t="s">
        <v>23</v>
      </c>
      <c r="C315" t="s">
        <v>41</v>
      </c>
      <c r="D315" t="s">
        <v>17</v>
      </c>
      <c r="E315" t="s">
        <v>24</v>
      </c>
      <c r="F315" s="1">
        <v>45392</v>
      </c>
      <c r="G315">
        <v>5150.6099999999997</v>
      </c>
      <c r="H315">
        <v>44940.12</v>
      </c>
      <c r="I315" t="str">
        <f t="shared" si="60"/>
        <v>Ahemdabad</v>
      </c>
      <c r="J315" t="str">
        <f t="shared" si="61"/>
        <v>Ahemdabad</v>
      </c>
      <c r="K315" t="str">
        <f t="shared" si="62"/>
        <v>Ather Grid</v>
      </c>
      <c r="L315" s="4" t="str">
        <f t="shared" si="63"/>
        <v>Ather Grid</v>
      </c>
      <c r="M315" s="4" t="str">
        <f t="shared" si="64"/>
        <v>Type2 Ac</v>
      </c>
      <c r="N315" s="4" t="str">
        <f t="shared" si="65"/>
        <v>Type2 Ac</v>
      </c>
      <c r="O315" s="4" t="str">
        <f t="shared" si="66"/>
        <v>Active</v>
      </c>
      <c r="P315" s="4" t="str">
        <f t="shared" si="67"/>
        <v>Active</v>
      </c>
      <c r="Q315" s="4" t="str">
        <f t="shared" si="68"/>
        <v>Ahemdabad</v>
      </c>
      <c r="R315" s="4" t="b">
        <f t="shared" si="69"/>
        <v>1</v>
      </c>
      <c r="S315" s="5" t="str">
        <f t="shared" si="70"/>
        <v>45392</v>
      </c>
      <c r="T315" s="4" t="str">
        <f t="shared" si="71"/>
        <v>Private</v>
      </c>
      <c r="U315" s="4" t="str">
        <f t="shared" si="72"/>
        <v>Slow</v>
      </c>
      <c r="V315" s="4">
        <f t="shared" si="73"/>
        <v>2024</v>
      </c>
      <c r="W315" s="4" t="str">
        <f t="shared" si="74"/>
        <v>Germany</v>
      </c>
    </row>
    <row r="316" spans="1:23" x14ac:dyDescent="0.25">
      <c r="A316" t="s">
        <v>504</v>
      </c>
      <c r="B316" t="s">
        <v>66</v>
      </c>
      <c r="C316" t="s">
        <v>36</v>
      </c>
      <c r="D316" t="s">
        <v>48</v>
      </c>
      <c r="E316" t="s">
        <v>24</v>
      </c>
      <c r="F316" s="1">
        <v>45354</v>
      </c>
      <c r="G316">
        <v>3298.01</v>
      </c>
      <c r="H316">
        <v>38098.239999999998</v>
      </c>
      <c r="I316" t="str">
        <f t="shared" si="60"/>
        <v>Pune</v>
      </c>
      <c r="J316" t="str">
        <f t="shared" si="61"/>
        <v>Pune</v>
      </c>
      <c r="K316" t="str">
        <f t="shared" si="62"/>
        <v>Zeon Charging</v>
      </c>
      <c r="L316" s="4" t="str">
        <f t="shared" si="63"/>
        <v>Zeon Charging</v>
      </c>
      <c r="M316" s="4" t="str">
        <f t="shared" si="64"/>
        <v>Bharat Dc-001</v>
      </c>
      <c r="N316" s="4" t="str">
        <f t="shared" si="65"/>
        <v>Bharat Dc-001</v>
      </c>
      <c r="O316" s="4" t="str">
        <f t="shared" si="66"/>
        <v>Active</v>
      </c>
      <c r="P316" s="4" t="str">
        <f t="shared" si="67"/>
        <v>Active</v>
      </c>
      <c r="Q316" s="4" t="str">
        <f t="shared" si="68"/>
        <v>Pune</v>
      </c>
      <c r="R316" s="4" t="b">
        <f t="shared" si="69"/>
        <v>1</v>
      </c>
      <c r="S316" s="5" t="str">
        <f t="shared" si="70"/>
        <v>45354</v>
      </c>
      <c r="T316" s="4" t="str">
        <f t="shared" si="71"/>
        <v>Private</v>
      </c>
      <c r="U316" s="4" t="str">
        <f t="shared" si="72"/>
        <v>fast</v>
      </c>
      <c r="V316" s="4">
        <f t="shared" si="73"/>
        <v>2024</v>
      </c>
      <c r="W316" s="4" t="str">
        <f t="shared" si="74"/>
        <v>India</v>
      </c>
    </row>
    <row r="317" spans="1:23" x14ac:dyDescent="0.25">
      <c r="A317" t="s">
        <v>505</v>
      </c>
      <c r="B317" t="s">
        <v>30</v>
      </c>
      <c r="C317" t="s">
        <v>14</v>
      </c>
      <c r="D317" t="s">
        <v>56</v>
      </c>
      <c r="E317" t="s">
        <v>54</v>
      </c>
      <c r="F317" s="1">
        <v>45704</v>
      </c>
      <c r="G317">
        <v>331.98</v>
      </c>
      <c r="H317">
        <v>3015.41</v>
      </c>
      <c r="I317" t="str">
        <f t="shared" si="60"/>
        <v>Hyderabad</v>
      </c>
      <c r="J317" t="str">
        <f t="shared" si="61"/>
        <v>Hyderabad</v>
      </c>
      <c r="K317" t="str">
        <f t="shared" si="62"/>
        <v>Charge Point</v>
      </c>
      <c r="L317" s="4" t="str">
        <f t="shared" si="63"/>
        <v>Charge Point</v>
      </c>
      <c r="M317" s="4" t="str">
        <f t="shared" si="64"/>
        <v>Ccs2</v>
      </c>
      <c r="N317" s="4" t="str">
        <f t="shared" si="65"/>
        <v>Ccs2</v>
      </c>
      <c r="O317" s="4" t="str">
        <f t="shared" si="66"/>
        <v>Inactive</v>
      </c>
      <c r="P317" s="4" t="str">
        <f t="shared" si="67"/>
        <v>Inactive</v>
      </c>
      <c r="Q317" s="4" t="str">
        <f t="shared" si="68"/>
        <v>Hyderabad</v>
      </c>
      <c r="R317" s="4" t="b">
        <f t="shared" si="69"/>
        <v>1</v>
      </c>
      <c r="S317" s="5" t="str">
        <f t="shared" si="70"/>
        <v>45704</v>
      </c>
      <c r="T317" s="4" t="str">
        <f t="shared" si="71"/>
        <v>Private</v>
      </c>
      <c r="U317" s="4" t="str">
        <f t="shared" si="72"/>
        <v>Ultra Fast</v>
      </c>
      <c r="V317" s="4">
        <f t="shared" si="73"/>
        <v>2025</v>
      </c>
      <c r="W317" s="4" t="str">
        <f t="shared" si="74"/>
        <v>Europe</v>
      </c>
    </row>
    <row r="318" spans="1:23" x14ac:dyDescent="0.25">
      <c r="A318" t="s">
        <v>507</v>
      </c>
      <c r="B318" t="s">
        <v>13</v>
      </c>
      <c r="C318" t="s">
        <v>41</v>
      </c>
      <c r="D318" t="s">
        <v>56</v>
      </c>
      <c r="E318" t="s">
        <v>54</v>
      </c>
      <c r="F318" s="1">
        <v>46037</v>
      </c>
      <c r="G318">
        <v>184.51</v>
      </c>
      <c r="H318">
        <v>2098.86</v>
      </c>
      <c r="I318" t="str">
        <f t="shared" si="60"/>
        <v>Bengaluru</v>
      </c>
      <c r="J318" t="str">
        <f t="shared" si="61"/>
        <v>Bengaluru</v>
      </c>
      <c r="K318" t="str">
        <f t="shared" si="62"/>
        <v>Ather Grid</v>
      </c>
      <c r="L318" s="4" t="str">
        <f t="shared" si="63"/>
        <v>Ather Grid</v>
      </c>
      <c r="M318" s="4" t="str">
        <f t="shared" si="64"/>
        <v>Ccs2</v>
      </c>
      <c r="N318" s="4" t="str">
        <f t="shared" si="65"/>
        <v>Ccs2</v>
      </c>
      <c r="O318" s="4" t="str">
        <f t="shared" si="66"/>
        <v>Inactive</v>
      </c>
      <c r="P318" s="4" t="str">
        <f t="shared" si="67"/>
        <v>Inactive</v>
      </c>
      <c r="Q318" s="4" t="str">
        <f t="shared" si="68"/>
        <v>Bengaluru</v>
      </c>
      <c r="R318" s="4" t="b">
        <f t="shared" si="69"/>
        <v>1</v>
      </c>
      <c r="S318" s="5" t="str">
        <f t="shared" si="70"/>
        <v>46037</v>
      </c>
      <c r="T318" s="4" t="str">
        <f t="shared" si="71"/>
        <v>Private</v>
      </c>
      <c r="U318" s="4" t="str">
        <f t="shared" si="72"/>
        <v>Ultra Fast</v>
      </c>
      <c r="V318" s="4">
        <f t="shared" si="73"/>
        <v>2026</v>
      </c>
      <c r="W318" s="4" t="str">
        <f t="shared" si="74"/>
        <v>Europe</v>
      </c>
    </row>
    <row r="319" spans="1:23" x14ac:dyDescent="0.25">
      <c r="A319" t="s">
        <v>509</v>
      </c>
      <c r="B319" t="s">
        <v>40</v>
      </c>
      <c r="C319" t="s">
        <v>764</v>
      </c>
      <c r="D319" t="s">
        <v>26</v>
      </c>
      <c r="E319" t="s">
        <v>15</v>
      </c>
      <c r="F319" s="1">
        <v>45639</v>
      </c>
      <c r="G319">
        <v>110.69</v>
      </c>
      <c r="H319">
        <v>1542.01</v>
      </c>
      <c r="I319" t="str">
        <f t="shared" si="60"/>
        <v>Mumbai</v>
      </c>
      <c r="J319" t="str">
        <f t="shared" si="61"/>
        <v>Mumbai</v>
      </c>
      <c r="K319" t="str">
        <f t="shared" si="62"/>
        <v>Bpcl</v>
      </c>
      <c r="L319" s="4" t="str">
        <f t="shared" si="63"/>
        <v>Bpcl</v>
      </c>
      <c r="M319" s="4" t="str">
        <f t="shared" si="64"/>
        <v>Chademo</v>
      </c>
      <c r="N319" s="4" t="str">
        <f t="shared" si="65"/>
        <v>Chademo</v>
      </c>
      <c r="O319" s="4" t="str">
        <f t="shared" si="66"/>
        <v>Decommissioned</v>
      </c>
      <c r="P319" s="4" t="str">
        <f t="shared" si="67"/>
        <v>Decommissioned</v>
      </c>
      <c r="Q319" s="4" t="str">
        <f t="shared" si="68"/>
        <v>Mumbai</v>
      </c>
      <c r="R319" s="4" t="b">
        <f t="shared" si="69"/>
        <v>1</v>
      </c>
      <c r="S319" s="5" t="str">
        <f t="shared" si="70"/>
        <v>45639</v>
      </c>
      <c r="T319" s="4" t="str">
        <f t="shared" si="71"/>
        <v>Government</v>
      </c>
      <c r="U319" s="4" t="str">
        <f t="shared" si="72"/>
        <v>fast</v>
      </c>
      <c r="V319" s="4">
        <f t="shared" si="73"/>
        <v>2024</v>
      </c>
      <c r="W319" s="4" t="str">
        <f t="shared" si="74"/>
        <v>Japan</v>
      </c>
    </row>
    <row r="320" spans="1:23" x14ac:dyDescent="0.25">
      <c r="A320" t="s">
        <v>511</v>
      </c>
      <c r="B320" t="s">
        <v>40</v>
      </c>
      <c r="C320" t="s">
        <v>41</v>
      </c>
      <c r="D320" t="s">
        <v>56</v>
      </c>
      <c r="E320" t="s">
        <v>24</v>
      </c>
      <c r="F320" s="1">
        <v>46111</v>
      </c>
      <c r="G320">
        <v>4453.21</v>
      </c>
      <c r="H320">
        <v>46539.6</v>
      </c>
      <c r="I320" t="str">
        <f t="shared" si="60"/>
        <v>Mumbai</v>
      </c>
      <c r="J320" t="str">
        <f t="shared" si="61"/>
        <v>Mumbai</v>
      </c>
      <c r="K320" t="str">
        <f t="shared" si="62"/>
        <v>Ather Grid</v>
      </c>
      <c r="L320" s="4" t="str">
        <f t="shared" si="63"/>
        <v>Ather Grid</v>
      </c>
      <c r="M320" s="4" t="str">
        <f t="shared" si="64"/>
        <v>Ccs2</v>
      </c>
      <c r="N320" s="4" t="str">
        <f t="shared" si="65"/>
        <v>Ccs2</v>
      </c>
      <c r="O320" s="4" t="str">
        <f t="shared" si="66"/>
        <v>Active</v>
      </c>
      <c r="P320" s="4" t="str">
        <f t="shared" si="67"/>
        <v>Active</v>
      </c>
      <c r="Q320" s="4" t="str">
        <f t="shared" si="68"/>
        <v>Mumbai</v>
      </c>
      <c r="R320" s="4" t="b">
        <f t="shared" si="69"/>
        <v>1</v>
      </c>
      <c r="S320" s="5" t="str">
        <f t="shared" si="70"/>
        <v>46111</v>
      </c>
      <c r="T320" s="4" t="str">
        <f t="shared" si="71"/>
        <v>Private</v>
      </c>
      <c r="U320" s="4" t="str">
        <f t="shared" si="72"/>
        <v>Ultra Fast</v>
      </c>
      <c r="V320" s="4">
        <f t="shared" si="73"/>
        <v>2026</v>
      </c>
      <c r="W320" s="4" t="str">
        <f t="shared" si="74"/>
        <v>Europe</v>
      </c>
    </row>
    <row r="321" spans="1:23" x14ac:dyDescent="0.25">
      <c r="A321" t="s">
        <v>513</v>
      </c>
      <c r="B321" t="s">
        <v>70</v>
      </c>
      <c r="C321" t="s">
        <v>36</v>
      </c>
      <c r="D321" t="s">
        <v>17</v>
      </c>
      <c r="E321" t="s">
        <v>31</v>
      </c>
      <c r="F321" s="1">
        <v>45403</v>
      </c>
      <c r="G321">
        <v>2990.23</v>
      </c>
      <c r="H321">
        <v>35565.370000000003</v>
      </c>
      <c r="I321" t="str">
        <f t="shared" si="60"/>
        <v>Delhi</v>
      </c>
      <c r="J321" t="str">
        <f t="shared" si="61"/>
        <v>Delhi</v>
      </c>
      <c r="K321" t="str">
        <f t="shared" si="62"/>
        <v>Zeon Charging</v>
      </c>
      <c r="L321" s="4" t="str">
        <f t="shared" si="63"/>
        <v>Zeon Charging</v>
      </c>
      <c r="M321" s="4" t="str">
        <f t="shared" si="64"/>
        <v>Type2 Ac</v>
      </c>
      <c r="N321" s="4" t="str">
        <f t="shared" si="65"/>
        <v>Type2 Ac</v>
      </c>
      <c r="O321" s="4" t="str">
        <f t="shared" si="66"/>
        <v>Maintenance</v>
      </c>
      <c r="P321" s="4" t="str">
        <f t="shared" si="67"/>
        <v>Maintenance</v>
      </c>
      <c r="Q321" s="4" t="str">
        <f t="shared" si="68"/>
        <v>Delhi</v>
      </c>
      <c r="R321" s="4" t="b">
        <f t="shared" si="69"/>
        <v>1</v>
      </c>
      <c r="S321" s="5" t="str">
        <f t="shared" si="70"/>
        <v>45403</v>
      </c>
      <c r="T321" s="4" t="str">
        <f t="shared" si="71"/>
        <v>Private</v>
      </c>
      <c r="U321" s="4" t="str">
        <f t="shared" si="72"/>
        <v>Slow</v>
      </c>
      <c r="V321" s="4">
        <f t="shared" si="73"/>
        <v>2024</v>
      </c>
      <c r="W321" s="4" t="str">
        <f t="shared" si="74"/>
        <v>Germany</v>
      </c>
    </row>
    <row r="322" spans="1:23" x14ac:dyDescent="0.25">
      <c r="A322" t="s">
        <v>515</v>
      </c>
      <c r="B322" t="s">
        <v>35</v>
      </c>
      <c r="C322" t="s">
        <v>14</v>
      </c>
      <c r="D322" t="s">
        <v>56</v>
      </c>
      <c r="E322" t="s">
        <v>31</v>
      </c>
      <c r="F322" s="1">
        <v>45546</v>
      </c>
      <c r="G322">
        <v>1696.13</v>
      </c>
      <c r="H322">
        <v>14933.06</v>
      </c>
      <c r="I322" t="str">
        <f t="shared" ref="I322:I385" si="75">PROPER(B322)</f>
        <v>Chennai</v>
      </c>
      <c r="J322" t="str">
        <f t="shared" ref="J322:J385" si="76">TRIM(I322)</f>
        <v>Chennai</v>
      </c>
      <c r="K322" t="str">
        <f t="shared" ref="K322:K385" si="77">PROPER(C322)</f>
        <v>Charge Point</v>
      </c>
      <c r="L322" s="4" t="str">
        <f t="shared" ref="L322:L385" si="78">TRIM(K322)</f>
        <v>Charge Point</v>
      </c>
      <c r="M322" s="4" t="str">
        <f t="shared" ref="M322:M385" si="79">PROPER(D322)</f>
        <v>Ccs2</v>
      </c>
      <c r="N322" s="4" t="str">
        <f t="shared" ref="N322:N385" si="80">TRIM(M322)</f>
        <v>Ccs2</v>
      </c>
      <c r="O322" s="4" t="str">
        <f t="shared" ref="O322:O385" si="81">PROPER(E322)</f>
        <v>Maintenance</v>
      </c>
      <c r="P322" s="4" t="str">
        <f t="shared" ref="P322:P385" si="82">TRIM(O322)</f>
        <v>Maintenance</v>
      </c>
      <c r="Q322" s="4" t="str">
        <f t="shared" ref="Q322:Q385" si="83">IF(TRIM(I321)=" ","Mumbai",I322)</f>
        <v>Chennai</v>
      </c>
      <c r="R322" s="4" t="b">
        <f t="shared" ref="R322:R385" si="84">ISNUMBER(F322)</f>
        <v>1</v>
      </c>
      <c r="S322" s="5" t="str">
        <f t="shared" ref="S322:S385" si="85">TRIM(F322)</f>
        <v>45546</v>
      </c>
      <c r="T322" s="4" t="str">
        <f t="shared" ref="T322:T385" si="86">IF(L322="Tata Power","Government",IF(L322="Bpcl","Government","Private"))</f>
        <v>Private</v>
      </c>
      <c r="U322" s="4" t="str">
        <f t="shared" ref="U322:U385" si="87">IF(N322="Type2 Ac","Slow",IF(N322="Ccs2","Ultra Fast","fast"))</f>
        <v>Ultra Fast</v>
      </c>
      <c r="V322" s="4">
        <f t="shared" ref="V322:V385" si="88">YEAR(F322)</f>
        <v>2024</v>
      </c>
      <c r="W322" s="4" t="str">
        <f t="shared" ref="W322:W385" si="89">IF(N322="Type2 Ac","Germany",IF(N322="Chademo","Japan",IF(N322="Ccs2","Europe","India")))</f>
        <v>Europe</v>
      </c>
    </row>
    <row r="323" spans="1:23" x14ac:dyDescent="0.25">
      <c r="A323" t="s">
        <v>516</v>
      </c>
      <c r="B323" t="s">
        <v>30</v>
      </c>
      <c r="C323" t="s">
        <v>14</v>
      </c>
      <c r="D323" t="s">
        <v>26</v>
      </c>
      <c r="E323" t="s">
        <v>24</v>
      </c>
      <c r="F323" s="1">
        <v>45488</v>
      </c>
      <c r="G323">
        <v>4545.82</v>
      </c>
      <c r="H323">
        <v>45230.81</v>
      </c>
      <c r="I323" t="str">
        <f t="shared" si="75"/>
        <v>Hyderabad</v>
      </c>
      <c r="J323" t="str">
        <f t="shared" si="76"/>
        <v>Hyderabad</v>
      </c>
      <c r="K323" t="str">
        <f t="shared" si="77"/>
        <v>Charge Point</v>
      </c>
      <c r="L323" s="4" t="str">
        <f t="shared" si="78"/>
        <v>Charge Point</v>
      </c>
      <c r="M323" s="4" t="str">
        <f t="shared" si="79"/>
        <v>Chademo</v>
      </c>
      <c r="N323" s="4" t="str">
        <f t="shared" si="80"/>
        <v>Chademo</v>
      </c>
      <c r="O323" s="4" t="str">
        <f t="shared" si="81"/>
        <v>Active</v>
      </c>
      <c r="P323" s="4" t="str">
        <f t="shared" si="82"/>
        <v>Active</v>
      </c>
      <c r="Q323" s="4" t="str">
        <f t="shared" si="83"/>
        <v>Hyderabad</v>
      </c>
      <c r="R323" s="4" t="b">
        <f t="shared" si="84"/>
        <v>1</v>
      </c>
      <c r="S323" s="5" t="str">
        <f t="shared" si="85"/>
        <v>45488</v>
      </c>
      <c r="T323" s="4" t="str">
        <f t="shared" si="86"/>
        <v>Private</v>
      </c>
      <c r="U323" s="4" t="str">
        <f t="shared" si="87"/>
        <v>fast</v>
      </c>
      <c r="V323" s="4">
        <f t="shared" si="88"/>
        <v>2024</v>
      </c>
      <c r="W323" s="4" t="str">
        <f t="shared" si="89"/>
        <v>Japan</v>
      </c>
    </row>
    <row r="324" spans="1:23" x14ac:dyDescent="0.25">
      <c r="A324" t="s">
        <v>517</v>
      </c>
      <c r="B324" t="s">
        <v>30</v>
      </c>
      <c r="C324" t="s">
        <v>774</v>
      </c>
      <c r="D324" t="s">
        <v>48</v>
      </c>
      <c r="E324" t="s">
        <v>31</v>
      </c>
      <c r="F324" s="1">
        <v>45486</v>
      </c>
      <c r="G324">
        <v>1415.86</v>
      </c>
      <c r="H324">
        <v>13568.35</v>
      </c>
      <c r="I324" t="str">
        <f t="shared" si="75"/>
        <v>Hyderabad</v>
      </c>
      <c r="J324" t="str">
        <f t="shared" si="76"/>
        <v>Hyderabad</v>
      </c>
      <c r="K324" t="str">
        <f t="shared" si="77"/>
        <v>Zeon Charging</v>
      </c>
      <c r="L324" s="4" t="str">
        <f t="shared" si="78"/>
        <v>Zeon Charging</v>
      </c>
      <c r="M324" s="4" t="str">
        <f t="shared" si="79"/>
        <v>Bharat Dc-001</v>
      </c>
      <c r="N324" s="4" t="str">
        <f t="shared" si="80"/>
        <v>Bharat Dc-001</v>
      </c>
      <c r="O324" s="4" t="str">
        <f t="shared" si="81"/>
        <v>Maintenance</v>
      </c>
      <c r="P324" s="4" t="str">
        <f t="shared" si="82"/>
        <v>Maintenance</v>
      </c>
      <c r="Q324" s="4" t="str">
        <f t="shared" si="83"/>
        <v>Hyderabad</v>
      </c>
      <c r="R324" s="4" t="b">
        <f t="shared" si="84"/>
        <v>1</v>
      </c>
      <c r="S324" s="5" t="str">
        <f t="shared" si="85"/>
        <v>45486</v>
      </c>
      <c r="T324" s="4" t="str">
        <f t="shared" si="86"/>
        <v>Private</v>
      </c>
      <c r="U324" s="4" t="str">
        <f t="shared" si="87"/>
        <v>fast</v>
      </c>
      <c r="V324" s="4">
        <f t="shared" si="88"/>
        <v>2024</v>
      </c>
      <c r="W324" s="4" t="str">
        <f t="shared" si="89"/>
        <v>India</v>
      </c>
    </row>
    <row r="325" spans="1:23" x14ac:dyDescent="0.25">
      <c r="A325" t="s">
        <v>518</v>
      </c>
      <c r="B325" t="s">
        <v>70</v>
      </c>
      <c r="C325" t="s">
        <v>36</v>
      </c>
      <c r="D325" t="s">
        <v>26</v>
      </c>
      <c r="E325" t="s">
        <v>24</v>
      </c>
      <c r="F325" s="1">
        <v>45841</v>
      </c>
      <c r="G325">
        <v>4026.16</v>
      </c>
      <c r="H325">
        <v>44303.01</v>
      </c>
      <c r="I325" t="str">
        <f t="shared" si="75"/>
        <v>Delhi</v>
      </c>
      <c r="J325" t="str">
        <f t="shared" si="76"/>
        <v>Delhi</v>
      </c>
      <c r="K325" t="str">
        <f t="shared" si="77"/>
        <v>Zeon Charging</v>
      </c>
      <c r="L325" s="4" t="str">
        <f t="shared" si="78"/>
        <v>Zeon Charging</v>
      </c>
      <c r="M325" s="4" t="str">
        <f t="shared" si="79"/>
        <v>Chademo</v>
      </c>
      <c r="N325" s="4" t="str">
        <f t="shared" si="80"/>
        <v>Chademo</v>
      </c>
      <c r="O325" s="4" t="str">
        <f t="shared" si="81"/>
        <v>Active</v>
      </c>
      <c r="P325" s="4" t="str">
        <f t="shared" si="82"/>
        <v>Active</v>
      </c>
      <c r="Q325" s="4" t="str">
        <f t="shared" si="83"/>
        <v>Delhi</v>
      </c>
      <c r="R325" s="4" t="b">
        <f t="shared" si="84"/>
        <v>1</v>
      </c>
      <c r="S325" s="5" t="str">
        <f t="shared" si="85"/>
        <v>45841</v>
      </c>
      <c r="T325" s="4" t="str">
        <f t="shared" si="86"/>
        <v>Private</v>
      </c>
      <c r="U325" s="4" t="str">
        <f t="shared" si="87"/>
        <v>fast</v>
      </c>
      <c r="V325" s="4">
        <f t="shared" si="88"/>
        <v>2025</v>
      </c>
      <c r="W325" s="4" t="str">
        <f t="shared" si="89"/>
        <v>Japan</v>
      </c>
    </row>
    <row r="326" spans="1:23" x14ac:dyDescent="0.25">
      <c r="A326" t="s">
        <v>519</v>
      </c>
      <c r="B326" t="s">
        <v>23</v>
      </c>
      <c r="C326" t="s">
        <v>865</v>
      </c>
      <c r="D326" t="s">
        <v>26</v>
      </c>
      <c r="E326" t="s">
        <v>24</v>
      </c>
      <c r="F326" s="1">
        <v>45751</v>
      </c>
      <c r="G326">
        <v>3151.19</v>
      </c>
      <c r="H326">
        <v>37583.49</v>
      </c>
      <c r="I326" t="str">
        <f t="shared" si="75"/>
        <v>Ahemdabad</v>
      </c>
      <c r="J326" t="str">
        <f t="shared" si="76"/>
        <v>Ahemdabad</v>
      </c>
      <c r="K326" t="str">
        <f t="shared" si="77"/>
        <v>Bpcl</v>
      </c>
      <c r="L326" s="4" t="str">
        <f t="shared" si="78"/>
        <v>Bpcl</v>
      </c>
      <c r="M326" s="4" t="str">
        <f t="shared" si="79"/>
        <v>Chademo</v>
      </c>
      <c r="N326" s="4" t="str">
        <f t="shared" si="80"/>
        <v>Chademo</v>
      </c>
      <c r="O326" s="4" t="str">
        <f t="shared" si="81"/>
        <v>Active</v>
      </c>
      <c r="P326" s="4" t="str">
        <f t="shared" si="82"/>
        <v>Active</v>
      </c>
      <c r="Q326" s="4" t="str">
        <f t="shared" si="83"/>
        <v>Ahemdabad</v>
      </c>
      <c r="R326" s="4" t="b">
        <f t="shared" si="84"/>
        <v>1</v>
      </c>
      <c r="S326" s="5" t="str">
        <f t="shared" si="85"/>
        <v>45751</v>
      </c>
      <c r="T326" s="4" t="str">
        <f t="shared" si="86"/>
        <v>Government</v>
      </c>
      <c r="U326" s="4" t="str">
        <f t="shared" si="87"/>
        <v>fast</v>
      </c>
      <c r="V326" s="4">
        <f t="shared" si="88"/>
        <v>2025</v>
      </c>
      <c r="W326" s="4" t="str">
        <f t="shared" si="89"/>
        <v>Japan</v>
      </c>
    </row>
    <row r="327" spans="1:23" x14ac:dyDescent="0.25">
      <c r="A327" t="s">
        <v>520</v>
      </c>
      <c r="B327" t="s">
        <v>30</v>
      </c>
      <c r="C327" t="s">
        <v>14</v>
      </c>
      <c r="D327" t="s">
        <v>48</v>
      </c>
      <c r="E327" t="s">
        <v>24</v>
      </c>
      <c r="F327" s="1">
        <v>45435</v>
      </c>
      <c r="G327">
        <v>8794.77</v>
      </c>
      <c r="H327">
        <v>117603.91</v>
      </c>
      <c r="I327" t="str">
        <f t="shared" si="75"/>
        <v>Hyderabad</v>
      </c>
      <c r="J327" t="str">
        <f t="shared" si="76"/>
        <v>Hyderabad</v>
      </c>
      <c r="K327" t="str">
        <f t="shared" si="77"/>
        <v>Charge Point</v>
      </c>
      <c r="L327" s="4" t="str">
        <f t="shared" si="78"/>
        <v>Charge Point</v>
      </c>
      <c r="M327" s="4" t="str">
        <f t="shared" si="79"/>
        <v>Bharat Dc-001</v>
      </c>
      <c r="N327" s="4" t="str">
        <f t="shared" si="80"/>
        <v>Bharat Dc-001</v>
      </c>
      <c r="O327" s="4" t="str">
        <f t="shared" si="81"/>
        <v>Active</v>
      </c>
      <c r="P327" s="4" t="str">
        <f t="shared" si="82"/>
        <v>Active</v>
      </c>
      <c r="Q327" s="4" t="str">
        <f t="shared" si="83"/>
        <v>Hyderabad</v>
      </c>
      <c r="R327" s="4" t="b">
        <f t="shared" si="84"/>
        <v>1</v>
      </c>
      <c r="S327" s="5" t="str">
        <f t="shared" si="85"/>
        <v>45435</v>
      </c>
      <c r="T327" s="4" t="str">
        <f t="shared" si="86"/>
        <v>Private</v>
      </c>
      <c r="U327" s="4" t="str">
        <f t="shared" si="87"/>
        <v>fast</v>
      </c>
      <c r="V327" s="4">
        <f t="shared" si="88"/>
        <v>2024</v>
      </c>
      <c r="W327" s="4" t="str">
        <f t="shared" si="89"/>
        <v>India</v>
      </c>
    </row>
    <row r="328" spans="1:23" x14ac:dyDescent="0.25">
      <c r="A328" t="s">
        <v>522</v>
      </c>
      <c r="B328" t="s">
        <v>35</v>
      </c>
      <c r="C328" t="s">
        <v>41</v>
      </c>
      <c r="D328" t="s">
        <v>26</v>
      </c>
      <c r="E328" t="s">
        <v>24</v>
      </c>
      <c r="F328" s="1">
        <v>45724</v>
      </c>
      <c r="G328">
        <v>4128.8</v>
      </c>
      <c r="H328">
        <v>50999.21</v>
      </c>
      <c r="I328" t="str">
        <f t="shared" si="75"/>
        <v>Chennai</v>
      </c>
      <c r="J328" t="str">
        <f t="shared" si="76"/>
        <v>Chennai</v>
      </c>
      <c r="K328" t="str">
        <f t="shared" si="77"/>
        <v>Ather Grid</v>
      </c>
      <c r="L328" s="4" t="str">
        <f t="shared" si="78"/>
        <v>Ather Grid</v>
      </c>
      <c r="M328" s="4" t="str">
        <f t="shared" si="79"/>
        <v>Chademo</v>
      </c>
      <c r="N328" s="4" t="str">
        <f t="shared" si="80"/>
        <v>Chademo</v>
      </c>
      <c r="O328" s="4" t="str">
        <f t="shared" si="81"/>
        <v>Active</v>
      </c>
      <c r="P328" s="4" t="str">
        <f t="shared" si="82"/>
        <v>Active</v>
      </c>
      <c r="Q328" s="4" t="str">
        <f t="shared" si="83"/>
        <v>Chennai</v>
      </c>
      <c r="R328" s="4" t="b">
        <f t="shared" si="84"/>
        <v>1</v>
      </c>
      <c r="S328" s="5" t="str">
        <f t="shared" si="85"/>
        <v>45724</v>
      </c>
      <c r="T328" s="4" t="str">
        <f t="shared" si="86"/>
        <v>Private</v>
      </c>
      <c r="U328" s="4" t="str">
        <f t="shared" si="87"/>
        <v>fast</v>
      </c>
      <c r="V328" s="4">
        <f t="shared" si="88"/>
        <v>2025</v>
      </c>
      <c r="W328" s="4" t="str">
        <f t="shared" si="89"/>
        <v>Japan</v>
      </c>
    </row>
    <row r="329" spans="1:23" x14ac:dyDescent="0.25">
      <c r="A329" t="s">
        <v>523</v>
      </c>
      <c r="B329" t="s">
        <v>35</v>
      </c>
      <c r="C329" t="s">
        <v>777</v>
      </c>
      <c r="D329" t="s">
        <v>26</v>
      </c>
      <c r="E329" t="s">
        <v>24</v>
      </c>
      <c r="F329" s="1">
        <v>45479</v>
      </c>
      <c r="G329">
        <v>9043.1299999999992</v>
      </c>
      <c r="H329">
        <v>115072.36</v>
      </c>
      <c r="I329" t="str">
        <f t="shared" si="75"/>
        <v>Chennai</v>
      </c>
      <c r="J329" t="str">
        <f t="shared" si="76"/>
        <v>Chennai</v>
      </c>
      <c r="K329" t="str">
        <f t="shared" si="77"/>
        <v>Tata Power</v>
      </c>
      <c r="L329" s="4" t="str">
        <f t="shared" si="78"/>
        <v>Tata Power</v>
      </c>
      <c r="M329" s="4" t="str">
        <f t="shared" si="79"/>
        <v>Chademo</v>
      </c>
      <c r="N329" s="4" t="str">
        <f t="shared" si="80"/>
        <v>Chademo</v>
      </c>
      <c r="O329" s="4" t="str">
        <f t="shared" si="81"/>
        <v>Active</v>
      </c>
      <c r="P329" s="4" t="str">
        <f t="shared" si="82"/>
        <v>Active</v>
      </c>
      <c r="Q329" s="4" t="str">
        <f t="shared" si="83"/>
        <v>Chennai</v>
      </c>
      <c r="R329" s="4" t="b">
        <f t="shared" si="84"/>
        <v>1</v>
      </c>
      <c r="S329" s="5" t="str">
        <f t="shared" si="85"/>
        <v>45479</v>
      </c>
      <c r="T329" s="4" t="str">
        <f t="shared" si="86"/>
        <v>Government</v>
      </c>
      <c r="U329" s="4" t="str">
        <f t="shared" si="87"/>
        <v>fast</v>
      </c>
      <c r="V329" s="4">
        <f t="shared" si="88"/>
        <v>2024</v>
      </c>
      <c r="W329" s="4" t="str">
        <f t="shared" si="89"/>
        <v>Japan</v>
      </c>
    </row>
    <row r="330" spans="1:23" x14ac:dyDescent="0.25">
      <c r="A330" t="s">
        <v>524</v>
      </c>
      <c r="B330" t="s">
        <v>13</v>
      </c>
      <c r="C330" t="s">
        <v>63</v>
      </c>
      <c r="D330" t="s">
        <v>56</v>
      </c>
      <c r="E330" t="s">
        <v>24</v>
      </c>
      <c r="F330" s="1">
        <v>45577</v>
      </c>
      <c r="G330">
        <v>11435.09</v>
      </c>
      <c r="H330">
        <v>136045.29999999999</v>
      </c>
      <c r="I330" t="str">
        <f t="shared" si="75"/>
        <v>Bengaluru</v>
      </c>
      <c r="J330" t="str">
        <f t="shared" si="76"/>
        <v>Bengaluru</v>
      </c>
      <c r="K330" t="str">
        <f t="shared" si="77"/>
        <v>Tata Power</v>
      </c>
      <c r="L330" s="4" t="str">
        <f t="shared" si="78"/>
        <v>Tata Power</v>
      </c>
      <c r="M330" s="4" t="str">
        <f t="shared" si="79"/>
        <v>Ccs2</v>
      </c>
      <c r="N330" s="4" t="str">
        <f t="shared" si="80"/>
        <v>Ccs2</v>
      </c>
      <c r="O330" s="4" t="str">
        <f t="shared" si="81"/>
        <v>Active</v>
      </c>
      <c r="P330" s="4" t="str">
        <f t="shared" si="82"/>
        <v>Active</v>
      </c>
      <c r="Q330" s="4" t="str">
        <f t="shared" si="83"/>
        <v>Bengaluru</v>
      </c>
      <c r="R330" s="4" t="b">
        <f t="shared" si="84"/>
        <v>1</v>
      </c>
      <c r="S330" s="5" t="str">
        <f t="shared" si="85"/>
        <v>45577</v>
      </c>
      <c r="T330" s="4" t="str">
        <f t="shared" si="86"/>
        <v>Government</v>
      </c>
      <c r="U330" s="4" t="str">
        <f t="shared" si="87"/>
        <v>Ultra Fast</v>
      </c>
      <c r="V330" s="4">
        <f t="shared" si="88"/>
        <v>2024</v>
      </c>
      <c r="W330" s="4" t="str">
        <f t="shared" si="89"/>
        <v>Europe</v>
      </c>
    </row>
    <row r="331" spans="1:23" x14ac:dyDescent="0.25">
      <c r="A331" t="s">
        <v>525</v>
      </c>
      <c r="B331" t="s">
        <v>70</v>
      </c>
      <c r="C331" t="s">
        <v>36</v>
      </c>
      <c r="D331" t="s">
        <v>56</v>
      </c>
      <c r="E331" t="s">
        <v>24</v>
      </c>
      <c r="F331" s="1">
        <v>45765</v>
      </c>
      <c r="G331">
        <v>8436.8799999999992</v>
      </c>
      <c r="H331">
        <v>103461.16</v>
      </c>
      <c r="I331" t="str">
        <f t="shared" si="75"/>
        <v>Delhi</v>
      </c>
      <c r="J331" t="str">
        <f t="shared" si="76"/>
        <v>Delhi</v>
      </c>
      <c r="K331" t="str">
        <f t="shared" si="77"/>
        <v>Zeon Charging</v>
      </c>
      <c r="L331" s="4" t="str">
        <f t="shared" si="78"/>
        <v>Zeon Charging</v>
      </c>
      <c r="M331" s="4" t="str">
        <f t="shared" si="79"/>
        <v>Ccs2</v>
      </c>
      <c r="N331" s="4" t="str">
        <f t="shared" si="80"/>
        <v>Ccs2</v>
      </c>
      <c r="O331" s="4" t="str">
        <f t="shared" si="81"/>
        <v>Active</v>
      </c>
      <c r="P331" s="4" t="str">
        <f t="shared" si="82"/>
        <v>Active</v>
      </c>
      <c r="Q331" s="4" t="str">
        <f t="shared" si="83"/>
        <v>Delhi</v>
      </c>
      <c r="R331" s="4" t="b">
        <f t="shared" si="84"/>
        <v>1</v>
      </c>
      <c r="S331" s="5" t="str">
        <f t="shared" si="85"/>
        <v>45765</v>
      </c>
      <c r="T331" s="4" t="str">
        <f t="shared" si="86"/>
        <v>Private</v>
      </c>
      <c r="U331" s="4" t="str">
        <f t="shared" si="87"/>
        <v>Ultra Fast</v>
      </c>
      <c r="V331" s="4">
        <f t="shared" si="88"/>
        <v>2025</v>
      </c>
      <c r="W331" s="4" t="str">
        <f t="shared" si="89"/>
        <v>Europe</v>
      </c>
    </row>
    <row r="332" spans="1:23" x14ac:dyDescent="0.25">
      <c r="A332" t="s">
        <v>526</v>
      </c>
      <c r="B332" t="s">
        <v>70</v>
      </c>
      <c r="C332" t="s">
        <v>764</v>
      </c>
      <c r="D332" t="s">
        <v>48</v>
      </c>
      <c r="E332" t="s">
        <v>24</v>
      </c>
      <c r="F332" s="1">
        <v>45547</v>
      </c>
      <c r="G332">
        <v>2702.72</v>
      </c>
      <c r="H332">
        <v>34067.300000000003</v>
      </c>
      <c r="I332" t="str">
        <f t="shared" si="75"/>
        <v>Delhi</v>
      </c>
      <c r="J332" t="str">
        <f t="shared" si="76"/>
        <v>Delhi</v>
      </c>
      <c r="K332" t="str">
        <f t="shared" si="77"/>
        <v>Bpcl</v>
      </c>
      <c r="L332" s="4" t="str">
        <f t="shared" si="78"/>
        <v>Bpcl</v>
      </c>
      <c r="M332" s="4" t="str">
        <f t="shared" si="79"/>
        <v>Bharat Dc-001</v>
      </c>
      <c r="N332" s="4" t="str">
        <f t="shared" si="80"/>
        <v>Bharat Dc-001</v>
      </c>
      <c r="O332" s="4" t="str">
        <f t="shared" si="81"/>
        <v>Active</v>
      </c>
      <c r="P332" s="4" t="str">
        <f t="shared" si="82"/>
        <v>Active</v>
      </c>
      <c r="Q332" s="4" t="str">
        <f t="shared" si="83"/>
        <v>Delhi</v>
      </c>
      <c r="R332" s="4" t="b">
        <f t="shared" si="84"/>
        <v>1</v>
      </c>
      <c r="S332" s="5" t="str">
        <f t="shared" si="85"/>
        <v>45547</v>
      </c>
      <c r="T332" s="4" t="str">
        <f t="shared" si="86"/>
        <v>Government</v>
      </c>
      <c r="U332" s="4" t="str">
        <f t="shared" si="87"/>
        <v>fast</v>
      </c>
      <c r="V332" s="4">
        <f t="shared" si="88"/>
        <v>2024</v>
      </c>
      <c r="W332" s="4" t="str">
        <f t="shared" si="89"/>
        <v>India</v>
      </c>
    </row>
    <row r="333" spans="1:23" x14ac:dyDescent="0.25">
      <c r="A333" t="s">
        <v>527</v>
      </c>
      <c r="B333" t="s">
        <v>66</v>
      </c>
      <c r="C333" t="s">
        <v>63</v>
      </c>
      <c r="D333" t="s">
        <v>56</v>
      </c>
      <c r="E333" t="s">
        <v>24</v>
      </c>
      <c r="F333" s="1">
        <v>45369</v>
      </c>
      <c r="G333">
        <v>8993.9500000000007</v>
      </c>
      <c r="H333">
        <v>115610.92</v>
      </c>
      <c r="I333" t="str">
        <f t="shared" si="75"/>
        <v>Pune</v>
      </c>
      <c r="J333" t="str">
        <f t="shared" si="76"/>
        <v>Pune</v>
      </c>
      <c r="K333" t="str">
        <f t="shared" si="77"/>
        <v>Tata Power</v>
      </c>
      <c r="L333" s="4" t="str">
        <f t="shared" si="78"/>
        <v>Tata Power</v>
      </c>
      <c r="M333" s="4" t="str">
        <f t="shared" si="79"/>
        <v>Ccs2</v>
      </c>
      <c r="N333" s="4" t="str">
        <f t="shared" si="80"/>
        <v>Ccs2</v>
      </c>
      <c r="O333" s="4" t="str">
        <f t="shared" si="81"/>
        <v>Active</v>
      </c>
      <c r="P333" s="4" t="str">
        <f t="shared" si="82"/>
        <v>Active</v>
      </c>
      <c r="Q333" s="4" t="str">
        <f t="shared" si="83"/>
        <v>Pune</v>
      </c>
      <c r="R333" s="4" t="b">
        <f t="shared" si="84"/>
        <v>1</v>
      </c>
      <c r="S333" s="5" t="str">
        <f t="shared" si="85"/>
        <v>45369</v>
      </c>
      <c r="T333" s="4" t="str">
        <f t="shared" si="86"/>
        <v>Government</v>
      </c>
      <c r="U333" s="4" t="str">
        <f t="shared" si="87"/>
        <v>Ultra Fast</v>
      </c>
      <c r="V333" s="4">
        <f t="shared" si="88"/>
        <v>2024</v>
      </c>
      <c r="W333" s="4" t="str">
        <f t="shared" si="89"/>
        <v>Europe</v>
      </c>
    </row>
    <row r="334" spans="1:23" x14ac:dyDescent="0.25">
      <c r="A334" t="s">
        <v>529</v>
      </c>
      <c r="B334" t="s">
        <v>40</v>
      </c>
      <c r="C334" t="s">
        <v>14</v>
      </c>
      <c r="D334" t="s">
        <v>56</v>
      </c>
      <c r="E334" t="s">
        <v>24</v>
      </c>
      <c r="F334" s="1">
        <v>45745</v>
      </c>
      <c r="H334">
        <v>30183.78</v>
      </c>
      <c r="I334" t="str">
        <f t="shared" si="75"/>
        <v>Mumbai</v>
      </c>
      <c r="J334" t="str">
        <f t="shared" si="76"/>
        <v>Mumbai</v>
      </c>
      <c r="K334" t="str">
        <f t="shared" si="77"/>
        <v>Charge Point</v>
      </c>
      <c r="L334" s="4" t="str">
        <f t="shared" si="78"/>
        <v>Charge Point</v>
      </c>
      <c r="M334" s="4" t="str">
        <f t="shared" si="79"/>
        <v>Ccs2</v>
      </c>
      <c r="N334" s="4" t="str">
        <f t="shared" si="80"/>
        <v>Ccs2</v>
      </c>
      <c r="O334" s="4" t="str">
        <f t="shared" si="81"/>
        <v>Active</v>
      </c>
      <c r="P334" s="4" t="str">
        <f t="shared" si="82"/>
        <v>Active</v>
      </c>
      <c r="Q334" s="4" t="str">
        <f t="shared" si="83"/>
        <v>Mumbai</v>
      </c>
      <c r="R334" s="4" t="b">
        <f t="shared" si="84"/>
        <v>1</v>
      </c>
      <c r="S334" s="5" t="str">
        <f t="shared" si="85"/>
        <v>45745</v>
      </c>
      <c r="T334" s="4" t="str">
        <f t="shared" si="86"/>
        <v>Private</v>
      </c>
      <c r="U334" s="4" t="str">
        <f t="shared" si="87"/>
        <v>Ultra Fast</v>
      </c>
      <c r="V334" s="4">
        <f t="shared" si="88"/>
        <v>2025</v>
      </c>
      <c r="W334" s="4" t="str">
        <f t="shared" si="89"/>
        <v>Europe</v>
      </c>
    </row>
    <row r="335" spans="1:23" x14ac:dyDescent="0.25">
      <c r="A335" t="s">
        <v>531</v>
      </c>
      <c r="B335" t="s">
        <v>40</v>
      </c>
      <c r="C335" t="s">
        <v>36</v>
      </c>
      <c r="D335" t="s">
        <v>26</v>
      </c>
      <c r="E335" t="s">
        <v>24</v>
      </c>
      <c r="F335" s="1">
        <v>46119</v>
      </c>
      <c r="G335">
        <v>7280.25</v>
      </c>
      <c r="H335">
        <v>72168.34</v>
      </c>
      <c r="I335" t="str">
        <f t="shared" si="75"/>
        <v>Mumbai</v>
      </c>
      <c r="J335" t="str">
        <f t="shared" si="76"/>
        <v>Mumbai</v>
      </c>
      <c r="K335" t="str">
        <f t="shared" si="77"/>
        <v>Zeon Charging</v>
      </c>
      <c r="L335" s="4" t="str">
        <f t="shared" si="78"/>
        <v>Zeon Charging</v>
      </c>
      <c r="M335" s="4" t="str">
        <f t="shared" si="79"/>
        <v>Chademo</v>
      </c>
      <c r="N335" s="4" t="str">
        <f t="shared" si="80"/>
        <v>Chademo</v>
      </c>
      <c r="O335" s="4" t="str">
        <f t="shared" si="81"/>
        <v>Active</v>
      </c>
      <c r="P335" s="4" t="str">
        <f t="shared" si="82"/>
        <v>Active</v>
      </c>
      <c r="Q335" s="4" t="str">
        <f t="shared" si="83"/>
        <v>Mumbai</v>
      </c>
      <c r="R335" s="4" t="b">
        <f t="shared" si="84"/>
        <v>1</v>
      </c>
      <c r="S335" s="5" t="str">
        <f t="shared" si="85"/>
        <v>46119</v>
      </c>
      <c r="T335" s="4" t="str">
        <f t="shared" si="86"/>
        <v>Private</v>
      </c>
      <c r="U335" s="4" t="str">
        <f t="shared" si="87"/>
        <v>fast</v>
      </c>
      <c r="V335" s="4">
        <f t="shared" si="88"/>
        <v>2026</v>
      </c>
      <c r="W335" s="4" t="str">
        <f t="shared" si="89"/>
        <v>Japan</v>
      </c>
    </row>
    <row r="336" spans="1:23" x14ac:dyDescent="0.25">
      <c r="A336" t="s">
        <v>532</v>
      </c>
      <c r="B336" t="s">
        <v>40</v>
      </c>
      <c r="C336" t="s">
        <v>41</v>
      </c>
      <c r="D336" t="s">
        <v>17</v>
      </c>
      <c r="E336" t="s">
        <v>24</v>
      </c>
      <c r="F336" s="1">
        <v>45855</v>
      </c>
      <c r="G336">
        <v>9242.39</v>
      </c>
      <c r="H336">
        <v>123264.52</v>
      </c>
      <c r="I336" t="str">
        <f t="shared" si="75"/>
        <v>Mumbai</v>
      </c>
      <c r="J336" t="str">
        <f t="shared" si="76"/>
        <v>Mumbai</v>
      </c>
      <c r="K336" t="str">
        <f t="shared" si="77"/>
        <v>Ather Grid</v>
      </c>
      <c r="L336" s="4" t="str">
        <f t="shared" si="78"/>
        <v>Ather Grid</v>
      </c>
      <c r="M336" s="4" t="str">
        <f t="shared" si="79"/>
        <v>Type2 Ac</v>
      </c>
      <c r="N336" s="4" t="str">
        <f t="shared" si="80"/>
        <v>Type2 Ac</v>
      </c>
      <c r="O336" s="4" t="str">
        <f t="shared" si="81"/>
        <v>Active</v>
      </c>
      <c r="P336" s="4" t="str">
        <f t="shared" si="82"/>
        <v>Active</v>
      </c>
      <c r="Q336" s="4" t="str">
        <f t="shared" si="83"/>
        <v>Mumbai</v>
      </c>
      <c r="R336" s="4" t="b">
        <f t="shared" si="84"/>
        <v>1</v>
      </c>
      <c r="S336" s="5" t="str">
        <f t="shared" si="85"/>
        <v>45855</v>
      </c>
      <c r="T336" s="4" t="str">
        <f t="shared" si="86"/>
        <v>Private</v>
      </c>
      <c r="U336" s="4" t="str">
        <f t="shared" si="87"/>
        <v>Slow</v>
      </c>
      <c r="V336" s="4">
        <f t="shared" si="88"/>
        <v>2025</v>
      </c>
      <c r="W336" s="4" t="str">
        <f t="shared" si="89"/>
        <v>Germany</v>
      </c>
    </row>
    <row r="337" spans="1:23" x14ac:dyDescent="0.25">
      <c r="A337" t="s">
        <v>534</v>
      </c>
      <c r="B337" t="s">
        <v>40</v>
      </c>
      <c r="D337" t="s">
        <v>56</v>
      </c>
      <c r="E337" t="s">
        <v>24</v>
      </c>
      <c r="F337" s="1">
        <v>45392</v>
      </c>
      <c r="G337">
        <v>7363.09</v>
      </c>
      <c r="H337">
        <v>106402.27</v>
      </c>
      <c r="I337" t="str">
        <f t="shared" si="75"/>
        <v>Mumbai</v>
      </c>
      <c r="J337" t="str">
        <f t="shared" si="76"/>
        <v>Mumbai</v>
      </c>
      <c r="K337" t="str">
        <f t="shared" si="77"/>
        <v/>
      </c>
      <c r="L337" s="4" t="str">
        <f t="shared" si="78"/>
        <v/>
      </c>
      <c r="M337" s="4" t="str">
        <f t="shared" si="79"/>
        <v>Ccs2</v>
      </c>
      <c r="N337" s="4" t="str">
        <f t="shared" si="80"/>
        <v>Ccs2</v>
      </c>
      <c r="O337" s="4" t="str">
        <f t="shared" si="81"/>
        <v>Active</v>
      </c>
      <c r="P337" s="4" t="str">
        <f t="shared" si="82"/>
        <v>Active</v>
      </c>
      <c r="Q337" s="4" t="str">
        <f t="shared" si="83"/>
        <v>Mumbai</v>
      </c>
      <c r="R337" s="4" t="b">
        <f t="shared" si="84"/>
        <v>1</v>
      </c>
      <c r="S337" s="5" t="str">
        <f t="shared" si="85"/>
        <v>45392</v>
      </c>
      <c r="T337" s="4" t="str">
        <f t="shared" si="86"/>
        <v>Private</v>
      </c>
      <c r="U337" s="4" t="str">
        <f t="shared" si="87"/>
        <v>Ultra Fast</v>
      </c>
      <c r="V337" s="4">
        <f t="shared" si="88"/>
        <v>2024</v>
      </c>
      <c r="W337" s="4" t="str">
        <f t="shared" si="89"/>
        <v>Europe</v>
      </c>
    </row>
    <row r="338" spans="1:23" x14ac:dyDescent="0.25">
      <c r="A338" t="s">
        <v>535</v>
      </c>
      <c r="B338" t="s">
        <v>46</v>
      </c>
      <c r="C338" t="s">
        <v>41</v>
      </c>
      <c r="D338" t="s">
        <v>17</v>
      </c>
      <c r="E338" t="s">
        <v>24</v>
      </c>
      <c r="F338" s="1">
        <v>45343</v>
      </c>
      <c r="G338">
        <v>11775.87</v>
      </c>
      <c r="H338">
        <v>123142.2</v>
      </c>
      <c r="I338" t="str">
        <f t="shared" si="75"/>
        <v>Kolkata</v>
      </c>
      <c r="J338" t="str">
        <f t="shared" si="76"/>
        <v>Kolkata</v>
      </c>
      <c r="K338" t="str">
        <f t="shared" si="77"/>
        <v>Ather Grid</v>
      </c>
      <c r="L338" s="4" t="str">
        <f t="shared" si="78"/>
        <v>Ather Grid</v>
      </c>
      <c r="M338" s="4" t="str">
        <f t="shared" si="79"/>
        <v>Type2 Ac</v>
      </c>
      <c r="N338" s="4" t="str">
        <f t="shared" si="80"/>
        <v>Type2 Ac</v>
      </c>
      <c r="O338" s="4" t="str">
        <f t="shared" si="81"/>
        <v>Active</v>
      </c>
      <c r="P338" s="4" t="str">
        <f t="shared" si="82"/>
        <v>Active</v>
      </c>
      <c r="Q338" s="4" t="str">
        <f t="shared" si="83"/>
        <v>Kolkata</v>
      </c>
      <c r="R338" s="4" t="b">
        <f t="shared" si="84"/>
        <v>1</v>
      </c>
      <c r="S338" s="5" t="str">
        <f t="shared" si="85"/>
        <v>45343</v>
      </c>
      <c r="T338" s="4" t="str">
        <f t="shared" si="86"/>
        <v>Private</v>
      </c>
      <c r="U338" s="4" t="str">
        <f t="shared" si="87"/>
        <v>Slow</v>
      </c>
      <c r="V338" s="4">
        <f t="shared" si="88"/>
        <v>2024</v>
      </c>
      <c r="W338" s="4" t="str">
        <f t="shared" si="89"/>
        <v>Germany</v>
      </c>
    </row>
    <row r="339" spans="1:23" x14ac:dyDescent="0.25">
      <c r="A339" t="s">
        <v>537</v>
      </c>
      <c r="B339" t="s">
        <v>30</v>
      </c>
      <c r="C339" t="s">
        <v>36</v>
      </c>
      <c r="D339" t="s">
        <v>56</v>
      </c>
      <c r="E339" t="s">
        <v>24</v>
      </c>
      <c r="F339" s="1">
        <v>45959</v>
      </c>
      <c r="G339">
        <v>10075.23</v>
      </c>
      <c r="H339">
        <v>93395.76</v>
      </c>
      <c r="I339" t="str">
        <f t="shared" si="75"/>
        <v>Hyderabad</v>
      </c>
      <c r="J339" t="str">
        <f t="shared" si="76"/>
        <v>Hyderabad</v>
      </c>
      <c r="K339" t="str">
        <f t="shared" si="77"/>
        <v>Zeon Charging</v>
      </c>
      <c r="L339" s="4" t="str">
        <f t="shared" si="78"/>
        <v>Zeon Charging</v>
      </c>
      <c r="M339" s="4" t="str">
        <f t="shared" si="79"/>
        <v>Ccs2</v>
      </c>
      <c r="N339" s="4" t="str">
        <f t="shared" si="80"/>
        <v>Ccs2</v>
      </c>
      <c r="O339" s="4" t="str">
        <f t="shared" si="81"/>
        <v>Active</v>
      </c>
      <c r="P339" s="4" t="str">
        <f t="shared" si="82"/>
        <v>Active</v>
      </c>
      <c r="Q339" s="4" t="str">
        <f t="shared" si="83"/>
        <v>Hyderabad</v>
      </c>
      <c r="R339" s="4" t="b">
        <f t="shared" si="84"/>
        <v>1</v>
      </c>
      <c r="S339" s="5" t="str">
        <f t="shared" si="85"/>
        <v>45959</v>
      </c>
      <c r="T339" s="4" t="str">
        <f t="shared" si="86"/>
        <v>Private</v>
      </c>
      <c r="U339" s="4" t="str">
        <f t="shared" si="87"/>
        <v>Ultra Fast</v>
      </c>
      <c r="V339" s="4">
        <f t="shared" si="88"/>
        <v>2025</v>
      </c>
      <c r="W339" s="4" t="str">
        <f t="shared" si="89"/>
        <v>Europe</v>
      </c>
    </row>
    <row r="340" spans="1:23" x14ac:dyDescent="0.25">
      <c r="A340" t="s">
        <v>539</v>
      </c>
      <c r="B340" t="s">
        <v>13</v>
      </c>
      <c r="C340" t="s">
        <v>36</v>
      </c>
      <c r="D340" t="s">
        <v>56</v>
      </c>
      <c r="E340" t="s">
        <v>24</v>
      </c>
      <c r="F340" s="1">
        <v>45845</v>
      </c>
      <c r="G340">
        <v>3906.83</v>
      </c>
      <c r="H340">
        <v>35172.25</v>
      </c>
      <c r="I340" t="str">
        <f t="shared" si="75"/>
        <v>Bengaluru</v>
      </c>
      <c r="J340" t="str">
        <f t="shared" si="76"/>
        <v>Bengaluru</v>
      </c>
      <c r="K340" t="str">
        <f t="shared" si="77"/>
        <v>Zeon Charging</v>
      </c>
      <c r="L340" s="4" t="str">
        <f t="shared" si="78"/>
        <v>Zeon Charging</v>
      </c>
      <c r="M340" s="4" t="str">
        <f t="shared" si="79"/>
        <v>Ccs2</v>
      </c>
      <c r="N340" s="4" t="str">
        <f t="shared" si="80"/>
        <v>Ccs2</v>
      </c>
      <c r="O340" s="4" t="str">
        <f t="shared" si="81"/>
        <v>Active</v>
      </c>
      <c r="P340" s="4" t="str">
        <f t="shared" si="82"/>
        <v>Active</v>
      </c>
      <c r="Q340" s="4" t="str">
        <f t="shared" si="83"/>
        <v>Bengaluru</v>
      </c>
      <c r="R340" s="4" t="b">
        <f t="shared" si="84"/>
        <v>1</v>
      </c>
      <c r="S340" s="5" t="str">
        <f t="shared" si="85"/>
        <v>45845</v>
      </c>
      <c r="T340" s="4" t="str">
        <f t="shared" si="86"/>
        <v>Private</v>
      </c>
      <c r="U340" s="4" t="str">
        <f t="shared" si="87"/>
        <v>Ultra Fast</v>
      </c>
      <c r="V340" s="4">
        <f t="shared" si="88"/>
        <v>2025</v>
      </c>
      <c r="W340" s="4" t="str">
        <f t="shared" si="89"/>
        <v>Europe</v>
      </c>
    </row>
    <row r="341" spans="1:23" x14ac:dyDescent="0.25">
      <c r="A341" t="s">
        <v>540</v>
      </c>
      <c r="B341" t="s">
        <v>40</v>
      </c>
      <c r="C341" t="s">
        <v>36</v>
      </c>
      <c r="D341" t="s">
        <v>48</v>
      </c>
      <c r="E341" t="s">
        <v>54</v>
      </c>
      <c r="F341" s="1">
        <v>46148</v>
      </c>
      <c r="G341">
        <v>180.44</v>
      </c>
      <c r="H341">
        <v>2273.8000000000002</v>
      </c>
      <c r="I341" t="str">
        <f t="shared" si="75"/>
        <v>Mumbai</v>
      </c>
      <c r="J341" t="str">
        <f t="shared" si="76"/>
        <v>Mumbai</v>
      </c>
      <c r="K341" t="str">
        <f t="shared" si="77"/>
        <v>Zeon Charging</v>
      </c>
      <c r="L341" s="4" t="str">
        <f t="shared" si="78"/>
        <v>Zeon Charging</v>
      </c>
      <c r="M341" s="4" t="str">
        <f t="shared" si="79"/>
        <v>Bharat Dc-001</v>
      </c>
      <c r="N341" s="4" t="str">
        <f t="shared" si="80"/>
        <v>Bharat Dc-001</v>
      </c>
      <c r="O341" s="4" t="str">
        <f t="shared" si="81"/>
        <v>Inactive</v>
      </c>
      <c r="P341" s="4" t="str">
        <f t="shared" si="82"/>
        <v>Inactive</v>
      </c>
      <c r="Q341" s="4" t="str">
        <f t="shared" si="83"/>
        <v>Mumbai</v>
      </c>
      <c r="R341" s="4" t="b">
        <f t="shared" si="84"/>
        <v>1</v>
      </c>
      <c r="S341" s="5" t="str">
        <f t="shared" si="85"/>
        <v>46148</v>
      </c>
      <c r="T341" s="4" t="str">
        <f t="shared" si="86"/>
        <v>Private</v>
      </c>
      <c r="U341" s="4" t="str">
        <f t="shared" si="87"/>
        <v>fast</v>
      </c>
      <c r="V341" s="4">
        <f t="shared" si="88"/>
        <v>2026</v>
      </c>
      <c r="W341" s="4" t="str">
        <f t="shared" si="89"/>
        <v>India</v>
      </c>
    </row>
    <row r="342" spans="1:23" x14ac:dyDescent="0.25">
      <c r="A342" t="s">
        <v>541</v>
      </c>
      <c r="B342" t="s">
        <v>13</v>
      </c>
      <c r="C342" t="s">
        <v>41</v>
      </c>
      <c r="D342" t="s">
        <v>48</v>
      </c>
      <c r="E342" t="s">
        <v>24</v>
      </c>
      <c r="F342" s="1">
        <v>45307</v>
      </c>
      <c r="G342">
        <v>3976.08</v>
      </c>
      <c r="H342">
        <v>33745.379999999997</v>
      </c>
      <c r="I342" t="str">
        <f t="shared" si="75"/>
        <v>Bengaluru</v>
      </c>
      <c r="J342" t="str">
        <f t="shared" si="76"/>
        <v>Bengaluru</v>
      </c>
      <c r="K342" t="str">
        <f t="shared" si="77"/>
        <v>Ather Grid</v>
      </c>
      <c r="L342" s="4" t="str">
        <f t="shared" si="78"/>
        <v>Ather Grid</v>
      </c>
      <c r="M342" s="4" t="str">
        <f t="shared" si="79"/>
        <v>Bharat Dc-001</v>
      </c>
      <c r="N342" s="4" t="str">
        <f t="shared" si="80"/>
        <v>Bharat Dc-001</v>
      </c>
      <c r="O342" s="4" t="str">
        <f t="shared" si="81"/>
        <v>Active</v>
      </c>
      <c r="P342" s="4" t="str">
        <f t="shared" si="82"/>
        <v>Active</v>
      </c>
      <c r="Q342" s="4" t="str">
        <f t="shared" si="83"/>
        <v>Bengaluru</v>
      </c>
      <c r="R342" s="4" t="b">
        <f t="shared" si="84"/>
        <v>1</v>
      </c>
      <c r="S342" s="5" t="str">
        <f t="shared" si="85"/>
        <v>45307</v>
      </c>
      <c r="T342" s="4" t="str">
        <f t="shared" si="86"/>
        <v>Private</v>
      </c>
      <c r="U342" s="4" t="str">
        <f t="shared" si="87"/>
        <v>fast</v>
      </c>
      <c r="V342" s="4">
        <f t="shared" si="88"/>
        <v>2024</v>
      </c>
      <c r="W342" s="4" t="str">
        <f t="shared" si="89"/>
        <v>India</v>
      </c>
    </row>
    <row r="343" spans="1:23" x14ac:dyDescent="0.25">
      <c r="A343" t="s">
        <v>543</v>
      </c>
      <c r="B343" t="s">
        <v>13</v>
      </c>
      <c r="C343" t="s">
        <v>770</v>
      </c>
      <c r="D343" t="s">
        <v>48</v>
      </c>
      <c r="E343" t="s">
        <v>24</v>
      </c>
      <c r="F343" s="1">
        <v>45387</v>
      </c>
      <c r="G343">
        <v>8642.2099999999991</v>
      </c>
      <c r="H343">
        <v>113962.95</v>
      </c>
      <c r="I343" t="str">
        <f t="shared" si="75"/>
        <v>Bengaluru</v>
      </c>
      <c r="J343" t="str">
        <f t="shared" si="76"/>
        <v>Bengaluru</v>
      </c>
      <c r="K343" t="str">
        <f t="shared" si="77"/>
        <v>Ather Grid</v>
      </c>
      <c r="L343" s="4" t="str">
        <f t="shared" si="78"/>
        <v>Ather Grid</v>
      </c>
      <c r="M343" s="4" t="str">
        <f t="shared" si="79"/>
        <v>Bharat Dc-001</v>
      </c>
      <c r="N343" s="4" t="str">
        <f t="shared" si="80"/>
        <v>Bharat Dc-001</v>
      </c>
      <c r="O343" s="4" t="str">
        <f t="shared" si="81"/>
        <v>Active</v>
      </c>
      <c r="P343" s="4" t="str">
        <f t="shared" si="82"/>
        <v>Active</v>
      </c>
      <c r="Q343" s="4" t="str">
        <f t="shared" si="83"/>
        <v>Bengaluru</v>
      </c>
      <c r="R343" s="4" t="b">
        <f t="shared" si="84"/>
        <v>1</v>
      </c>
      <c r="S343" s="5" t="str">
        <f t="shared" si="85"/>
        <v>45387</v>
      </c>
      <c r="T343" s="4" t="str">
        <f t="shared" si="86"/>
        <v>Private</v>
      </c>
      <c r="U343" s="4" t="str">
        <f t="shared" si="87"/>
        <v>fast</v>
      </c>
      <c r="V343" s="4">
        <f t="shared" si="88"/>
        <v>2024</v>
      </c>
      <c r="W343" s="4" t="str">
        <f t="shared" si="89"/>
        <v>India</v>
      </c>
    </row>
    <row r="344" spans="1:23" x14ac:dyDescent="0.25">
      <c r="A344" t="s">
        <v>544</v>
      </c>
      <c r="B344" t="s">
        <v>40</v>
      </c>
      <c r="C344" t="s">
        <v>36</v>
      </c>
      <c r="D344" t="s">
        <v>17</v>
      </c>
      <c r="E344" t="s">
        <v>15</v>
      </c>
      <c r="F344" s="1">
        <v>46063</v>
      </c>
      <c r="G344">
        <v>25.32</v>
      </c>
      <c r="H344">
        <v>374.8</v>
      </c>
      <c r="I344" t="str">
        <f t="shared" si="75"/>
        <v>Mumbai</v>
      </c>
      <c r="J344" t="str">
        <f t="shared" si="76"/>
        <v>Mumbai</v>
      </c>
      <c r="K344" t="str">
        <f t="shared" si="77"/>
        <v>Zeon Charging</v>
      </c>
      <c r="L344" s="4" t="str">
        <f t="shared" si="78"/>
        <v>Zeon Charging</v>
      </c>
      <c r="M344" s="4" t="str">
        <f t="shared" si="79"/>
        <v>Type2 Ac</v>
      </c>
      <c r="N344" s="4" t="str">
        <f t="shared" si="80"/>
        <v>Type2 Ac</v>
      </c>
      <c r="O344" s="4" t="str">
        <f t="shared" si="81"/>
        <v>Decommissioned</v>
      </c>
      <c r="P344" s="4" t="str">
        <f t="shared" si="82"/>
        <v>Decommissioned</v>
      </c>
      <c r="Q344" s="4" t="str">
        <f t="shared" si="83"/>
        <v>Mumbai</v>
      </c>
      <c r="R344" s="4" t="b">
        <f t="shared" si="84"/>
        <v>1</v>
      </c>
      <c r="S344" s="5" t="str">
        <f t="shared" si="85"/>
        <v>46063</v>
      </c>
      <c r="T344" s="4" t="str">
        <f t="shared" si="86"/>
        <v>Private</v>
      </c>
      <c r="U344" s="4" t="str">
        <f t="shared" si="87"/>
        <v>Slow</v>
      </c>
      <c r="V344" s="4">
        <f t="shared" si="88"/>
        <v>2026</v>
      </c>
      <c r="W344" s="4" t="str">
        <f t="shared" si="89"/>
        <v>Germany</v>
      </c>
    </row>
    <row r="345" spans="1:23" x14ac:dyDescent="0.25">
      <c r="A345" t="s">
        <v>545</v>
      </c>
      <c r="B345" t="s">
        <v>13</v>
      </c>
      <c r="C345" t="s">
        <v>63</v>
      </c>
      <c r="D345" t="s">
        <v>26</v>
      </c>
      <c r="E345" t="s">
        <v>31</v>
      </c>
      <c r="F345" s="1">
        <v>46161</v>
      </c>
      <c r="G345">
        <v>232</v>
      </c>
      <c r="H345">
        <v>2005.01</v>
      </c>
      <c r="I345" t="str">
        <f t="shared" si="75"/>
        <v>Bengaluru</v>
      </c>
      <c r="J345" t="str">
        <f t="shared" si="76"/>
        <v>Bengaluru</v>
      </c>
      <c r="K345" t="str">
        <f t="shared" si="77"/>
        <v>Tata Power</v>
      </c>
      <c r="L345" s="4" t="str">
        <f t="shared" si="78"/>
        <v>Tata Power</v>
      </c>
      <c r="M345" s="4" t="str">
        <f t="shared" si="79"/>
        <v>Chademo</v>
      </c>
      <c r="N345" s="4" t="str">
        <f t="shared" si="80"/>
        <v>Chademo</v>
      </c>
      <c r="O345" s="4" t="str">
        <f t="shared" si="81"/>
        <v>Maintenance</v>
      </c>
      <c r="P345" s="4" t="str">
        <f t="shared" si="82"/>
        <v>Maintenance</v>
      </c>
      <c r="Q345" s="4" t="str">
        <f t="shared" si="83"/>
        <v>Bengaluru</v>
      </c>
      <c r="R345" s="4" t="b">
        <f t="shared" si="84"/>
        <v>1</v>
      </c>
      <c r="S345" s="5" t="str">
        <f t="shared" si="85"/>
        <v>46161</v>
      </c>
      <c r="T345" s="4" t="str">
        <f t="shared" si="86"/>
        <v>Government</v>
      </c>
      <c r="U345" s="4" t="str">
        <f t="shared" si="87"/>
        <v>fast</v>
      </c>
      <c r="V345" s="4">
        <f t="shared" si="88"/>
        <v>2026</v>
      </c>
      <c r="W345" s="4" t="str">
        <f t="shared" si="89"/>
        <v>Japan</v>
      </c>
    </row>
    <row r="346" spans="1:23" x14ac:dyDescent="0.25">
      <c r="A346" t="s">
        <v>547</v>
      </c>
      <c r="B346" t="s">
        <v>13</v>
      </c>
      <c r="C346" t="s">
        <v>764</v>
      </c>
      <c r="D346" t="s">
        <v>56</v>
      </c>
      <c r="E346" t="s">
        <v>31</v>
      </c>
      <c r="F346" s="1">
        <v>45534</v>
      </c>
      <c r="G346">
        <v>258.13</v>
      </c>
      <c r="H346">
        <v>3023.57</v>
      </c>
      <c r="I346" t="str">
        <f t="shared" si="75"/>
        <v>Bengaluru</v>
      </c>
      <c r="J346" t="str">
        <f t="shared" si="76"/>
        <v>Bengaluru</v>
      </c>
      <c r="K346" t="str">
        <f t="shared" si="77"/>
        <v>Bpcl</v>
      </c>
      <c r="L346" s="4" t="str">
        <f t="shared" si="78"/>
        <v>Bpcl</v>
      </c>
      <c r="M346" s="4" t="str">
        <f t="shared" si="79"/>
        <v>Ccs2</v>
      </c>
      <c r="N346" s="4" t="str">
        <f t="shared" si="80"/>
        <v>Ccs2</v>
      </c>
      <c r="O346" s="4" t="str">
        <f t="shared" si="81"/>
        <v>Maintenance</v>
      </c>
      <c r="P346" s="4" t="str">
        <f t="shared" si="82"/>
        <v>Maintenance</v>
      </c>
      <c r="Q346" s="4" t="str">
        <f t="shared" si="83"/>
        <v>Bengaluru</v>
      </c>
      <c r="R346" s="4" t="b">
        <f t="shared" si="84"/>
        <v>1</v>
      </c>
      <c r="S346" s="5" t="str">
        <f t="shared" si="85"/>
        <v>45534</v>
      </c>
      <c r="T346" s="4" t="str">
        <f t="shared" si="86"/>
        <v>Government</v>
      </c>
      <c r="U346" s="4" t="str">
        <f t="shared" si="87"/>
        <v>Ultra Fast</v>
      </c>
      <c r="V346" s="4">
        <f t="shared" si="88"/>
        <v>2024</v>
      </c>
      <c r="W346" s="4" t="str">
        <f t="shared" si="89"/>
        <v>Europe</v>
      </c>
    </row>
    <row r="347" spans="1:23" x14ac:dyDescent="0.25">
      <c r="A347" t="s">
        <v>549</v>
      </c>
      <c r="C347" t="s">
        <v>764</v>
      </c>
      <c r="D347" t="s">
        <v>56</v>
      </c>
      <c r="E347" t="s">
        <v>31</v>
      </c>
      <c r="F347" s="1">
        <v>45462</v>
      </c>
      <c r="G347">
        <v>947.2</v>
      </c>
      <c r="H347">
        <v>10071.92</v>
      </c>
      <c r="I347" t="str">
        <f t="shared" si="75"/>
        <v/>
      </c>
      <c r="J347" t="str">
        <f t="shared" si="76"/>
        <v/>
      </c>
      <c r="K347" t="str">
        <f t="shared" si="77"/>
        <v>Bpcl</v>
      </c>
      <c r="L347" s="4" t="str">
        <f t="shared" si="78"/>
        <v>Bpcl</v>
      </c>
      <c r="M347" s="4" t="str">
        <f t="shared" si="79"/>
        <v>Ccs2</v>
      </c>
      <c r="N347" s="4" t="str">
        <f t="shared" si="80"/>
        <v>Ccs2</v>
      </c>
      <c r="O347" s="4" t="str">
        <f t="shared" si="81"/>
        <v>Maintenance</v>
      </c>
      <c r="P347" s="4" t="str">
        <f t="shared" si="82"/>
        <v>Maintenance</v>
      </c>
      <c r="Q347" s="4" t="str">
        <f t="shared" si="83"/>
        <v/>
      </c>
      <c r="R347" s="4" t="b">
        <f t="shared" si="84"/>
        <v>1</v>
      </c>
      <c r="S347" s="5" t="str">
        <f t="shared" si="85"/>
        <v>45462</v>
      </c>
      <c r="T347" s="4" t="str">
        <f t="shared" si="86"/>
        <v>Government</v>
      </c>
      <c r="U347" s="4" t="str">
        <f t="shared" si="87"/>
        <v>Ultra Fast</v>
      </c>
      <c r="V347" s="4">
        <f t="shared" si="88"/>
        <v>2024</v>
      </c>
      <c r="W347" s="4" t="str">
        <f t="shared" si="89"/>
        <v>Europe</v>
      </c>
    </row>
    <row r="348" spans="1:23" x14ac:dyDescent="0.25">
      <c r="A348" t="s">
        <v>551</v>
      </c>
      <c r="B348" t="s">
        <v>30</v>
      </c>
      <c r="C348" t="s">
        <v>53</v>
      </c>
      <c r="D348" t="s">
        <v>56</v>
      </c>
      <c r="E348" t="s">
        <v>24</v>
      </c>
      <c r="F348" s="1">
        <v>45708</v>
      </c>
      <c r="G348">
        <v>11357.03</v>
      </c>
      <c r="H348">
        <v>126920.72</v>
      </c>
      <c r="I348" t="str">
        <f t="shared" si="75"/>
        <v>Hyderabad</v>
      </c>
      <c r="J348" t="str">
        <f t="shared" si="76"/>
        <v>Hyderabad</v>
      </c>
      <c r="K348" t="str">
        <f t="shared" si="77"/>
        <v>Bpcl</v>
      </c>
      <c r="L348" s="4" t="str">
        <f t="shared" si="78"/>
        <v>Bpcl</v>
      </c>
      <c r="M348" s="4" t="str">
        <f t="shared" si="79"/>
        <v>Ccs2</v>
      </c>
      <c r="N348" s="4" t="str">
        <f t="shared" si="80"/>
        <v>Ccs2</v>
      </c>
      <c r="O348" s="4" t="str">
        <f t="shared" si="81"/>
        <v>Active</v>
      </c>
      <c r="P348" s="4" t="str">
        <f t="shared" si="82"/>
        <v>Active</v>
      </c>
      <c r="Q348" s="4" t="str">
        <f t="shared" si="83"/>
        <v>Hyderabad</v>
      </c>
      <c r="R348" s="4" t="b">
        <f t="shared" si="84"/>
        <v>1</v>
      </c>
      <c r="S348" s="5" t="str">
        <f t="shared" si="85"/>
        <v>45708</v>
      </c>
      <c r="T348" s="4" t="str">
        <f t="shared" si="86"/>
        <v>Government</v>
      </c>
      <c r="U348" s="4" t="str">
        <f t="shared" si="87"/>
        <v>Ultra Fast</v>
      </c>
      <c r="V348" s="4">
        <f t="shared" si="88"/>
        <v>2025</v>
      </c>
      <c r="W348" s="4" t="str">
        <f t="shared" si="89"/>
        <v>Europe</v>
      </c>
    </row>
    <row r="349" spans="1:23" x14ac:dyDescent="0.25">
      <c r="A349" t="s">
        <v>552</v>
      </c>
      <c r="B349" t="s">
        <v>40</v>
      </c>
      <c r="C349" t="s">
        <v>41</v>
      </c>
      <c r="D349" t="s">
        <v>17</v>
      </c>
      <c r="E349" t="s">
        <v>24</v>
      </c>
      <c r="F349" s="1">
        <v>45789</v>
      </c>
      <c r="G349">
        <v>7835.5</v>
      </c>
      <c r="H349">
        <v>71317.66</v>
      </c>
      <c r="I349" t="str">
        <f t="shared" si="75"/>
        <v>Mumbai</v>
      </c>
      <c r="J349" t="str">
        <f t="shared" si="76"/>
        <v>Mumbai</v>
      </c>
      <c r="K349" t="str">
        <f t="shared" si="77"/>
        <v>Ather Grid</v>
      </c>
      <c r="L349" s="4" t="str">
        <f t="shared" si="78"/>
        <v>Ather Grid</v>
      </c>
      <c r="M349" s="4" t="str">
        <f t="shared" si="79"/>
        <v>Type2 Ac</v>
      </c>
      <c r="N349" s="4" t="str">
        <f t="shared" si="80"/>
        <v>Type2 Ac</v>
      </c>
      <c r="O349" s="4" t="str">
        <f t="shared" si="81"/>
        <v>Active</v>
      </c>
      <c r="P349" s="4" t="str">
        <f t="shared" si="82"/>
        <v>Active</v>
      </c>
      <c r="Q349" s="4" t="str">
        <f t="shared" si="83"/>
        <v>Mumbai</v>
      </c>
      <c r="R349" s="4" t="b">
        <f t="shared" si="84"/>
        <v>1</v>
      </c>
      <c r="S349" s="5" t="str">
        <f t="shared" si="85"/>
        <v>45789</v>
      </c>
      <c r="T349" s="4" t="str">
        <f t="shared" si="86"/>
        <v>Private</v>
      </c>
      <c r="U349" s="4" t="str">
        <f t="shared" si="87"/>
        <v>Slow</v>
      </c>
      <c r="V349" s="4">
        <f t="shared" si="88"/>
        <v>2025</v>
      </c>
      <c r="W349" s="4" t="str">
        <f t="shared" si="89"/>
        <v>Germany</v>
      </c>
    </row>
    <row r="350" spans="1:23" x14ac:dyDescent="0.25">
      <c r="A350" t="s">
        <v>553</v>
      </c>
      <c r="B350" t="s">
        <v>13</v>
      </c>
      <c r="C350" t="s">
        <v>41</v>
      </c>
      <c r="D350" t="s">
        <v>48</v>
      </c>
      <c r="E350" t="s">
        <v>24</v>
      </c>
      <c r="F350" s="1">
        <v>45784</v>
      </c>
      <c r="G350">
        <v>9157.11</v>
      </c>
      <c r="H350">
        <v>93232.76</v>
      </c>
      <c r="I350" t="str">
        <f t="shared" si="75"/>
        <v>Bengaluru</v>
      </c>
      <c r="J350" t="str">
        <f t="shared" si="76"/>
        <v>Bengaluru</v>
      </c>
      <c r="K350" t="str">
        <f t="shared" si="77"/>
        <v>Ather Grid</v>
      </c>
      <c r="L350" s="4" t="str">
        <f t="shared" si="78"/>
        <v>Ather Grid</v>
      </c>
      <c r="M350" s="4" t="str">
        <f t="shared" si="79"/>
        <v>Bharat Dc-001</v>
      </c>
      <c r="N350" s="4" t="str">
        <f t="shared" si="80"/>
        <v>Bharat Dc-001</v>
      </c>
      <c r="O350" s="4" t="str">
        <f t="shared" si="81"/>
        <v>Active</v>
      </c>
      <c r="P350" s="4" t="str">
        <f t="shared" si="82"/>
        <v>Active</v>
      </c>
      <c r="Q350" s="4" t="str">
        <f t="shared" si="83"/>
        <v>Bengaluru</v>
      </c>
      <c r="R350" s="4" t="b">
        <f t="shared" si="84"/>
        <v>1</v>
      </c>
      <c r="S350" s="5" t="str">
        <f t="shared" si="85"/>
        <v>45784</v>
      </c>
      <c r="T350" s="4" t="str">
        <f t="shared" si="86"/>
        <v>Private</v>
      </c>
      <c r="U350" s="4" t="str">
        <f t="shared" si="87"/>
        <v>fast</v>
      </c>
      <c r="V350" s="4">
        <f t="shared" si="88"/>
        <v>2025</v>
      </c>
      <c r="W350" s="4" t="str">
        <f t="shared" si="89"/>
        <v>India</v>
      </c>
    </row>
    <row r="351" spans="1:23" x14ac:dyDescent="0.25">
      <c r="A351" t="s">
        <v>554</v>
      </c>
      <c r="B351" t="s">
        <v>766</v>
      </c>
      <c r="C351" t="s">
        <v>63</v>
      </c>
      <c r="D351" t="s">
        <v>26</v>
      </c>
      <c r="E351" t="s">
        <v>24</v>
      </c>
      <c r="F351" s="1">
        <v>45510</v>
      </c>
      <c r="G351">
        <v>1679.76</v>
      </c>
      <c r="H351">
        <v>17252.28</v>
      </c>
      <c r="I351" t="str">
        <f t="shared" si="75"/>
        <v>Chennai</v>
      </c>
      <c r="J351" t="str">
        <f t="shared" si="76"/>
        <v>Chennai</v>
      </c>
      <c r="K351" t="str">
        <f t="shared" si="77"/>
        <v>Tata Power</v>
      </c>
      <c r="L351" s="4" t="str">
        <f t="shared" si="78"/>
        <v>Tata Power</v>
      </c>
      <c r="M351" s="4" t="str">
        <f t="shared" si="79"/>
        <v>Chademo</v>
      </c>
      <c r="N351" s="4" t="str">
        <f t="shared" si="80"/>
        <v>Chademo</v>
      </c>
      <c r="O351" s="4" t="str">
        <f t="shared" si="81"/>
        <v>Active</v>
      </c>
      <c r="P351" s="4" t="str">
        <f t="shared" si="82"/>
        <v>Active</v>
      </c>
      <c r="Q351" s="4" t="str">
        <f t="shared" si="83"/>
        <v>Chennai</v>
      </c>
      <c r="R351" s="4" t="b">
        <f t="shared" si="84"/>
        <v>1</v>
      </c>
      <c r="S351" s="5" t="str">
        <f t="shared" si="85"/>
        <v>45510</v>
      </c>
      <c r="T351" s="4" t="str">
        <f t="shared" si="86"/>
        <v>Government</v>
      </c>
      <c r="U351" s="4" t="str">
        <f t="shared" si="87"/>
        <v>fast</v>
      </c>
      <c r="V351" s="4">
        <f t="shared" si="88"/>
        <v>2024</v>
      </c>
      <c r="W351" s="4" t="str">
        <f t="shared" si="89"/>
        <v>Japan</v>
      </c>
    </row>
    <row r="352" spans="1:23" x14ac:dyDescent="0.25">
      <c r="A352" t="s">
        <v>555</v>
      </c>
      <c r="B352" t="s">
        <v>13</v>
      </c>
      <c r="C352" t="s">
        <v>764</v>
      </c>
      <c r="D352" t="s">
        <v>17</v>
      </c>
      <c r="E352" t="s">
        <v>24</v>
      </c>
      <c r="F352" s="1">
        <v>45702</v>
      </c>
      <c r="G352">
        <v>641.04999999999995</v>
      </c>
      <c r="H352">
        <v>9352.82</v>
      </c>
      <c r="I352" t="str">
        <f t="shared" si="75"/>
        <v>Bengaluru</v>
      </c>
      <c r="J352" t="str">
        <f t="shared" si="76"/>
        <v>Bengaluru</v>
      </c>
      <c r="K352" t="str">
        <f t="shared" si="77"/>
        <v>Bpcl</v>
      </c>
      <c r="L352" s="4" t="str">
        <f t="shared" si="78"/>
        <v>Bpcl</v>
      </c>
      <c r="M352" s="4" t="str">
        <f t="shared" si="79"/>
        <v>Type2 Ac</v>
      </c>
      <c r="N352" s="4" t="str">
        <f t="shared" si="80"/>
        <v>Type2 Ac</v>
      </c>
      <c r="O352" s="4" t="str">
        <f t="shared" si="81"/>
        <v>Active</v>
      </c>
      <c r="P352" s="4" t="str">
        <f t="shared" si="82"/>
        <v>Active</v>
      </c>
      <c r="Q352" s="4" t="str">
        <f t="shared" si="83"/>
        <v>Bengaluru</v>
      </c>
      <c r="R352" s="4" t="b">
        <f t="shared" si="84"/>
        <v>1</v>
      </c>
      <c r="S352" s="5" t="str">
        <f t="shared" si="85"/>
        <v>45702</v>
      </c>
      <c r="T352" s="4" t="str">
        <f t="shared" si="86"/>
        <v>Government</v>
      </c>
      <c r="U352" s="4" t="str">
        <f t="shared" si="87"/>
        <v>Slow</v>
      </c>
      <c r="V352" s="4">
        <f t="shared" si="88"/>
        <v>2025</v>
      </c>
      <c r="W352" s="4" t="str">
        <f t="shared" si="89"/>
        <v>Germany</v>
      </c>
    </row>
    <row r="353" spans="1:23" x14ac:dyDescent="0.25">
      <c r="A353" t="s">
        <v>557</v>
      </c>
      <c r="B353" t="s">
        <v>46</v>
      </c>
      <c r="C353" t="s">
        <v>764</v>
      </c>
      <c r="D353" t="s">
        <v>48</v>
      </c>
      <c r="E353" t="s">
        <v>24</v>
      </c>
      <c r="F353" s="1">
        <v>45352</v>
      </c>
      <c r="G353">
        <v>3769.9</v>
      </c>
      <c r="H353">
        <v>45893.13</v>
      </c>
      <c r="I353" t="str">
        <f t="shared" si="75"/>
        <v>Kolkata</v>
      </c>
      <c r="J353" t="str">
        <f t="shared" si="76"/>
        <v>Kolkata</v>
      </c>
      <c r="K353" t="str">
        <f t="shared" si="77"/>
        <v>Bpcl</v>
      </c>
      <c r="L353" s="4" t="str">
        <f t="shared" si="78"/>
        <v>Bpcl</v>
      </c>
      <c r="M353" s="4" t="str">
        <f t="shared" si="79"/>
        <v>Bharat Dc-001</v>
      </c>
      <c r="N353" s="4" t="str">
        <f t="shared" si="80"/>
        <v>Bharat Dc-001</v>
      </c>
      <c r="O353" s="4" t="str">
        <f t="shared" si="81"/>
        <v>Active</v>
      </c>
      <c r="P353" s="4" t="str">
        <f t="shared" si="82"/>
        <v>Active</v>
      </c>
      <c r="Q353" s="4" t="str">
        <f t="shared" si="83"/>
        <v>Kolkata</v>
      </c>
      <c r="R353" s="4" t="b">
        <f t="shared" si="84"/>
        <v>1</v>
      </c>
      <c r="S353" s="5" t="str">
        <f t="shared" si="85"/>
        <v>45352</v>
      </c>
      <c r="T353" s="4" t="str">
        <f t="shared" si="86"/>
        <v>Government</v>
      </c>
      <c r="U353" s="4" t="str">
        <f t="shared" si="87"/>
        <v>fast</v>
      </c>
      <c r="V353" s="4">
        <f t="shared" si="88"/>
        <v>2024</v>
      </c>
      <c r="W353" s="4" t="str">
        <f t="shared" si="89"/>
        <v>India</v>
      </c>
    </row>
    <row r="354" spans="1:23" x14ac:dyDescent="0.25">
      <c r="A354" t="s">
        <v>558</v>
      </c>
      <c r="B354" t="s">
        <v>30</v>
      </c>
      <c r="C354" t="s">
        <v>36</v>
      </c>
      <c r="D354" t="s">
        <v>17</v>
      </c>
      <c r="E354" t="s">
        <v>24</v>
      </c>
      <c r="F354" s="1">
        <v>45460</v>
      </c>
      <c r="G354">
        <v>6005.21</v>
      </c>
      <c r="H354">
        <v>85174.27</v>
      </c>
      <c r="I354" t="str">
        <f t="shared" si="75"/>
        <v>Hyderabad</v>
      </c>
      <c r="J354" t="str">
        <f t="shared" si="76"/>
        <v>Hyderabad</v>
      </c>
      <c r="K354" t="str">
        <f t="shared" si="77"/>
        <v>Zeon Charging</v>
      </c>
      <c r="L354" s="4" t="str">
        <f t="shared" si="78"/>
        <v>Zeon Charging</v>
      </c>
      <c r="M354" s="4" t="str">
        <f t="shared" si="79"/>
        <v>Type2 Ac</v>
      </c>
      <c r="N354" s="4" t="str">
        <f t="shared" si="80"/>
        <v>Type2 Ac</v>
      </c>
      <c r="O354" s="4" t="str">
        <f t="shared" si="81"/>
        <v>Active</v>
      </c>
      <c r="P354" s="4" t="str">
        <f t="shared" si="82"/>
        <v>Active</v>
      </c>
      <c r="Q354" s="4" t="str">
        <f t="shared" si="83"/>
        <v>Hyderabad</v>
      </c>
      <c r="R354" s="4" t="b">
        <f t="shared" si="84"/>
        <v>1</v>
      </c>
      <c r="S354" s="5" t="str">
        <f t="shared" si="85"/>
        <v>45460</v>
      </c>
      <c r="T354" s="4" t="str">
        <f t="shared" si="86"/>
        <v>Private</v>
      </c>
      <c r="U354" s="4" t="str">
        <f t="shared" si="87"/>
        <v>Slow</v>
      </c>
      <c r="V354" s="4">
        <f t="shared" si="88"/>
        <v>2024</v>
      </c>
      <c r="W354" s="4" t="str">
        <f t="shared" si="89"/>
        <v>Germany</v>
      </c>
    </row>
    <row r="355" spans="1:23" x14ac:dyDescent="0.25">
      <c r="A355" t="s">
        <v>560</v>
      </c>
      <c r="B355" t="s">
        <v>40</v>
      </c>
      <c r="C355" t="s">
        <v>41</v>
      </c>
      <c r="D355" t="s">
        <v>26</v>
      </c>
      <c r="E355" t="s">
        <v>54</v>
      </c>
      <c r="F355" s="1">
        <v>45680</v>
      </c>
      <c r="G355">
        <v>170.35</v>
      </c>
      <c r="H355">
        <v>1548.32</v>
      </c>
      <c r="I355" t="str">
        <f t="shared" si="75"/>
        <v>Mumbai</v>
      </c>
      <c r="J355" t="str">
        <f t="shared" si="76"/>
        <v>Mumbai</v>
      </c>
      <c r="K355" t="str">
        <f t="shared" si="77"/>
        <v>Ather Grid</v>
      </c>
      <c r="L355" s="4" t="str">
        <f t="shared" si="78"/>
        <v>Ather Grid</v>
      </c>
      <c r="M355" s="4" t="str">
        <f t="shared" si="79"/>
        <v>Chademo</v>
      </c>
      <c r="N355" s="4" t="str">
        <f t="shared" si="80"/>
        <v>Chademo</v>
      </c>
      <c r="O355" s="4" t="str">
        <f t="shared" si="81"/>
        <v>Inactive</v>
      </c>
      <c r="P355" s="4" t="str">
        <f t="shared" si="82"/>
        <v>Inactive</v>
      </c>
      <c r="Q355" s="4" t="str">
        <f t="shared" si="83"/>
        <v>Mumbai</v>
      </c>
      <c r="R355" s="4" t="b">
        <f t="shared" si="84"/>
        <v>1</v>
      </c>
      <c r="S355" s="5" t="str">
        <f t="shared" si="85"/>
        <v>45680</v>
      </c>
      <c r="T355" s="4" t="str">
        <f t="shared" si="86"/>
        <v>Private</v>
      </c>
      <c r="U355" s="4" t="str">
        <f t="shared" si="87"/>
        <v>fast</v>
      </c>
      <c r="V355" s="4">
        <f t="shared" si="88"/>
        <v>2025</v>
      </c>
      <c r="W355" s="4" t="str">
        <f t="shared" si="89"/>
        <v>Japan</v>
      </c>
    </row>
    <row r="356" spans="1:23" x14ac:dyDescent="0.25">
      <c r="A356" t="s">
        <v>561</v>
      </c>
      <c r="B356" t="s">
        <v>776</v>
      </c>
      <c r="C356" t="s">
        <v>764</v>
      </c>
      <c r="D356" t="s">
        <v>48</v>
      </c>
      <c r="E356" t="s">
        <v>54</v>
      </c>
      <c r="F356" s="1">
        <v>45294</v>
      </c>
      <c r="H356">
        <v>6411.43</v>
      </c>
      <c r="I356" t="str">
        <f t="shared" si="75"/>
        <v>Mumbai</v>
      </c>
      <c r="J356" t="str">
        <f t="shared" si="76"/>
        <v>Mumbai</v>
      </c>
      <c r="K356" t="str">
        <f t="shared" si="77"/>
        <v>Bpcl</v>
      </c>
      <c r="L356" s="4" t="str">
        <f t="shared" si="78"/>
        <v>Bpcl</v>
      </c>
      <c r="M356" s="4" t="str">
        <f t="shared" si="79"/>
        <v>Bharat Dc-001</v>
      </c>
      <c r="N356" s="4" t="str">
        <f t="shared" si="80"/>
        <v>Bharat Dc-001</v>
      </c>
      <c r="O356" s="4" t="str">
        <f t="shared" si="81"/>
        <v>Inactive</v>
      </c>
      <c r="P356" s="4" t="str">
        <f t="shared" si="82"/>
        <v>Inactive</v>
      </c>
      <c r="Q356" s="4" t="str">
        <f t="shared" si="83"/>
        <v>Mumbai</v>
      </c>
      <c r="R356" s="4" t="b">
        <f t="shared" si="84"/>
        <v>1</v>
      </c>
      <c r="S356" s="5" t="str">
        <f t="shared" si="85"/>
        <v>45294</v>
      </c>
      <c r="T356" s="4" t="str">
        <f t="shared" si="86"/>
        <v>Government</v>
      </c>
      <c r="U356" s="4" t="str">
        <f t="shared" si="87"/>
        <v>fast</v>
      </c>
      <c r="V356" s="4">
        <f t="shared" si="88"/>
        <v>2024</v>
      </c>
      <c r="W356" s="4" t="str">
        <f t="shared" si="89"/>
        <v>India</v>
      </c>
    </row>
    <row r="357" spans="1:23" x14ac:dyDescent="0.25">
      <c r="A357" t="s">
        <v>562</v>
      </c>
      <c r="B357" t="s">
        <v>30</v>
      </c>
      <c r="C357" t="s">
        <v>63</v>
      </c>
      <c r="D357" t="s">
        <v>17</v>
      </c>
      <c r="E357" t="s">
        <v>24</v>
      </c>
      <c r="F357" s="1">
        <v>45691</v>
      </c>
      <c r="G357">
        <v>3403.5</v>
      </c>
      <c r="H357">
        <v>28413.57</v>
      </c>
      <c r="I357" t="str">
        <f t="shared" si="75"/>
        <v>Hyderabad</v>
      </c>
      <c r="J357" t="str">
        <f t="shared" si="76"/>
        <v>Hyderabad</v>
      </c>
      <c r="K357" t="str">
        <f t="shared" si="77"/>
        <v>Tata Power</v>
      </c>
      <c r="L357" s="4" t="str">
        <f t="shared" si="78"/>
        <v>Tata Power</v>
      </c>
      <c r="M357" s="4" t="str">
        <f t="shared" si="79"/>
        <v>Type2 Ac</v>
      </c>
      <c r="N357" s="4" t="str">
        <f t="shared" si="80"/>
        <v>Type2 Ac</v>
      </c>
      <c r="O357" s="4" t="str">
        <f t="shared" si="81"/>
        <v>Active</v>
      </c>
      <c r="P357" s="4" t="str">
        <f t="shared" si="82"/>
        <v>Active</v>
      </c>
      <c r="Q357" s="4" t="str">
        <f t="shared" si="83"/>
        <v>Hyderabad</v>
      </c>
      <c r="R357" s="4" t="b">
        <f t="shared" si="84"/>
        <v>1</v>
      </c>
      <c r="S357" s="5" t="str">
        <f t="shared" si="85"/>
        <v>45691</v>
      </c>
      <c r="T357" s="4" t="str">
        <f t="shared" si="86"/>
        <v>Government</v>
      </c>
      <c r="U357" s="4" t="str">
        <f t="shared" si="87"/>
        <v>Slow</v>
      </c>
      <c r="V357" s="4">
        <f t="shared" si="88"/>
        <v>2025</v>
      </c>
      <c r="W357" s="4" t="str">
        <f t="shared" si="89"/>
        <v>Germany</v>
      </c>
    </row>
    <row r="358" spans="1:23" x14ac:dyDescent="0.25">
      <c r="A358" t="s">
        <v>563</v>
      </c>
      <c r="B358" t="s">
        <v>776</v>
      </c>
      <c r="C358" t="s">
        <v>63</v>
      </c>
      <c r="D358" t="s">
        <v>26</v>
      </c>
      <c r="E358" t="s">
        <v>31</v>
      </c>
      <c r="F358" s="1">
        <v>45563</v>
      </c>
      <c r="G358">
        <v>2599</v>
      </c>
      <c r="H358">
        <v>22276.21</v>
      </c>
      <c r="I358" t="str">
        <f t="shared" si="75"/>
        <v>Mumbai</v>
      </c>
      <c r="J358" t="str">
        <f t="shared" si="76"/>
        <v>Mumbai</v>
      </c>
      <c r="K358" t="str">
        <f t="shared" si="77"/>
        <v>Tata Power</v>
      </c>
      <c r="L358" s="4" t="str">
        <f t="shared" si="78"/>
        <v>Tata Power</v>
      </c>
      <c r="M358" s="4" t="str">
        <f t="shared" si="79"/>
        <v>Chademo</v>
      </c>
      <c r="N358" s="4" t="str">
        <f t="shared" si="80"/>
        <v>Chademo</v>
      </c>
      <c r="O358" s="4" t="str">
        <f t="shared" si="81"/>
        <v>Maintenance</v>
      </c>
      <c r="P358" s="4" t="str">
        <f t="shared" si="82"/>
        <v>Maintenance</v>
      </c>
      <c r="Q358" s="4" t="str">
        <f t="shared" si="83"/>
        <v>Mumbai</v>
      </c>
      <c r="R358" s="4" t="b">
        <f t="shared" si="84"/>
        <v>1</v>
      </c>
      <c r="S358" s="5" t="str">
        <f t="shared" si="85"/>
        <v>45563</v>
      </c>
      <c r="T358" s="4" t="str">
        <f t="shared" si="86"/>
        <v>Government</v>
      </c>
      <c r="U358" s="4" t="str">
        <f t="shared" si="87"/>
        <v>fast</v>
      </c>
      <c r="V358" s="4">
        <f t="shared" si="88"/>
        <v>2024</v>
      </c>
      <c r="W358" s="4" t="str">
        <f t="shared" si="89"/>
        <v>Japan</v>
      </c>
    </row>
    <row r="359" spans="1:23" x14ac:dyDescent="0.25">
      <c r="A359" t="s">
        <v>564</v>
      </c>
      <c r="B359" t="s">
        <v>35</v>
      </c>
      <c r="C359" t="s">
        <v>764</v>
      </c>
      <c r="D359" t="s">
        <v>56</v>
      </c>
      <c r="E359" t="s">
        <v>769</v>
      </c>
      <c r="F359" s="1">
        <v>46094</v>
      </c>
      <c r="G359">
        <v>1812</v>
      </c>
      <c r="H359">
        <v>20116.439999999999</v>
      </c>
      <c r="I359" t="str">
        <f t="shared" si="75"/>
        <v>Chennai</v>
      </c>
      <c r="J359" t="str">
        <f t="shared" si="76"/>
        <v>Chennai</v>
      </c>
      <c r="K359" t="str">
        <f t="shared" si="77"/>
        <v>Bpcl</v>
      </c>
      <c r="L359" s="4" t="str">
        <f t="shared" si="78"/>
        <v>Bpcl</v>
      </c>
      <c r="M359" s="4" t="str">
        <f t="shared" si="79"/>
        <v>Ccs2</v>
      </c>
      <c r="N359" s="4" t="str">
        <f t="shared" si="80"/>
        <v>Ccs2</v>
      </c>
      <c r="O359" s="4" t="str">
        <f t="shared" si="81"/>
        <v>Active</v>
      </c>
      <c r="P359" s="4" t="str">
        <f t="shared" si="82"/>
        <v>Active</v>
      </c>
      <c r="Q359" s="4" t="str">
        <f t="shared" si="83"/>
        <v>Chennai</v>
      </c>
      <c r="R359" s="4" t="b">
        <f t="shared" si="84"/>
        <v>1</v>
      </c>
      <c r="S359" s="5" t="str">
        <f t="shared" si="85"/>
        <v>46094</v>
      </c>
      <c r="T359" s="4" t="str">
        <f t="shared" si="86"/>
        <v>Government</v>
      </c>
      <c r="U359" s="4" t="str">
        <f t="shared" si="87"/>
        <v>Ultra Fast</v>
      </c>
      <c r="V359" s="4">
        <f t="shared" si="88"/>
        <v>2026</v>
      </c>
      <c r="W359" s="4" t="str">
        <f t="shared" si="89"/>
        <v>Europe</v>
      </c>
    </row>
    <row r="360" spans="1:23" x14ac:dyDescent="0.25">
      <c r="A360" t="s">
        <v>566</v>
      </c>
      <c r="B360" t="s">
        <v>23</v>
      </c>
      <c r="C360" t="s">
        <v>41</v>
      </c>
      <c r="D360" t="s">
        <v>26</v>
      </c>
      <c r="E360" t="s">
        <v>31</v>
      </c>
      <c r="F360" s="1">
        <v>46095</v>
      </c>
      <c r="G360">
        <v>289.5</v>
      </c>
      <c r="H360">
        <v>3175.27</v>
      </c>
      <c r="I360" t="str">
        <f t="shared" si="75"/>
        <v>Ahemdabad</v>
      </c>
      <c r="J360" t="str">
        <f t="shared" si="76"/>
        <v>Ahemdabad</v>
      </c>
      <c r="K360" t="str">
        <f t="shared" si="77"/>
        <v>Ather Grid</v>
      </c>
      <c r="L360" s="4" t="str">
        <f t="shared" si="78"/>
        <v>Ather Grid</v>
      </c>
      <c r="M360" s="4" t="str">
        <f t="shared" si="79"/>
        <v>Chademo</v>
      </c>
      <c r="N360" s="4" t="str">
        <f t="shared" si="80"/>
        <v>Chademo</v>
      </c>
      <c r="O360" s="4" t="str">
        <f t="shared" si="81"/>
        <v>Maintenance</v>
      </c>
      <c r="P360" s="4" t="str">
        <f t="shared" si="82"/>
        <v>Maintenance</v>
      </c>
      <c r="Q360" s="4" t="str">
        <f t="shared" si="83"/>
        <v>Ahemdabad</v>
      </c>
      <c r="R360" s="4" t="b">
        <f t="shared" si="84"/>
        <v>1</v>
      </c>
      <c r="S360" s="5" t="str">
        <f t="shared" si="85"/>
        <v>46095</v>
      </c>
      <c r="T360" s="4" t="str">
        <f t="shared" si="86"/>
        <v>Private</v>
      </c>
      <c r="U360" s="4" t="str">
        <f t="shared" si="87"/>
        <v>fast</v>
      </c>
      <c r="V360" s="4">
        <f t="shared" si="88"/>
        <v>2026</v>
      </c>
      <c r="W360" s="4" t="str">
        <f t="shared" si="89"/>
        <v>Japan</v>
      </c>
    </row>
    <row r="361" spans="1:23" x14ac:dyDescent="0.25">
      <c r="A361" t="s">
        <v>567</v>
      </c>
      <c r="B361" t="s">
        <v>35</v>
      </c>
      <c r="C361" t="s">
        <v>63</v>
      </c>
      <c r="D361" t="s">
        <v>56</v>
      </c>
      <c r="E361" t="s">
        <v>24</v>
      </c>
      <c r="F361" s="1">
        <v>45757</v>
      </c>
      <c r="G361">
        <v>6155.09</v>
      </c>
      <c r="H361">
        <v>75396.97</v>
      </c>
      <c r="I361" t="str">
        <f t="shared" si="75"/>
        <v>Chennai</v>
      </c>
      <c r="J361" t="str">
        <f t="shared" si="76"/>
        <v>Chennai</v>
      </c>
      <c r="K361" t="str">
        <f t="shared" si="77"/>
        <v>Tata Power</v>
      </c>
      <c r="L361" s="4" t="str">
        <f t="shared" si="78"/>
        <v>Tata Power</v>
      </c>
      <c r="M361" s="4" t="str">
        <f t="shared" si="79"/>
        <v>Ccs2</v>
      </c>
      <c r="N361" s="4" t="str">
        <f t="shared" si="80"/>
        <v>Ccs2</v>
      </c>
      <c r="O361" s="4" t="str">
        <f t="shared" si="81"/>
        <v>Active</v>
      </c>
      <c r="P361" s="4" t="str">
        <f t="shared" si="82"/>
        <v>Active</v>
      </c>
      <c r="Q361" s="4" t="str">
        <f t="shared" si="83"/>
        <v>Chennai</v>
      </c>
      <c r="R361" s="4" t="b">
        <f t="shared" si="84"/>
        <v>1</v>
      </c>
      <c r="S361" s="5" t="str">
        <f t="shared" si="85"/>
        <v>45757</v>
      </c>
      <c r="T361" s="4" t="str">
        <f t="shared" si="86"/>
        <v>Government</v>
      </c>
      <c r="U361" s="4" t="str">
        <f t="shared" si="87"/>
        <v>Ultra Fast</v>
      </c>
      <c r="V361" s="4">
        <f t="shared" si="88"/>
        <v>2025</v>
      </c>
      <c r="W361" s="4" t="str">
        <f t="shared" si="89"/>
        <v>Europe</v>
      </c>
    </row>
    <row r="362" spans="1:23" x14ac:dyDescent="0.25">
      <c r="A362" t="s">
        <v>568</v>
      </c>
      <c r="B362" t="s">
        <v>13</v>
      </c>
      <c r="C362" t="s">
        <v>36</v>
      </c>
      <c r="D362" t="s">
        <v>17</v>
      </c>
      <c r="E362" t="s">
        <v>15</v>
      </c>
      <c r="F362" s="1">
        <v>45584</v>
      </c>
      <c r="G362">
        <v>115.4</v>
      </c>
      <c r="H362">
        <v>1257.78</v>
      </c>
      <c r="I362" t="str">
        <f t="shared" si="75"/>
        <v>Bengaluru</v>
      </c>
      <c r="J362" t="str">
        <f t="shared" si="76"/>
        <v>Bengaluru</v>
      </c>
      <c r="K362" t="str">
        <f t="shared" si="77"/>
        <v>Zeon Charging</v>
      </c>
      <c r="L362" s="4" t="str">
        <f t="shared" si="78"/>
        <v>Zeon Charging</v>
      </c>
      <c r="M362" s="4" t="str">
        <f t="shared" si="79"/>
        <v>Type2 Ac</v>
      </c>
      <c r="N362" s="4" t="str">
        <f t="shared" si="80"/>
        <v>Type2 Ac</v>
      </c>
      <c r="O362" s="4" t="str">
        <f t="shared" si="81"/>
        <v>Decommissioned</v>
      </c>
      <c r="P362" s="4" t="str">
        <f t="shared" si="82"/>
        <v>Decommissioned</v>
      </c>
      <c r="Q362" s="4" t="str">
        <f t="shared" si="83"/>
        <v>Bengaluru</v>
      </c>
      <c r="R362" s="4" t="b">
        <f t="shared" si="84"/>
        <v>1</v>
      </c>
      <c r="S362" s="5" t="str">
        <f t="shared" si="85"/>
        <v>45584</v>
      </c>
      <c r="T362" s="4" t="str">
        <f t="shared" si="86"/>
        <v>Private</v>
      </c>
      <c r="U362" s="4" t="str">
        <f t="shared" si="87"/>
        <v>Slow</v>
      </c>
      <c r="V362" s="4">
        <f t="shared" si="88"/>
        <v>2024</v>
      </c>
      <c r="W362" s="4" t="str">
        <f t="shared" si="89"/>
        <v>Germany</v>
      </c>
    </row>
    <row r="363" spans="1:23" x14ac:dyDescent="0.25">
      <c r="A363" t="s">
        <v>570</v>
      </c>
      <c r="B363" t="s">
        <v>30</v>
      </c>
      <c r="C363" t="s">
        <v>63</v>
      </c>
      <c r="D363" t="s">
        <v>48</v>
      </c>
      <c r="E363" t="s">
        <v>54</v>
      </c>
      <c r="F363" s="1">
        <v>45725</v>
      </c>
      <c r="G363">
        <v>343.23</v>
      </c>
      <c r="H363">
        <v>3263.77</v>
      </c>
      <c r="I363" t="str">
        <f t="shared" si="75"/>
        <v>Hyderabad</v>
      </c>
      <c r="J363" t="str">
        <f t="shared" si="76"/>
        <v>Hyderabad</v>
      </c>
      <c r="K363" t="str">
        <f t="shared" si="77"/>
        <v>Tata Power</v>
      </c>
      <c r="L363" s="4" t="str">
        <f t="shared" si="78"/>
        <v>Tata Power</v>
      </c>
      <c r="M363" s="4" t="str">
        <f t="shared" si="79"/>
        <v>Bharat Dc-001</v>
      </c>
      <c r="N363" s="4" t="str">
        <f t="shared" si="80"/>
        <v>Bharat Dc-001</v>
      </c>
      <c r="O363" s="4" t="str">
        <f t="shared" si="81"/>
        <v>Inactive</v>
      </c>
      <c r="P363" s="4" t="str">
        <f t="shared" si="82"/>
        <v>Inactive</v>
      </c>
      <c r="Q363" s="4" t="str">
        <f t="shared" si="83"/>
        <v>Hyderabad</v>
      </c>
      <c r="R363" s="4" t="b">
        <f t="shared" si="84"/>
        <v>1</v>
      </c>
      <c r="S363" s="5" t="str">
        <f t="shared" si="85"/>
        <v>45725</v>
      </c>
      <c r="T363" s="4" t="str">
        <f t="shared" si="86"/>
        <v>Government</v>
      </c>
      <c r="U363" s="4" t="str">
        <f t="shared" si="87"/>
        <v>fast</v>
      </c>
      <c r="V363" s="4">
        <f t="shared" si="88"/>
        <v>2025</v>
      </c>
      <c r="W363" s="4" t="str">
        <f t="shared" si="89"/>
        <v>India</v>
      </c>
    </row>
    <row r="364" spans="1:23" x14ac:dyDescent="0.25">
      <c r="A364" t="s">
        <v>571</v>
      </c>
      <c r="B364" t="s">
        <v>13</v>
      </c>
      <c r="C364" t="s">
        <v>14</v>
      </c>
      <c r="D364" t="s">
        <v>48</v>
      </c>
      <c r="E364" t="s">
        <v>24</v>
      </c>
      <c r="F364" s="1">
        <v>46005</v>
      </c>
      <c r="G364">
        <v>2244.86</v>
      </c>
      <c r="H364">
        <v>26009.9</v>
      </c>
      <c r="I364" t="str">
        <f t="shared" si="75"/>
        <v>Bengaluru</v>
      </c>
      <c r="J364" t="str">
        <f t="shared" si="76"/>
        <v>Bengaluru</v>
      </c>
      <c r="K364" t="str">
        <f t="shared" si="77"/>
        <v>Charge Point</v>
      </c>
      <c r="L364" s="4" t="str">
        <f t="shared" si="78"/>
        <v>Charge Point</v>
      </c>
      <c r="M364" s="4" t="str">
        <f t="shared" si="79"/>
        <v>Bharat Dc-001</v>
      </c>
      <c r="N364" s="4" t="str">
        <f t="shared" si="80"/>
        <v>Bharat Dc-001</v>
      </c>
      <c r="O364" s="4" t="str">
        <f t="shared" si="81"/>
        <v>Active</v>
      </c>
      <c r="P364" s="4" t="str">
        <f t="shared" si="82"/>
        <v>Active</v>
      </c>
      <c r="Q364" s="4" t="str">
        <f t="shared" si="83"/>
        <v>Bengaluru</v>
      </c>
      <c r="R364" s="4" t="b">
        <f t="shared" si="84"/>
        <v>1</v>
      </c>
      <c r="S364" s="5" t="str">
        <f t="shared" si="85"/>
        <v>46005</v>
      </c>
      <c r="T364" s="4" t="str">
        <f t="shared" si="86"/>
        <v>Private</v>
      </c>
      <c r="U364" s="4" t="str">
        <f t="shared" si="87"/>
        <v>fast</v>
      </c>
      <c r="V364" s="4">
        <f t="shared" si="88"/>
        <v>2025</v>
      </c>
      <c r="W364" s="4" t="str">
        <f t="shared" si="89"/>
        <v>India</v>
      </c>
    </row>
    <row r="365" spans="1:23" x14ac:dyDescent="0.25">
      <c r="A365" t="s">
        <v>573</v>
      </c>
      <c r="B365" t="s">
        <v>35</v>
      </c>
      <c r="C365" t="s">
        <v>14</v>
      </c>
      <c r="D365" t="s">
        <v>17</v>
      </c>
      <c r="E365" t="s">
        <v>24</v>
      </c>
      <c r="F365" s="1">
        <v>46040</v>
      </c>
      <c r="I365" t="str">
        <f t="shared" si="75"/>
        <v>Chennai</v>
      </c>
      <c r="J365" t="str">
        <f t="shared" si="76"/>
        <v>Chennai</v>
      </c>
      <c r="K365" t="str">
        <f t="shared" si="77"/>
        <v>Charge Point</v>
      </c>
      <c r="L365" s="4" t="str">
        <f t="shared" si="78"/>
        <v>Charge Point</v>
      </c>
      <c r="M365" s="4" t="str">
        <f t="shared" si="79"/>
        <v>Type2 Ac</v>
      </c>
      <c r="N365" s="4" t="str">
        <f t="shared" si="80"/>
        <v>Type2 Ac</v>
      </c>
      <c r="O365" s="4" t="str">
        <f t="shared" si="81"/>
        <v>Active</v>
      </c>
      <c r="P365" s="4" t="str">
        <f t="shared" si="82"/>
        <v>Active</v>
      </c>
      <c r="Q365" s="4" t="str">
        <f t="shared" si="83"/>
        <v>Chennai</v>
      </c>
      <c r="R365" s="4" t="b">
        <f t="shared" si="84"/>
        <v>1</v>
      </c>
      <c r="S365" s="5" t="str">
        <f t="shared" si="85"/>
        <v>46040</v>
      </c>
      <c r="T365" s="4" t="str">
        <f t="shared" si="86"/>
        <v>Private</v>
      </c>
      <c r="U365" s="4" t="str">
        <f t="shared" si="87"/>
        <v>Slow</v>
      </c>
      <c r="V365" s="4">
        <f t="shared" si="88"/>
        <v>2026</v>
      </c>
      <c r="W365" s="4" t="str">
        <f t="shared" si="89"/>
        <v>Germany</v>
      </c>
    </row>
    <row r="366" spans="1:23" x14ac:dyDescent="0.25">
      <c r="A366" t="s">
        <v>575</v>
      </c>
      <c r="B366" t="s">
        <v>23</v>
      </c>
      <c r="C366" t="s">
        <v>41</v>
      </c>
      <c r="D366" t="s">
        <v>48</v>
      </c>
      <c r="E366" t="s">
        <v>24</v>
      </c>
      <c r="F366" s="1">
        <v>46094</v>
      </c>
      <c r="G366">
        <v>11414.94</v>
      </c>
      <c r="H366">
        <v>100180.12</v>
      </c>
      <c r="I366" t="str">
        <f t="shared" si="75"/>
        <v>Ahemdabad</v>
      </c>
      <c r="J366" t="str">
        <f t="shared" si="76"/>
        <v>Ahemdabad</v>
      </c>
      <c r="K366" t="str">
        <f t="shared" si="77"/>
        <v>Ather Grid</v>
      </c>
      <c r="L366" s="4" t="str">
        <f t="shared" si="78"/>
        <v>Ather Grid</v>
      </c>
      <c r="M366" s="4" t="str">
        <f t="shared" si="79"/>
        <v>Bharat Dc-001</v>
      </c>
      <c r="N366" s="4" t="str">
        <f t="shared" si="80"/>
        <v>Bharat Dc-001</v>
      </c>
      <c r="O366" s="4" t="str">
        <f t="shared" si="81"/>
        <v>Active</v>
      </c>
      <c r="P366" s="4" t="str">
        <f t="shared" si="82"/>
        <v>Active</v>
      </c>
      <c r="Q366" s="4" t="str">
        <f t="shared" si="83"/>
        <v>Ahemdabad</v>
      </c>
      <c r="R366" s="4" t="b">
        <f t="shared" si="84"/>
        <v>1</v>
      </c>
      <c r="S366" s="5" t="str">
        <f t="shared" si="85"/>
        <v>46094</v>
      </c>
      <c r="T366" s="4" t="str">
        <f t="shared" si="86"/>
        <v>Private</v>
      </c>
      <c r="U366" s="4" t="str">
        <f t="shared" si="87"/>
        <v>fast</v>
      </c>
      <c r="V366" s="4">
        <f t="shared" si="88"/>
        <v>2026</v>
      </c>
      <c r="W366" s="4" t="str">
        <f t="shared" si="89"/>
        <v>India</v>
      </c>
    </row>
    <row r="367" spans="1:23" x14ac:dyDescent="0.25">
      <c r="A367" t="s">
        <v>576</v>
      </c>
      <c r="B367" t="s">
        <v>13</v>
      </c>
      <c r="C367" t="s">
        <v>764</v>
      </c>
      <c r="D367" t="s">
        <v>48</v>
      </c>
      <c r="E367" t="s">
        <v>24</v>
      </c>
      <c r="F367" s="1">
        <v>45861</v>
      </c>
      <c r="G367">
        <v>1479.58</v>
      </c>
      <c r="H367">
        <v>18860.98</v>
      </c>
      <c r="I367" t="str">
        <f t="shared" si="75"/>
        <v>Bengaluru</v>
      </c>
      <c r="J367" t="str">
        <f t="shared" si="76"/>
        <v>Bengaluru</v>
      </c>
      <c r="K367" t="str">
        <f t="shared" si="77"/>
        <v>Bpcl</v>
      </c>
      <c r="L367" s="4" t="str">
        <f t="shared" si="78"/>
        <v>Bpcl</v>
      </c>
      <c r="M367" s="4" t="str">
        <f t="shared" si="79"/>
        <v>Bharat Dc-001</v>
      </c>
      <c r="N367" s="4" t="str">
        <f t="shared" si="80"/>
        <v>Bharat Dc-001</v>
      </c>
      <c r="O367" s="4" t="str">
        <f t="shared" si="81"/>
        <v>Active</v>
      </c>
      <c r="P367" s="4" t="str">
        <f t="shared" si="82"/>
        <v>Active</v>
      </c>
      <c r="Q367" s="4" t="str">
        <f t="shared" si="83"/>
        <v>Bengaluru</v>
      </c>
      <c r="R367" s="4" t="b">
        <f t="shared" si="84"/>
        <v>1</v>
      </c>
      <c r="S367" s="5" t="str">
        <f t="shared" si="85"/>
        <v>45861</v>
      </c>
      <c r="T367" s="4" t="str">
        <f t="shared" si="86"/>
        <v>Government</v>
      </c>
      <c r="U367" s="4" t="str">
        <f t="shared" si="87"/>
        <v>fast</v>
      </c>
      <c r="V367" s="4">
        <f t="shared" si="88"/>
        <v>2025</v>
      </c>
      <c r="W367" s="4" t="str">
        <f t="shared" si="89"/>
        <v>India</v>
      </c>
    </row>
    <row r="368" spans="1:23" x14ac:dyDescent="0.25">
      <c r="A368" t="s">
        <v>578</v>
      </c>
      <c r="B368" t="s">
        <v>23</v>
      </c>
      <c r="C368" t="s">
        <v>41</v>
      </c>
      <c r="D368" t="s">
        <v>56</v>
      </c>
      <c r="E368" t="s">
        <v>24</v>
      </c>
      <c r="F368" s="1">
        <v>45969</v>
      </c>
      <c r="G368">
        <v>3354.2</v>
      </c>
      <c r="H368">
        <v>40760.04</v>
      </c>
      <c r="I368" t="str">
        <f t="shared" si="75"/>
        <v>Ahemdabad</v>
      </c>
      <c r="J368" t="str">
        <f t="shared" si="76"/>
        <v>Ahemdabad</v>
      </c>
      <c r="K368" t="str">
        <f t="shared" si="77"/>
        <v>Ather Grid</v>
      </c>
      <c r="L368" s="4" t="str">
        <f t="shared" si="78"/>
        <v>Ather Grid</v>
      </c>
      <c r="M368" s="4" t="str">
        <f t="shared" si="79"/>
        <v>Ccs2</v>
      </c>
      <c r="N368" s="4" t="str">
        <f t="shared" si="80"/>
        <v>Ccs2</v>
      </c>
      <c r="O368" s="4" t="str">
        <f t="shared" si="81"/>
        <v>Active</v>
      </c>
      <c r="P368" s="4" t="str">
        <f t="shared" si="82"/>
        <v>Active</v>
      </c>
      <c r="Q368" s="4" t="str">
        <f t="shared" si="83"/>
        <v>Ahemdabad</v>
      </c>
      <c r="R368" s="4" t="b">
        <f t="shared" si="84"/>
        <v>1</v>
      </c>
      <c r="S368" s="5" t="str">
        <f t="shared" si="85"/>
        <v>45969</v>
      </c>
      <c r="T368" s="4" t="str">
        <f t="shared" si="86"/>
        <v>Private</v>
      </c>
      <c r="U368" s="4" t="str">
        <f t="shared" si="87"/>
        <v>Ultra Fast</v>
      </c>
      <c r="V368" s="4">
        <f t="shared" si="88"/>
        <v>2025</v>
      </c>
      <c r="W368" s="4" t="str">
        <f t="shared" si="89"/>
        <v>Europe</v>
      </c>
    </row>
    <row r="369" spans="1:23" x14ac:dyDescent="0.25">
      <c r="A369" t="s">
        <v>579</v>
      </c>
      <c r="B369" t="s">
        <v>46</v>
      </c>
      <c r="C369" t="s">
        <v>41</v>
      </c>
      <c r="D369" t="s">
        <v>17</v>
      </c>
      <c r="E369" t="s">
        <v>24</v>
      </c>
      <c r="F369" s="1">
        <v>46027</v>
      </c>
      <c r="G369">
        <v>6917.84</v>
      </c>
      <c r="H369">
        <v>80859.44</v>
      </c>
      <c r="I369" t="str">
        <f t="shared" si="75"/>
        <v>Kolkata</v>
      </c>
      <c r="J369" t="str">
        <f t="shared" si="76"/>
        <v>Kolkata</v>
      </c>
      <c r="K369" t="str">
        <f t="shared" si="77"/>
        <v>Ather Grid</v>
      </c>
      <c r="L369" s="4" t="str">
        <f t="shared" si="78"/>
        <v>Ather Grid</v>
      </c>
      <c r="M369" s="4" t="str">
        <f t="shared" si="79"/>
        <v>Type2 Ac</v>
      </c>
      <c r="N369" s="4" t="str">
        <f t="shared" si="80"/>
        <v>Type2 Ac</v>
      </c>
      <c r="O369" s="4" t="str">
        <f t="shared" si="81"/>
        <v>Active</v>
      </c>
      <c r="P369" s="4" t="str">
        <f t="shared" si="82"/>
        <v>Active</v>
      </c>
      <c r="Q369" s="4" t="str">
        <f t="shared" si="83"/>
        <v>Kolkata</v>
      </c>
      <c r="R369" s="4" t="b">
        <f t="shared" si="84"/>
        <v>1</v>
      </c>
      <c r="S369" s="5" t="str">
        <f t="shared" si="85"/>
        <v>46027</v>
      </c>
      <c r="T369" s="4" t="str">
        <f t="shared" si="86"/>
        <v>Private</v>
      </c>
      <c r="U369" s="4" t="str">
        <f t="shared" si="87"/>
        <v>Slow</v>
      </c>
      <c r="V369" s="4">
        <f t="shared" si="88"/>
        <v>2026</v>
      </c>
      <c r="W369" s="4" t="str">
        <f t="shared" si="89"/>
        <v>Germany</v>
      </c>
    </row>
    <row r="370" spans="1:23" x14ac:dyDescent="0.25">
      <c r="A370" t="s">
        <v>580</v>
      </c>
      <c r="B370" t="s">
        <v>70</v>
      </c>
      <c r="C370" t="s">
        <v>41</v>
      </c>
      <c r="D370" t="s">
        <v>26</v>
      </c>
      <c r="E370" t="s">
        <v>24</v>
      </c>
      <c r="F370" s="1">
        <v>45790</v>
      </c>
      <c r="G370">
        <v>5286</v>
      </c>
      <c r="H370">
        <v>53700.13</v>
      </c>
      <c r="I370" t="str">
        <f t="shared" si="75"/>
        <v>Delhi</v>
      </c>
      <c r="J370" t="str">
        <f t="shared" si="76"/>
        <v>Delhi</v>
      </c>
      <c r="K370" t="str">
        <f t="shared" si="77"/>
        <v>Ather Grid</v>
      </c>
      <c r="L370" s="4" t="str">
        <f t="shared" si="78"/>
        <v>Ather Grid</v>
      </c>
      <c r="M370" s="4" t="str">
        <f t="shared" si="79"/>
        <v>Chademo</v>
      </c>
      <c r="N370" s="4" t="str">
        <f t="shared" si="80"/>
        <v>Chademo</v>
      </c>
      <c r="O370" s="4" t="str">
        <f t="shared" si="81"/>
        <v>Active</v>
      </c>
      <c r="P370" s="4" t="str">
        <f t="shared" si="82"/>
        <v>Active</v>
      </c>
      <c r="Q370" s="4" t="str">
        <f t="shared" si="83"/>
        <v>Delhi</v>
      </c>
      <c r="R370" s="4" t="b">
        <f t="shared" si="84"/>
        <v>1</v>
      </c>
      <c r="S370" s="5" t="str">
        <f t="shared" si="85"/>
        <v>45790</v>
      </c>
      <c r="T370" s="4" t="str">
        <f t="shared" si="86"/>
        <v>Private</v>
      </c>
      <c r="U370" s="4" t="str">
        <f t="shared" si="87"/>
        <v>fast</v>
      </c>
      <c r="V370" s="4">
        <f t="shared" si="88"/>
        <v>2025</v>
      </c>
      <c r="W370" s="4" t="str">
        <f t="shared" si="89"/>
        <v>Japan</v>
      </c>
    </row>
    <row r="371" spans="1:23" x14ac:dyDescent="0.25">
      <c r="A371" t="s">
        <v>582</v>
      </c>
      <c r="B371" t="s">
        <v>40</v>
      </c>
      <c r="C371" t="s">
        <v>770</v>
      </c>
      <c r="D371" t="s">
        <v>56</v>
      </c>
      <c r="F371" s="1">
        <v>45450</v>
      </c>
      <c r="G371">
        <v>298.06</v>
      </c>
      <c r="H371">
        <v>2844.57</v>
      </c>
      <c r="I371" t="str">
        <f t="shared" si="75"/>
        <v>Mumbai</v>
      </c>
      <c r="J371" t="str">
        <f t="shared" si="76"/>
        <v>Mumbai</v>
      </c>
      <c r="K371" t="str">
        <f t="shared" si="77"/>
        <v>Ather Grid</v>
      </c>
      <c r="L371" s="4" t="str">
        <f t="shared" si="78"/>
        <v>Ather Grid</v>
      </c>
      <c r="M371" s="4" t="str">
        <f t="shared" si="79"/>
        <v>Ccs2</v>
      </c>
      <c r="N371" s="4" t="str">
        <f t="shared" si="80"/>
        <v>Ccs2</v>
      </c>
      <c r="O371" s="4" t="str">
        <f t="shared" si="81"/>
        <v/>
      </c>
      <c r="P371" s="4" t="str">
        <f t="shared" si="82"/>
        <v/>
      </c>
      <c r="Q371" s="4" t="str">
        <f t="shared" si="83"/>
        <v>Mumbai</v>
      </c>
      <c r="R371" s="4" t="b">
        <f t="shared" si="84"/>
        <v>1</v>
      </c>
      <c r="S371" s="5" t="str">
        <f t="shared" si="85"/>
        <v>45450</v>
      </c>
      <c r="T371" s="4" t="str">
        <f t="shared" si="86"/>
        <v>Private</v>
      </c>
      <c r="U371" s="4" t="str">
        <f t="shared" si="87"/>
        <v>Ultra Fast</v>
      </c>
      <c r="V371" s="4">
        <f t="shared" si="88"/>
        <v>2024</v>
      </c>
      <c r="W371" s="4" t="str">
        <f t="shared" si="89"/>
        <v>Europe</v>
      </c>
    </row>
    <row r="372" spans="1:23" x14ac:dyDescent="0.25">
      <c r="A372" t="s">
        <v>583</v>
      </c>
      <c r="C372" t="s">
        <v>36</v>
      </c>
      <c r="D372" t="s">
        <v>17</v>
      </c>
      <c r="E372" t="s">
        <v>15</v>
      </c>
      <c r="F372" s="1">
        <v>45486</v>
      </c>
      <c r="G372">
        <v>123.68</v>
      </c>
      <c r="H372">
        <v>1841.73</v>
      </c>
      <c r="I372" t="str">
        <f t="shared" si="75"/>
        <v/>
      </c>
      <c r="J372" t="str">
        <f t="shared" si="76"/>
        <v/>
      </c>
      <c r="K372" t="str">
        <f t="shared" si="77"/>
        <v>Zeon Charging</v>
      </c>
      <c r="L372" s="4" t="str">
        <f t="shared" si="78"/>
        <v>Zeon Charging</v>
      </c>
      <c r="M372" s="4" t="str">
        <f t="shared" si="79"/>
        <v>Type2 Ac</v>
      </c>
      <c r="N372" s="4" t="str">
        <f t="shared" si="80"/>
        <v>Type2 Ac</v>
      </c>
      <c r="O372" s="4" t="str">
        <f t="shared" si="81"/>
        <v>Decommissioned</v>
      </c>
      <c r="P372" s="4" t="str">
        <f t="shared" si="82"/>
        <v>Decommissioned</v>
      </c>
      <c r="Q372" s="4" t="str">
        <f t="shared" si="83"/>
        <v/>
      </c>
      <c r="R372" s="4" t="b">
        <f t="shared" si="84"/>
        <v>1</v>
      </c>
      <c r="S372" s="5" t="str">
        <f t="shared" si="85"/>
        <v>45486</v>
      </c>
      <c r="T372" s="4" t="str">
        <f t="shared" si="86"/>
        <v>Private</v>
      </c>
      <c r="U372" s="4" t="str">
        <f t="shared" si="87"/>
        <v>Slow</v>
      </c>
      <c r="V372" s="4">
        <f t="shared" si="88"/>
        <v>2024</v>
      </c>
      <c r="W372" s="4" t="str">
        <f t="shared" si="89"/>
        <v>Germany</v>
      </c>
    </row>
    <row r="373" spans="1:23" x14ac:dyDescent="0.25">
      <c r="A373" t="s">
        <v>584</v>
      </c>
      <c r="B373" t="s">
        <v>776</v>
      </c>
      <c r="C373" t="s">
        <v>36</v>
      </c>
      <c r="D373" t="s">
        <v>56</v>
      </c>
      <c r="E373" t="s">
        <v>24</v>
      </c>
      <c r="F373" s="1">
        <v>45595</v>
      </c>
      <c r="G373">
        <v>9420.48</v>
      </c>
      <c r="H373">
        <v>78976.350000000006</v>
      </c>
      <c r="I373" t="str">
        <f t="shared" si="75"/>
        <v>Mumbai</v>
      </c>
      <c r="J373" t="str">
        <f t="shared" si="76"/>
        <v>Mumbai</v>
      </c>
      <c r="K373" t="str">
        <f t="shared" si="77"/>
        <v>Zeon Charging</v>
      </c>
      <c r="L373" s="4" t="str">
        <f t="shared" si="78"/>
        <v>Zeon Charging</v>
      </c>
      <c r="M373" s="4" t="str">
        <f t="shared" si="79"/>
        <v>Ccs2</v>
      </c>
      <c r="N373" s="4" t="str">
        <f t="shared" si="80"/>
        <v>Ccs2</v>
      </c>
      <c r="O373" s="4" t="str">
        <f t="shared" si="81"/>
        <v>Active</v>
      </c>
      <c r="P373" s="4" t="str">
        <f t="shared" si="82"/>
        <v>Active</v>
      </c>
      <c r="Q373" s="4" t="str">
        <f t="shared" si="83"/>
        <v>Mumbai</v>
      </c>
      <c r="R373" s="4" t="b">
        <f t="shared" si="84"/>
        <v>1</v>
      </c>
      <c r="S373" s="5" t="str">
        <f t="shared" si="85"/>
        <v>45595</v>
      </c>
      <c r="T373" s="4" t="str">
        <f t="shared" si="86"/>
        <v>Private</v>
      </c>
      <c r="U373" s="4" t="str">
        <f t="shared" si="87"/>
        <v>Ultra Fast</v>
      </c>
      <c r="V373" s="4">
        <f t="shared" si="88"/>
        <v>2024</v>
      </c>
      <c r="W373" s="4" t="str">
        <f t="shared" si="89"/>
        <v>Europe</v>
      </c>
    </row>
    <row r="374" spans="1:23" x14ac:dyDescent="0.25">
      <c r="A374" t="s">
        <v>586</v>
      </c>
      <c r="B374" t="s">
        <v>775</v>
      </c>
      <c r="C374" t="s">
        <v>63</v>
      </c>
      <c r="D374" t="s">
        <v>26</v>
      </c>
      <c r="F374" s="1">
        <v>45514</v>
      </c>
      <c r="G374">
        <v>4874.3500000000004</v>
      </c>
      <c r="H374">
        <v>45969.81</v>
      </c>
      <c r="I374" t="str">
        <f t="shared" si="75"/>
        <v xml:space="preserve"> Mumbai</v>
      </c>
      <c r="J374" t="str">
        <f t="shared" si="76"/>
        <v>Mumbai</v>
      </c>
      <c r="K374" t="str">
        <f t="shared" si="77"/>
        <v>Tata Power</v>
      </c>
      <c r="L374" s="4" t="str">
        <f t="shared" si="78"/>
        <v>Tata Power</v>
      </c>
      <c r="M374" s="4" t="str">
        <f t="shared" si="79"/>
        <v>Chademo</v>
      </c>
      <c r="N374" s="4" t="str">
        <f t="shared" si="80"/>
        <v>Chademo</v>
      </c>
      <c r="O374" s="4" t="str">
        <f t="shared" si="81"/>
        <v/>
      </c>
      <c r="P374" s="4" t="str">
        <f t="shared" si="82"/>
        <v/>
      </c>
      <c r="Q374" s="4" t="str">
        <f t="shared" si="83"/>
        <v xml:space="preserve"> Mumbai</v>
      </c>
      <c r="R374" s="4" t="b">
        <f t="shared" si="84"/>
        <v>1</v>
      </c>
      <c r="S374" s="5" t="str">
        <f t="shared" si="85"/>
        <v>45514</v>
      </c>
      <c r="T374" s="4" t="str">
        <f t="shared" si="86"/>
        <v>Government</v>
      </c>
      <c r="U374" s="4" t="str">
        <f t="shared" si="87"/>
        <v>fast</v>
      </c>
      <c r="V374" s="4">
        <f t="shared" si="88"/>
        <v>2024</v>
      </c>
      <c r="W374" s="4" t="str">
        <f t="shared" si="89"/>
        <v>Japan</v>
      </c>
    </row>
    <row r="375" spans="1:23" x14ac:dyDescent="0.25">
      <c r="A375" t="s">
        <v>587</v>
      </c>
      <c r="B375" t="s">
        <v>30</v>
      </c>
      <c r="C375" t="s">
        <v>14</v>
      </c>
      <c r="D375" t="s">
        <v>26</v>
      </c>
      <c r="E375" t="s">
        <v>24</v>
      </c>
      <c r="F375" s="1">
        <v>45351</v>
      </c>
      <c r="G375">
        <v>10947.8</v>
      </c>
      <c r="H375">
        <v>160026.93</v>
      </c>
      <c r="I375" t="str">
        <f t="shared" si="75"/>
        <v>Hyderabad</v>
      </c>
      <c r="J375" t="str">
        <f t="shared" si="76"/>
        <v>Hyderabad</v>
      </c>
      <c r="K375" t="str">
        <f t="shared" si="77"/>
        <v>Charge Point</v>
      </c>
      <c r="L375" s="4" t="str">
        <f t="shared" si="78"/>
        <v>Charge Point</v>
      </c>
      <c r="M375" s="4" t="str">
        <f t="shared" si="79"/>
        <v>Chademo</v>
      </c>
      <c r="N375" s="4" t="str">
        <f t="shared" si="80"/>
        <v>Chademo</v>
      </c>
      <c r="O375" s="4" t="str">
        <f t="shared" si="81"/>
        <v>Active</v>
      </c>
      <c r="P375" s="4" t="str">
        <f t="shared" si="82"/>
        <v>Active</v>
      </c>
      <c r="Q375" s="4" t="str">
        <f t="shared" si="83"/>
        <v>Hyderabad</v>
      </c>
      <c r="R375" s="4" t="b">
        <f t="shared" si="84"/>
        <v>1</v>
      </c>
      <c r="S375" s="5" t="str">
        <f t="shared" si="85"/>
        <v>45351</v>
      </c>
      <c r="T375" s="4" t="str">
        <f t="shared" si="86"/>
        <v>Private</v>
      </c>
      <c r="U375" s="4" t="str">
        <f t="shared" si="87"/>
        <v>fast</v>
      </c>
      <c r="V375" s="4">
        <f t="shared" si="88"/>
        <v>2024</v>
      </c>
      <c r="W375" s="4" t="str">
        <f t="shared" si="89"/>
        <v>Japan</v>
      </c>
    </row>
    <row r="376" spans="1:23" x14ac:dyDescent="0.25">
      <c r="A376" t="s">
        <v>588</v>
      </c>
      <c r="B376" t="s">
        <v>40</v>
      </c>
      <c r="C376" t="s">
        <v>41</v>
      </c>
      <c r="D376" t="s">
        <v>17</v>
      </c>
      <c r="E376" t="s">
        <v>54</v>
      </c>
      <c r="F376" s="1">
        <v>45885</v>
      </c>
      <c r="G376">
        <v>148.68</v>
      </c>
      <c r="H376">
        <v>1988.07</v>
      </c>
      <c r="I376" t="str">
        <f t="shared" si="75"/>
        <v>Mumbai</v>
      </c>
      <c r="J376" t="str">
        <f t="shared" si="76"/>
        <v>Mumbai</v>
      </c>
      <c r="K376" t="str">
        <f t="shared" si="77"/>
        <v>Ather Grid</v>
      </c>
      <c r="L376" s="4" t="str">
        <f t="shared" si="78"/>
        <v>Ather Grid</v>
      </c>
      <c r="M376" s="4" t="str">
        <f t="shared" si="79"/>
        <v>Type2 Ac</v>
      </c>
      <c r="N376" s="4" t="str">
        <f t="shared" si="80"/>
        <v>Type2 Ac</v>
      </c>
      <c r="O376" s="4" t="str">
        <f t="shared" si="81"/>
        <v>Inactive</v>
      </c>
      <c r="P376" s="4" t="str">
        <f t="shared" si="82"/>
        <v>Inactive</v>
      </c>
      <c r="Q376" s="4" t="str">
        <f t="shared" si="83"/>
        <v>Mumbai</v>
      </c>
      <c r="R376" s="4" t="b">
        <f t="shared" si="84"/>
        <v>1</v>
      </c>
      <c r="S376" s="5" t="str">
        <f t="shared" si="85"/>
        <v>45885</v>
      </c>
      <c r="T376" s="4" t="str">
        <f t="shared" si="86"/>
        <v>Private</v>
      </c>
      <c r="U376" s="4" t="str">
        <f t="shared" si="87"/>
        <v>Slow</v>
      </c>
      <c r="V376" s="4">
        <f t="shared" si="88"/>
        <v>2025</v>
      </c>
      <c r="W376" s="4" t="str">
        <f t="shared" si="89"/>
        <v>Germany</v>
      </c>
    </row>
    <row r="377" spans="1:23" x14ac:dyDescent="0.25">
      <c r="A377" t="s">
        <v>590</v>
      </c>
      <c r="B377" t="s">
        <v>70</v>
      </c>
      <c r="C377" t="s">
        <v>63</v>
      </c>
      <c r="D377" t="s">
        <v>26</v>
      </c>
      <c r="E377" t="s">
        <v>24</v>
      </c>
      <c r="F377" s="1">
        <v>46045</v>
      </c>
      <c r="G377">
        <v>7268.04</v>
      </c>
      <c r="H377">
        <v>97021.98</v>
      </c>
      <c r="I377" t="str">
        <f t="shared" si="75"/>
        <v>Delhi</v>
      </c>
      <c r="J377" t="str">
        <f t="shared" si="76"/>
        <v>Delhi</v>
      </c>
      <c r="K377" t="str">
        <f t="shared" si="77"/>
        <v>Tata Power</v>
      </c>
      <c r="L377" s="4" t="str">
        <f t="shared" si="78"/>
        <v>Tata Power</v>
      </c>
      <c r="M377" s="4" t="str">
        <f t="shared" si="79"/>
        <v>Chademo</v>
      </c>
      <c r="N377" s="4" t="str">
        <f t="shared" si="80"/>
        <v>Chademo</v>
      </c>
      <c r="O377" s="4" t="str">
        <f t="shared" si="81"/>
        <v>Active</v>
      </c>
      <c r="P377" s="4" t="str">
        <f t="shared" si="82"/>
        <v>Active</v>
      </c>
      <c r="Q377" s="4" t="str">
        <f t="shared" si="83"/>
        <v>Delhi</v>
      </c>
      <c r="R377" s="4" t="b">
        <f t="shared" si="84"/>
        <v>1</v>
      </c>
      <c r="S377" s="5" t="str">
        <f t="shared" si="85"/>
        <v>46045</v>
      </c>
      <c r="T377" s="4" t="str">
        <f t="shared" si="86"/>
        <v>Government</v>
      </c>
      <c r="U377" s="4" t="str">
        <f t="shared" si="87"/>
        <v>fast</v>
      </c>
      <c r="V377" s="4">
        <f t="shared" si="88"/>
        <v>2026</v>
      </c>
      <c r="W377" s="4" t="str">
        <f t="shared" si="89"/>
        <v>Japan</v>
      </c>
    </row>
    <row r="378" spans="1:23" x14ac:dyDescent="0.25">
      <c r="A378" t="s">
        <v>592</v>
      </c>
      <c r="B378" t="s">
        <v>66</v>
      </c>
      <c r="D378" t="s">
        <v>56</v>
      </c>
      <c r="E378" t="s">
        <v>15</v>
      </c>
      <c r="F378" s="1">
        <v>45847</v>
      </c>
      <c r="G378">
        <v>85.77</v>
      </c>
      <c r="H378">
        <v>859.94</v>
      </c>
      <c r="I378" t="str">
        <f t="shared" si="75"/>
        <v>Pune</v>
      </c>
      <c r="J378" t="str">
        <f t="shared" si="76"/>
        <v>Pune</v>
      </c>
      <c r="K378" t="str">
        <f t="shared" si="77"/>
        <v/>
      </c>
      <c r="L378" s="4" t="str">
        <f t="shared" si="78"/>
        <v/>
      </c>
      <c r="M378" s="4" t="str">
        <f t="shared" si="79"/>
        <v>Ccs2</v>
      </c>
      <c r="N378" s="4" t="str">
        <f t="shared" si="80"/>
        <v>Ccs2</v>
      </c>
      <c r="O378" s="4" t="str">
        <f t="shared" si="81"/>
        <v>Decommissioned</v>
      </c>
      <c r="P378" s="4" t="str">
        <f t="shared" si="82"/>
        <v>Decommissioned</v>
      </c>
      <c r="Q378" s="4" t="str">
        <f t="shared" si="83"/>
        <v>Pune</v>
      </c>
      <c r="R378" s="4" t="b">
        <f t="shared" si="84"/>
        <v>1</v>
      </c>
      <c r="S378" s="5" t="str">
        <f t="shared" si="85"/>
        <v>45847</v>
      </c>
      <c r="T378" s="4" t="str">
        <f t="shared" si="86"/>
        <v>Private</v>
      </c>
      <c r="U378" s="4" t="str">
        <f t="shared" si="87"/>
        <v>Ultra Fast</v>
      </c>
      <c r="V378" s="4">
        <f t="shared" si="88"/>
        <v>2025</v>
      </c>
      <c r="W378" s="4" t="str">
        <f t="shared" si="89"/>
        <v>Europe</v>
      </c>
    </row>
    <row r="379" spans="1:23" x14ac:dyDescent="0.25">
      <c r="A379" t="s">
        <v>593</v>
      </c>
      <c r="B379" t="s">
        <v>40</v>
      </c>
      <c r="C379" t="s">
        <v>53</v>
      </c>
      <c r="D379" t="s">
        <v>26</v>
      </c>
      <c r="E379" t="s">
        <v>31</v>
      </c>
      <c r="F379" s="1">
        <v>45354</v>
      </c>
      <c r="G379">
        <v>1749.03</v>
      </c>
      <c r="H379">
        <v>15461.23</v>
      </c>
      <c r="I379" t="str">
        <f t="shared" si="75"/>
        <v>Mumbai</v>
      </c>
      <c r="J379" t="str">
        <f t="shared" si="76"/>
        <v>Mumbai</v>
      </c>
      <c r="K379" t="str">
        <f t="shared" si="77"/>
        <v>Bpcl</v>
      </c>
      <c r="L379" s="4" t="str">
        <f t="shared" si="78"/>
        <v>Bpcl</v>
      </c>
      <c r="M379" s="4" t="str">
        <f t="shared" si="79"/>
        <v>Chademo</v>
      </c>
      <c r="N379" s="4" t="str">
        <f t="shared" si="80"/>
        <v>Chademo</v>
      </c>
      <c r="O379" s="4" t="str">
        <f t="shared" si="81"/>
        <v>Maintenance</v>
      </c>
      <c r="P379" s="4" t="str">
        <f t="shared" si="82"/>
        <v>Maintenance</v>
      </c>
      <c r="Q379" s="4" t="str">
        <f t="shared" si="83"/>
        <v>Mumbai</v>
      </c>
      <c r="R379" s="4" t="b">
        <f t="shared" si="84"/>
        <v>1</v>
      </c>
      <c r="S379" s="5" t="str">
        <f t="shared" si="85"/>
        <v>45354</v>
      </c>
      <c r="T379" s="4" t="str">
        <f t="shared" si="86"/>
        <v>Government</v>
      </c>
      <c r="U379" s="4" t="str">
        <f t="shared" si="87"/>
        <v>fast</v>
      </c>
      <c r="V379" s="4">
        <f t="shared" si="88"/>
        <v>2024</v>
      </c>
      <c r="W379" s="4" t="str">
        <f t="shared" si="89"/>
        <v>Japan</v>
      </c>
    </row>
    <row r="380" spans="1:23" x14ac:dyDescent="0.25">
      <c r="A380" t="s">
        <v>594</v>
      </c>
      <c r="B380" t="s">
        <v>66</v>
      </c>
      <c r="C380" t="s">
        <v>36</v>
      </c>
      <c r="D380" t="s">
        <v>56</v>
      </c>
      <c r="E380" t="s">
        <v>24</v>
      </c>
      <c r="F380" s="1">
        <v>46057</v>
      </c>
      <c r="G380">
        <v>1192.6500000000001</v>
      </c>
      <c r="H380">
        <v>13693.65</v>
      </c>
      <c r="I380" t="str">
        <f t="shared" si="75"/>
        <v>Pune</v>
      </c>
      <c r="J380" t="str">
        <f t="shared" si="76"/>
        <v>Pune</v>
      </c>
      <c r="K380" t="str">
        <f t="shared" si="77"/>
        <v>Zeon Charging</v>
      </c>
      <c r="L380" s="4" t="str">
        <f t="shared" si="78"/>
        <v>Zeon Charging</v>
      </c>
      <c r="M380" s="4" t="str">
        <f t="shared" si="79"/>
        <v>Ccs2</v>
      </c>
      <c r="N380" s="4" t="str">
        <f t="shared" si="80"/>
        <v>Ccs2</v>
      </c>
      <c r="O380" s="4" t="str">
        <f t="shared" si="81"/>
        <v>Active</v>
      </c>
      <c r="P380" s="4" t="str">
        <f t="shared" si="82"/>
        <v>Active</v>
      </c>
      <c r="Q380" s="4" t="str">
        <f t="shared" si="83"/>
        <v>Pune</v>
      </c>
      <c r="R380" s="4" t="b">
        <f t="shared" si="84"/>
        <v>1</v>
      </c>
      <c r="S380" s="5" t="str">
        <f t="shared" si="85"/>
        <v>46057</v>
      </c>
      <c r="T380" s="4" t="str">
        <f t="shared" si="86"/>
        <v>Private</v>
      </c>
      <c r="U380" s="4" t="str">
        <f t="shared" si="87"/>
        <v>Ultra Fast</v>
      </c>
      <c r="V380" s="4">
        <f t="shared" si="88"/>
        <v>2026</v>
      </c>
      <c r="W380" s="4" t="str">
        <f t="shared" si="89"/>
        <v>Europe</v>
      </c>
    </row>
    <row r="381" spans="1:23" x14ac:dyDescent="0.25">
      <c r="A381" t="s">
        <v>595</v>
      </c>
      <c r="B381" t="s">
        <v>70</v>
      </c>
      <c r="C381" t="s">
        <v>14</v>
      </c>
      <c r="D381" t="s">
        <v>56</v>
      </c>
      <c r="E381" t="s">
        <v>24</v>
      </c>
      <c r="F381" s="1">
        <v>45613</v>
      </c>
      <c r="G381">
        <v>11541.25</v>
      </c>
      <c r="H381">
        <v>127122.08</v>
      </c>
      <c r="I381" t="str">
        <f t="shared" si="75"/>
        <v>Delhi</v>
      </c>
      <c r="J381" t="str">
        <f t="shared" si="76"/>
        <v>Delhi</v>
      </c>
      <c r="K381" t="str">
        <f t="shared" si="77"/>
        <v>Charge Point</v>
      </c>
      <c r="L381" s="4" t="str">
        <f t="shared" si="78"/>
        <v>Charge Point</v>
      </c>
      <c r="M381" s="4" t="str">
        <f t="shared" si="79"/>
        <v>Ccs2</v>
      </c>
      <c r="N381" s="4" t="str">
        <f t="shared" si="80"/>
        <v>Ccs2</v>
      </c>
      <c r="O381" s="4" t="str">
        <f t="shared" si="81"/>
        <v>Active</v>
      </c>
      <c r="P381" s="4" t="str">
        <f t="shared" si="82"/>
        <v>Active</v>
      </c>
      <c r="Q381" s="4" t="str">
        <f t="shared" si="83"/>
        <v>Delhi</v>
      </c>
      <c r="R381" s="4" t="b">
        <f t="shared" si="84"/>
        <v>1</v>
      </c>
      <c r="S381" s="5" t="str">
        <f t="shared" si="85"/>
        <v>45613</v>
      </c>
      <c r="T381" s="4" t="str">
        <f t="shared" si="86"/>
        <v>Private</v>
      </c>
      <c r="U381" s="4" t="str">
        <f t="shared" si="87"/>
        <v>Ultra Fast</v>
      </c>
      <c r="V381" s="4">
        <f t="shared" si="88"/>
        <v>2024</v>
      </c>
      <c r="W381" s="4" t="str">
        <f t="shared" si="89"/>
        <v>Europe</v>
      </c>
    </row>
    <row r="382" spans="1:23" x14ac:dyDescent="0.25">
      <c r="A382" t="s">
        <v>597</v>
      </c>
      <c r="B382" t="s">
        <v>40</v>
      </c>
      <c r="C382" t="s">
        <v>764</v>
      </c>
      <c r="D382" t="s">
        <v>26</v>
      </c>
      <c r="E382" t="s">
        <v>31</v>
      </c>
      <c r="F382" s="1">
        <v>45350</v>
      </c>
      <c r="G382">
        <v>387.78</v>
      </c>
      <c r="H382">
        <v>3452.91</v>
      </c>
      <c r="I382" t="str">
        <f t="shared" si="75"/>
        <v>Mumbai</v>
      </c>
      <c r="J382" t="str">
        <f t="shared" si="76"/>
        <v>Mumbai</v>
      </c>
      <c r="K382" t="str">
        <f t="shared" si="77"/>
        <v>Bpcl</v>
      </c>
      <c r="L382" s="4" t="str">
        <f t="shared" si="78"/>
        <v>Bpcl</v>
      </c>
      <c r="M382" s="4" t="str">
        <f t="shared" si="79"/>
        <v>Chademo</v>
      </c>
      <c r="N382" s="4" t="str">
        <f t="shared" si="80"/>
        <v>Chademo</v>
      </c>
      <c r="O382" s="4" t="str">
        <f t="shared" si="81"/>
        <v>Maintenance</v>
      </c>
      <c r="P382" s="4" t="str">
        <f t="shared" si="82"/>
        <v>Maintenance</v>
      </c>
      <c r="Q382" s="4" t="str">
        <f t="shared" si="83"/>
        <v>Mumbai</v>
      </c>
      <c r="R382" s="4" t="b">
        <f t="shared" si="84"/>
        <v>1</v>
      </c>
      <c r="S382" s="5" t="str">
        <f t="shared" si="85"/>
        <v>45350</v>
      </c>
      <c r="T382" s="4" t="str">
        <f t="shared" si="86"/>
        <v>Government</v>
      </c>
      <c r="U382" s="4" t="str">
        <f t="shared" si="87"/>
        <v>fast</v>
      </c>
      <c r="V382" s="4">
        <f t="shared" si="88"/>
        <v>2024</v>
      </c>
      <c r="W382" s="4" t="str">
        <f t="shared" si="89"/>
        <v>Japan</v>
      </c>
    </row>
    <row r="383" spans="1:23" x14ac:dyDescent="0.25">
      <c r="A383" t="s">
        <v>599</v>
      </c>
      <c r="B383" t="s">
        <v>30</v>
      </c>
      <c r="C383" t="s">
        <v>14</v>
      </c>
      <c r="D383" t="s">
        <v>17</v>
      </c>
      <c r="E383" t="s">
        <v>54</v>
      </c>
      <c r="F383" s="1">
        <v>45343</v>
      </c>
      <c r="G383">
        <v>381.37</v>
      </c>
      <c r="H383">
        <v>4472.74</v>
      </c>
      <c r="I383" t="str">
        <f t="shared" si="75"/>
        <v>Hyderabad</v>
      </c>
      <c r="J383" t="str">
        <f t="shared" si="76"/>
        <v>Hyderabad</v>
      </c>
      <c r="K383" t="str">
        <f t="shared" si="77"/>
        <v>Charge Point</v>
      </c>
      <c r="L383" s="4" t="str">
        <f t="shared" si="78"/>
        <v>Charge Point</v>
      </c>
      <c r="M383" s="4" t="str">
        <f t="shared" si="79"/>
        <v>Type2 Ac</v>
      </c>
      <c r="N383" s="4" t="str">
        <f t="shared" si="80"/>
        <v>Type2 Ac</v>
      </c>
      <c r="O383" s="4" t="str">
        <f t="shared" si="81"/>
        <v>Inactive</v>
      </c>
      <c r="P383" s="4" t="str">
        <f t="shared" si="82"/>
        <v>Inactive</v>
      </c>
      <c r="Q383" s="4" t="str">
        <f t="shared" si="83"/>
        <v>Hyderabad</v>
      </c>
      <c r="R383" s="4" t="b">
        <f t="shared" si="84"/>
        <v>1</v>
      </c>
      <c r="S383" s="5" t="str">
        <f t="shared" si="85"/>
        <v>45343</v>
      </c>
      <c r="T383" s="4" t="str">
        <f t="shared" si="86"/>
        <v>Private</v>
      </c>
      <c r="U383" s="4" t="str">
        <f t="shared" si="87"/>
        <v>Slow</v>
      </c>
      <c r="V383" s="4">
        <f t="shared" si="88"/>
        <v>2024</v>
      </c>
      <c r="W383" s="4" t="str">
        <f t="shared" si="89"/>
        <v>Germany</v>
      </c>
    </row>
    <row r="384" spans="1:23" x14ac:dyDescent="0.25">
      <c r="A384" t="s">
        <v>600</v>
      </c>
      <c r="B384" t="s">
        <v>35</v>
      </c>
      <c r="C384" t="s">
        <v>36</v>
      </c>
      <c r="D384" t="s">
        <v>48</v>
      </c>
      <c r="E384" t="s">
        <v>24</v>
      </c>
      <c r="F384" s="1">
        <v>45890</v>
      </c>
      <c r="G384">
        <v>7693.42</v>
      </c>
      <c r="H384">
        <v>73939.73</v>
      </c>
      <c r="I384" t="str">
        <f t="shared" si="75"/>
        <v>Chennai</v>
      </c>
      <c r="J384" t="str">
        <f t="shared" si="76"/>
        <v>Chennai</v>
      </c>
      <c r="K384" t="str">
        <f t="shared" si="77"/>
        <v>Zeon Charging</v>
      </c>
      <c r="L384" s="4" t="str">
        <f t="shared" si="78"/>
        <v>Zeon Charging</v>
      </c>
      <c r="M384" s="4" t="str">
        <f t="shared" si="79"/>
        <v>Bharat Dc-001</v>
      </c>
      <c r="N384" s="4" t="str">
        <f t="shared" si="80"/>
        <v>Bharat Dc-001</v>
      </c>
      <c r="O384" s="4" t="str">
        <f t="shared" si="81"/>
        <v>Active</v>
      </c>
      <c r="P384" s="4" t="str">
        <f t="shared" si="82"/>
        <v>Active</v>
      </c>
      <c r="Q384" s="4" t="str">
        <f t="shared" si="83"/>
        <v>Chennai</v>
      </c>
      <c r="R384" s="4" t="b">
        <f t="shared" si="84"/>
        <v>1</v>
      </c>
      <c r="S384" s="5" t="str">
        <f t="shared" si="85"/>
        <v>45890</v>
      </c>
      <c r="T384" s="4" t="str">
        <f t="shared" si="86"/>
        <v>Private</v>
      </c>
      <c r="U384" s="4" t="str">
        <f t="shared" si="87"/>
        <v>fast</v>
      </c>
      <c r="V384" s="4">
        <f t="shared" si="88"/>
        <v>2025</v>
      </c>
      <c r="W384" s="4" t="str">
        <f t="shared" si="89"/>
        <v>India</v>
      </c>
    </row>
    <row r="385" spans="1:23" x14ac:dyDescent="0.25">
      <c r="A385" t="s">
        <v>602</v>
      </c>
      <c r="B385" t="s">
        <v>46</v>
      </c>
      <c r="C385" t="s">
        <v>36</v>
      </c>
      <c r="D385" t="s">
        <v>26</v>
      </c>
      <c r="E385" t="s">
        <v>24</v>
      </c>
      <c r="F385" s="1">
        <v>45780</v>
      </c>
      <c r="G385">
        <v>3543.43</v>
      </c>
      <c r="H385">
        <v>42206.02</v>
      </c>
      <c r="I385" t="str">
        <f t="shared" si="75"/>
        <v>Kolkata</v>
      </c>
      <c r="J385" t="str">
        <f t="shared" si="76"/>
        <v>Kolkata</v>
      </c>
      <c r="K385" t="str">
        <f t="shared" si="77"/>
        <v>Zeon Charging</v>
      </c>
      <c r="L385" s="4" t="str">
        <f t="shared" si="78"/>
        <v>Zeon Charging</v>
      </c>
      <c r="M385" s="4" t="str">
        <f t="shared" si="79"/>
        <v>Chademo</v>
      </c>
      <c r="N385" s="4" t="str">
        <f t="shared" si="80"/>
        <v>Chademo</v>
      </c>
      <c r="O385" s="4" t="str">
        <f t="shared" si="81"/>
        <v>Active</v>
      </c>
      <c r="P385" s="4" t="str">
        <f t="shared" si="82"/>
        <v>Active</v>
      </c>
      <c r="Q385" s="4" t="str">
        <f t="shared" si="83"/>
        <v>Kolkata</v>
      </c>
      <c r="R385" s="4" t="b">
        <f t="shared" si="84"/>
        <v>1</v>
      </c>
      <c r="S385" s="5" t="str">
        <f t="shared" si="85"/>
        <v>45780</v>
      </c>
      <c r="T385" s="4" t="str">
        <f t="shared" si="86"/>
        <v>Private</v>
      </c>
      <c r="U385" s="4" t="str">
        <f t="shared" si="87"/>
        <v>fast</v>
      </c>
      <c r="V385" s="4">
        <f t="shared" si="88"/>
        <v>2025</v>
      </c>
      <c r="W385" s="4" t="str">
        <f t="shared" si="89"/>
        <v>Japan</v>
      </c>
    </row>
    <row r="386" spans="1:23" x14ac:dyDescent="0.25">
      <c r="A386" t="s">
        <v>603</v>
      </c>
      <c r="B386" t="s">
        <v>30</v>
      </c>
      <c r="C386" t="s">
        <v>63</v>
      </c>
      <c r="D386" t="s">
        <v>56</v>
      </c>
      <c r="E386" t="s">
        <v>54</v>
      </c>
      <c r="F386" s="1">
        <v>45806</v>
      </c>
      <c r="G386">
        <v>40.590000000000003</v>
      </c>
      <c r="H386">
        <v>514.53</v>
      </c>
      <c r="I386" t="str">
        <f t="shared" ref="I386:I449" si="90">PROPER(B386)</f>
        <v>Hyderabad</v>
      </c>
      <c r="J386" t="str">
        <f t="shared" ref="J386:J449" si="91">TRIM(I386)</f>
        <v>Hyderabad</v>
      </c>
      <c r="K386" t="str">
        <f t="shared" ref="K386:K449" si="92">PROPER(C386)</f>
        <v>Tata Power</v>
      </c>
      <c r="L386" s="4" t="str">
        <f t="shared" ref="L386:L449" si="93">TRIM(K386)</f>
        <v>Tata Power</v>
      </c>
      <c r="M386" s="4" t="str">
        <f t="shared" ref="M386:M449" si="94">PROPER(D386)</f>
        <v>Ccs2</v>
      </c>
      <c r="N386" s="4" t="str">
        <f t="shared" ref="N386:N449" si="95">TRIM(M386)</f>
        <v>Ccs2</v>
      </c>
      <c r="O386" s="4" t="str">
        <f t="shared" ref="O386:O449" si="96">PROPER(E386)</f>
        <v>Inactive</v>
      </c>
      <c r="P386" s="4" t="str">
        <f t="shared" ref="P386:P449" si="97">TRIM(O386)</f>
        <v>Inactive</v>
      </c>
      <c r="Q386" s="4" t="str">
        <f t="shared" ref="Q386:Q449" si="98">IF(TRIM(I385)=" ","Mumbai",I386)</f>
        <v>Hyderabad</v>
      </c>
      <c r="R386" s="4" t="b">
        <f t="shared" ref="R386:R449" si="99">ISNUMBER(F386)</f>
        <v>1</v>
      </c>
      <c r="S386" s="5" t="str">
        <f t="shared" ref="S386:S449" si="100">TRIM(F386)</f>
        <v>45806</v>
      </c>
      <c r="T386" s="4" t="str">
        <f t="shared" ref="T386:T449" si="101">IF(L386="Tata Power","Government",IF(L386="Bpcl","Government","Private"))</f>
        <v>Government</v>
      </c>
      <c r="U386" s="4" t="str">
        <f t="shared" ref="U386:U449" si="102">IF(N386="Type2 Ac","Slow",IF(N386="Ccs2","Ultra Fast","fast"))</f>
        <v>Ultra Fast</v>
      </c>
      <c r="V386" s="4">
        <f t="shared" ref="V386:V449" si="103">YEAR(F386)</f>
        <v>2025</v>
      </c>
      <c r="W386" s="4" t="str">
        <f t="shared" ref="W386:W449" si="104">IF(N386="Type2 Ac","Germany",IF(N386="Chademo","Japan",IF(N386="Ccs2","Europe","India")))</f>
        <v>Europe</v>
      </c>
    </row>
    <row r="387" spans="1:23" x14ac:dyDescent="0.25">
      <c r="A387" t="s">
        <v>605</v>
      </c>
      <c r="B387" t="s">
        <v>66</v>
      </c>
      <c r="C387" t="s">
        <v>41</v>
      </c>
      <c r="D387" t="s">
        <v>56</v>
      </c>
      <c r="E387" t="s">
        <v>24</v>
      </c>
      <c r="F387" s="1">
        <v>45835</v>
      </c>
      <c r="G387">
        <v>3258.45</v>
      </c>
      <c r="H387">
        <v>34145.85</v>
      </c>
      <c r="I387" t="str">
        <f t="shared" si="90"/>
        <v>Pune</v>
      </c>
      <c r="J387" t="str">
        <f t="shared" si="91"/>
        <v>Pune</v>
      </c>
      <c r="K387" t="str">
        <f t="shared" si="92"/>
        <v>Ather Grid</v>
      </c>
      <c r="L387" s="4" t="str">
        <f t="shared" si="93"/>
        <v>Ather Grid</v>
      </c>
      <c r="M387" s="4" t="str">
        <f t="shared" si="94"/>
        <v>Ccs2</v>
      </c>
      <c r="N387" s="4" t="str">
        <f t="shared" si="95"/>
        <v>Ccs2</v>
      </c>
      <c r="O387" s="4" t="str">
        <f t="shared" si="96"/>
        <v>Active</v>
      </c>
      <c r="P387" s="4" t="str">
        <f t="shared" si="97"/>
        <v>Active</v>
      </c>
      <c r="Q387" s="4" t="str">
        <f t="shared" si="98"/>
        <v>Pune</v>
      </c>
      <c r="R387" s="4" t="b">
        <f t="shared" si="99"/>
        <v>1</v>
      </c>
      <c r="S387" s="5" t="str">
        <f t="shared" si="100"/>
        <v>45835</v>
      </c>
      <c r="T387" s="4" t="str">
        <f t="shared" si="101"/>
        <v>Private</v>
      </c>
      <c r="U387" s="4" t="str">
        <f t="shared" si="102"/>
        <v>Ultra Fast</v>
      </c>
      <c r="V387" s="4">
        <f t="shared" si="103"/>
        <v>2025</v>
      </c>
      <c r="W387" s="4" t="str">
        <f t="shared" si="104"/>
        <v>Europe</v>
      </c>
    </row>
    <row r="388" spans="1:23" x14ac:dyDescent="0.25">
      <c r="A388" t="s">
        <v>606</v>
      </c>
      <c r="B388" t="s">
        <v>70</v>
      </c>
      <c r="D388" t="s">
        <v>26</v>
      </c>
      <c r="E388" t="s">
        <v>31</v>
      </c>
      <c r="F388" s="1">
        <v>45453</v>
      </c>
      <c r="G388">
        <v>1700.78</v>
      </c>
      <c r="H388">
        <v>18333.55</v>
      </c>
      <c r="I388" t="str">
        <f t="shared" si="90"/>
        <v>Delhi</v>
      </c>
      <c r="J388" t="str">
        <f t="shared" si="91"/>
        <v>Delhi</v>
      </c>
      <c r="K388" t="str">
        <f t="shared" si="92"/>
        <v/>
      </c>
      <c r="L388" s="4" t="str">
        <f t="shared" si="93"/>
        <v/>
      </c>
      <c r="M388" s="4" t="str">
        <f t="shared" si="94"/>
        <v>Chademo</v>
      </c>
      <c r="N388" s="4" t="str">
        <f t="shared" si="95"/>
        <v>Chademo</v>
      </c>
      <c r="O388" s="4" t="str">
        <f t="shared" si="96"/>
        <v>Maintenance</v>
      </c>
      <c r="P388" s="4" t="str">
        <f t="shared" si="97"/>
        <v>Maintenance</v>
      </c>
      <c r="Q388" s="4" t="str">
        <f t="shared" si="98"/>
        <v>Delhi</v>
      </c>
      <c r="R388" s="4" t="b">
        <f t="shared" si="99"/>
        <v>1</v>
      </c>
      <c r="S388" s="5" t="str">
        <f t="shared" si="100"/>
        <v>45453</v>
      </c>
      <c r="T388" s="4" t="str">
        <f t="shared" si="101"/>
        <v>Private</v>
      </c>
      <c r="U388" s="4" t="str">
        <f t="shared" si="102"/>
        <v>fast</v>
      </c>
      <c r="V388" s="4">
        <f t="shared" si="103"/>
        <v>2024</v>
      </c>
      <c r="W388" s="4" t="str">
        <f t="shared" si="104"/>
        <v>Japan</v>
      </c>
    </row>
    <row r="389" spans="1:23" x14ac:dyDescent="0.25">
      <c r="A389" t="s">
        <v>607</v>
      </c>
      <c r="B389" t="s">
        <v>40</v>
      </c>
      <c r="C389" t="s">
        <v>14</v>
      </c>
      <c r="D389" t="s">
        <v>17</v>
      </c>
      <c r="E389" t="s">
        <v>24</v>
      </c>
      <c r="F389" s="1">
        <v>45350</v>
      </c>
      <c r="G389">
        <v>2300.13</v>
      </c>
      <c r="H389">
        <v>30348.58</v>
      </c>
      <c r="I389" t="str">
        <f t="shared" si="90"/>
        <v>Mumbai</v>
      </c>
      <c r="J389" t="str">
        <f t="shared" si="91"/>
        <v>Mumbai</v>
      </c>
      <c r="K389" t="str">
        <f t="shared" si="92"/>
        <v>Charge Point</v>
      </c>
      <c r="L389" s="4" t="str">
        <f t="shared" si="93"/>
        <v>Charge Point</v>
      </c>
      <c r="M389" s="4" t="str">
        <f t="shared" si="94"/>
        <v>Type2 Ac</v>
      </c>
      <c r="N389" s="4" t="str">
        <f t="shared" si="95"/>
        <v>Type2 Ac</v>
      </c>
      <c r="O389" s="4" t="str">
        <f t="shared" si="96"/>
        <v>Active</v>
      </c>
      <c r="P389" s="4" t="str">
        <f t="shared" si="97"/>
        <v>Active</v>
      </c>
      <c r="Q389" s="4" t="str">
        <f t="shared" si="98"/>
        <v>Mumbai</v>
      </c>
      <c r="R389" s="4" t="b">
        <f t="shared" si="99"/>
        <v>1</v>
      </c>
      <c r="S389" s="5" t="str">
        <f t="shared" si="100"/>
        <v>45350</v>
      </c>
      <c r="T389" s="4" t="str">
        <f t="shared" si="101"/>
        <v>Private</v>
      </c>
      <c r="U389" s="4" t="str">
        <f t="shared" si="102"/>
        <v>Slow</v>
      </c>
      <c r="V389" s="4">
        <f t="shared" si="103"/>
        <v>2024</v>
      </c>
      <c r="W389" s="4" t="str">
        <f t="shared" si="104"/>
        <v>Germany</v>
      </c>
    </row>
    <row r="390" spans="1:23" x14ac:dyDescent="0.25">
      <c r="A390" t="s">
        <v>608</v>
      </c>
      <c r="B390" t="s">
        <v>66</v>
      </c>
      <c r="C390" t="s">
        <v>764</v>
      </c>
      <c r="D390" t="s">
        <v>17</v>
      </c>
      <c r="E390" t="s">
        <v>24</v>
      </c>
      <c r="F390" s="1">
        <v>45812</v>
      </c>
      <c r="G390">
        <v>5197.95</v>
      </c>
      <c r="H390">
        <v>57455.73</v>
      </c>
      <c r="I390" t="str">
        <f t="shared" si="90"/>
        <v>Pune</v>
      </c>
      <c r="J390" t="str">
        <f t="shared" si="91"/>
        <v>Pune</v>
      </c>
      <c r="K390" t="str">
        <f t="shared" si="92"/>
        <v>Bpcl</v>
      </c>
      <c r="L390" s="4" t="str">
        <f t="shared" si="93"/>
        <v>Bpcl</v>
      </c>
      <c r="M390" s="4" t="str">
        <f t="shared" si="94"/>
        <v>Type2 Ac</v>
      </c>
      <c r="N390" s="4" t="str">
        <f t="shared" si="95"/>
        <v>Type2 Ac</v>
      </c>
      <c r="O390" s="4" t="str">
        <f t="shared" si="96"/>
        <v>Active</v>
      </c>
      <c r="P390" s="4" t="str">
        <f t="shared" si="97"/>
        <v>Active</v>
      </c>
      <c r="Q390" s="4" t="str">
        <f t="shared" si="98"/>
        <v>Pune</v>
      </c>
      <c r="R390" s="4" t="b">
        <f t="shared" si="99"/>
        <v>1</v>
      </c>
      <c r="S390" s="5" t="str">
        <f t="shared" si="100"/>
        <v>45812</v>
      </c>
      <c r="T390" s="4" t="str">
        <f t="shared" si="101"/>
        <v>Government</v>
      </c>
      <c r="U390" s="4" t="str">
        <f t="shared" si="102"/>
        <v>Slow</v>
      </c>
      <c r="V390" s="4">
        <f t="shared" si="103"/>
        <v>2025</v>
      </c>
      <c r="W390" s="4" t="str">
        <f t="shared" si="104"/>
        <v>Germany</v>
      </c>
    </row>
    <row r="391" spans="1:23" x14ac:dyDescent="0.25">
      <c r="A391" t="s">
        <v>609</v>
      </c>
      <c r="B391" t="s">
        <v>66</v>
      </c>
      <c r="C391" t="s">
        <v>774</v>
      </c>
      <c r="D391" t="s">
        <v>56</v>
      </c>
      <c r="E391" t="s">
        <v>31</v>
      </c>
      <c r="F391" s="1">
        <v>45374</v>
      </c>
      <c r="G391">
        <v>2099.1799999999998</v>
      </c>
      <c r="H391">
        <v>23549.19</v>
      </c>
      <c r="I391" t="str">
        <f t="shared" si="90"/>
        <v>Pune</v>
      </c>
      <c r="J391" t="str">
        <f t="shared" si="91"/>
        <v>Pune</v>
      </c>
      <c r="K391" t="str">
        <f t="shared" si="92"/>
        <v>Zeon Charging</v>
      </c>
      <c r="L391" s="4" t="str">
        <f t="shared" si="93"/>
        <v>Zeon Charging</v>
      </c>
      <c r="M391" s="4" t="str">
        <f t="shared" si="94"/>
        <v>Ccs2</v>
      </c>
      <c r="N391" s="4" t="str">
        <f t="shared" si="95"/>
        <v>Ccs2</v>
      </c>
      <c r="O391" s="4" t="str">
        <f t="shared" si="96"/>
        <v>Maintenance</v>
      </c>
      <c r="P391" s="4" t="str">
        <f t="shared" si="97"/>
        <v>Maintenance</v>
      </c>
      <c r="Q391" s="4" t="str">
        <f t="shared" si="98"/>
        <v>Pune</v>
      </c>
      <c r="R391" s="4" t="b">
        <f t="shared" si="99"/>
        <v>1</v>
      </c>
      <c r="S391" s="5" t="str">
        <f t="shared" si="100"/>
        <v>45374</v>
      </c>
      <c r="T391" s="4" t="str">
        <f t="shared" si="101"/>
        <v>Private</v>
      </c>
      <c r="U391" s="4" t="str">
        <f t="shared" si="102"/>
        <v>Ultra Fast</v>
      </c>
      <c r="V391" s="4">
        <f t="shared" si="103"/>
        <v>2024</v>
      </c>
      <c r="W391" s="4" t="str">
        <f t="shared" si="104"/>
        <v>Europe</v>
      </c>
    </row>
    <row r="392" spans="1:23" x14ac:dyDescent="0.25">
      <c r="A392" t="s">
        <v>611</v>
      </c>
      <c r="B392" t="s">
        <v>23</v>
      </c>
      <c r="C392" t="s">
        <v>14</v>
      </c>
      <c r="D392" t="s">
        <v>56</v>
      </c>
      <c r="E392" t="s">
        <v>24</v>
      </c>
      <c r="F392" s="1">
        <v>45482</v>
      </c>
      <c r="G392">
        <v>5903.99</v>
      </c>
      <c r="H392">
        <v>50449.82</v>
      </c>
      <c r="I392" t="str">
        <f t="shared" si="90"/>
        <v>Ahemdabad</v>
      </c>
      <c r="J392" t="str">
        <f t="shared" si="91"/>
        <v>Ahemdabad</v>
      </c>
      <c r="K392" t="str">
        <f t="shared" si="92"/>
        <v>Charge Point</v>
      </c>
      <c r="L392" s="4" t="str">
        <f t="shared" si="93"/>
        <v>Charge Point</v>
      </c>
      <c r="M392" s="4" t="str">
        <f t="shared" si="94"/>
        <v>Ccs2</v>
      </c>
      <c r="N392" s="4" t="str">
        <f t="shared" si="95"/>
        <v>Ccs2</v>
      </c>
      <c r="O392" s="4" t="str">
        <f t="shared" si="96"/>
        <v>Active</v>
      </c>
      <c r="P392" s="4" t="str">
        <f t="shared" si="97"/>
        <v>Active</v>
      </c>
      <c r="Q392" s="4" t="str">
        <f t="shared" si="98"/>
        <v>Ahemdabad</v>
      </c>
      <c r="R392" s="4" t="b">
        <f t="shared" si="99"/>
        <v>1</v>
      </c>
      <c r="S392" s="5" t="str">
        <f t="shared" si="100"/>
        <v>45482</v>
      </c>
      <c r="T392" s="4" t="str">
        <f t="shared" si="101"/>
        <v>Private</v>
      </c>
      <c r="U392" s="4" t="str">
        <f t="shared" si="102"/>
        <v>Ultra Fast</v>
      </c>
      <c r="V392" s="4">
        <f t="shared" si="103"/>
        <v>2024</v>
      </c>
      <c r="W392" s="4" t="str">
        <f t="shared" si="104"/>
        <v>Europe</v>
      </c>
    </row>
    <row r="393" spans="1:23" x14ac:dyDescent="0.25">
      <c r="A393" t="s">
        <v>612</v>
      </c>
      <c r="B393" t="s">
        <v>13</v>
      </c>
      <c r="C393" t="s">
        <v>36</v>
      </c>
      <c r="D393" t="s">
        <v>17</v>
      </c>
      <c r="E393" t="s">
        <v>24</v>
      </c>
      <c r="F393" s="1">
        <v>45362</v>
      </c>
      <c r="G393">
        <v>875.36</v>
      </c>
      <c r="H393">
        <v>8921.17</v>
      </c>
      <c r="I393" t="str">
        <f t="shared" si="90"/>
        <v>Bengaluru</v>
      </c>
      <c r="J393" t="str">
        <f t="shared" si="91"/>
        <v>Bengaluru</v>
      </c>
      <c r="K393" t="str">
        <f t="shared" si="92"/>
        <v>Zeon Charging</v>
      </c>
      <c r="L393" s="4" t="str">
        <f t="shared" si="93"/>
        <v>Zeon Charging</v>
      </c>
      <c r="M393" s="4" t="str">
        <f t="shared" si="94"/>
        <v>Type2 Ac</v>
      </c>
      <c r="N393" s="4" t="str">
        <f t="shared" si="95"/>
        <v>Type2 Ac</v>
      </c>
      <c r="O393" s="4" t="str">
        <f t="shared" si="96"/>
        <v>Active</v>
      </c>
      <c r="P393" s="4" t="str">
        <f t="shared" si="97"/>
        <v>Active</v>
      </c>
      <c r="Q393" s="4" t="str">
        <f t="shared" si="98"/>
        <v>Bengaluru</v>
      </c>
      <c r="R393" s="4" t="b">
        <f t="shared" si="99"/>
        <v>1</v>
      </c>
      <c r="S393" s="5" t="str">
        <f t="shared" si="100"/>
        <v>45362</v>
      </c>
      <c r="T393" s="4" t="str">
        <f t="shared" si="101"/>
        <v>Private</v>
      </c>
      <c r="U393" s="4" t="str">
        <f t="shared" si="102"/>
        <v>Slow</v>
      </c>
      <c r="V393" s="4">
        <f t="shared" si="103"/>
        <v>2024</v>
      </c>
      <c r="W393" s="4" t="str">
        <f t="shared" si="104"/>
        <v>Germany</v>
      </c>
    </row>
    <row r="394" spans="1:23" x14ac:dyDescent="0.25">
      <c r="A394" t="s">
        <v>613</v>
      </c>
      <c r="B394" t="s">
        <v>13</v>
      </c>
      <c r="C394" t="s">
        <v>14</v>
      </c>
      <c r="D394" t="s">
        <v>48</v>
      </c>
      <c r="E394" t="s">
        <v>24</v>
      </c>
      <c r="F394" s="1">
        <v>45901</v>
      </c>
      <c r="G394">
        <v>3813.21</v>
      </c>
      <c r="H394">
        <v>41964.34</v>
      </c>
      <c r="I394" t="str">
        <f t="shared" si="90"/>
        <v>Bengaluru</v>
      </c>
      <c r="J394" t="str">
        <f t="shared" si="91"/>
        <v>Bengaluru</v>
      </c>
      <c r="K394" t="str">
        <f t="shared" si="92"/>
        <v>Charge Point</v>
      </c>
      <c r="L394" s="4" t="str">
        <f t="shared" si="93"/>
        <v>Charge Point</v>
      </c>
      <c r="M394" s="4" t="str">
        <f t="shared" si="94"/>
        <v>Bharat Dc-001</v>
      </c>
      <c r="N394" s="4" t="str">
        <f t="shared" si="95"/>
        <v>Bharat Dc-001</v>
      </c>
      <c r="O394" s="4" t="str">
        <f t="shared" si="96"/>
        <v>Active</v>
      </c>
      <c r="P394" s="4" t="str">
        <f t="shared" si="97"/>
        <v>Active</v>
      </c>
      <c r="Q394" s="4" t="str">
        <f t="shared" si="98"/>
        <v>Bengaluru</v>
      </c>
      <c r="R394" s="4" t="b">
        <f t="shared" si="99"/>
        <v>1</v>
      </c>
      <c r="S394" s="5" t="str">
        <f t="shared" si="100"/>
        <v>45901</v>
      </c>
      <c r="T394" s="4" t="str">
        <f t="shared" si="101"/>
        <v>Private</v>
      </c>
      <c r="U394" s="4" t="str">
        <f t="shared" si="102"/>
        <v>fast</v>
      </c>
      <c r="V394" s="4">
        <f t="shared" si="103"/>
        <v>2025</v>
      </c>
      <c r="W394" s="4" t="str">
        <f t="shared" si="104"/>
        <v>India</v>
      </c>
    </row>
    <row r="395" spans="1:23" x14ac:dyDescent="0.25">
      <c r="A395" t="s">
        <v>614</v>
      </c>
      <c r="B395" t="s">
        <v>772</v>
      </c>
      <c r="C395" t="s">
        <v>63</v>
      </c>
      <c r="D395" t="s">
        <v>26</v>
      </c>
      <c r="E395" t="s">
        <v>24</v>
      </c>
      <c r="F395" s="1">
        <v>45361</v>
      </c>
      <c r="I395" t="str">
        <f t="shared" si="90"/>
        <v xml:space="preserve">Pune </v>
      </c>
      <c r="J395" t="str">
        <f t="shared" si="91"/>
        <v>Pune</v>
      </c>
      <c r="K395" t="str">
        <f t="shared" si="92"/>
        <v>Tata Power</v>
      </c>
      <c r="L395" s="4" t="str">
        <f t="shared" si="93"/>
        <v>Tata Power</v>
      </c>
      <c r="M395" s="4" t="str">
        <f t="shared" si="94"/>
        <v>Chademo</v>
      </c>
      <c r="N395" s="4" t="str">
        <f t="shared" si="95"/>
        <v>Chademo</v>
      </c>
      <c r="O395" s="4" t="str">
        <f t="shared" si="96"/>
        <v>Active</v>
      </c>
      <c r="P395" s="4" t="str">
        <f t="shared" si="97"/>
        <v>Active</v>
      </c>
      <c r="Q395" s="4" t="str">
        <f t="shared" si="98"/>
        <v xml:space="preserve">Pune </v>
      </c>
      <c r="R395" s="4" t="b">
        <f t="shared" si="99"/>
        <v>1</v>
      </c>
      <c r="S395" s="5" t="str">
        <f t="shared" si="100"/>
        <v>45361</v>
      </c>
      <c r="T395" s="4" t="str">
        <f t="shared" si="101"/>
        <v>Government</v>
      </c>
      <c r="U395" s="4" t="str">
        <f t="shared" si="102"/>
        <v>fast</v>
      </c>
      <c r="V395" s="4">
        <f t="shared" si="103"/>
        <v>2024</v>
      </c>
      <c r="W395" s="4" t="str">
        <f t="shared" si="104"/>
        <v>Japan</v>
      </c>
    </row>
    <row r="396" spans="1:23" x14ac:dyDescent="0.25">
      <c r="A396" t="s">
        <v>615</v>
      </c>
      <c r="B396" t="s">
        <v>70</v>
      </c>
      <c r="C396" t="s">
        <v>41</v>
      </c>
      <c r="D396" t="s">
        <v>56</v>
      </c>
      <c r="E396" t="s">
        <v>24</v>
      </c>
      <c r="F396" s="1">
        <v>45983</v>
      </c>
      <c r="G396">
        <v>10385.48</v>
      </c>
      <c r="H396">
        <v>129621.09</v>
      </c>
      <c r="I396" t="str">
        <f t="shared" si="90"/>
        <v>Delhi</v>
      </c>
      <c r="J396" t="str">
        <f t="shared" si="91"/>
        <v>Delhi</v>
      </c>
      <c r="K396" t="str">
        <f t="shared" si="92"/>
        <v>Ather Grid</v>
      </c>
      <c r="L396" s="4" t="str">
        <f t="shared" si="93"/>
        <v>Ather Grid</v>
      </c>
      <c r="M396" s="4" t="str">
        <f t="shared" si="94"/>
        <v>Ccs2</v>
      </c>
      <c r="N396" s="4" t="str">
        <f t="shared" si="95"/>
        <v>Ccs2</v>
      </c>
      <c r="O396" s="4" t="str">
        <f t="shared" si="96"/>
        <v>Active</v>
      </c>
      <c r="P396" s="4" t="str">
        <f t="shared" si="97"/>
        <v>Active</v>
      </c>
      <c r="Q396" s="4" t="str">
        <f t="shared" si="98"/>
        <v>Delhi</v>
      </c>
      <c r="R396" s="4" t="b">
        <f t="shared" si="99"/>
        <v>1</v>
      </c>
      <c r="S396" s="5" t="str">
        <f t="shared" si="100"/>
        <v>45983</v>
      </c>
      <c r="T396" s="4" t="str">
        <f t="shared" si="101"/>
        <v>Private</v>
      </c>
      <c r="U396" s="4" t="str">
        <f t="shared" si="102"/>
        <v>Ultra Fast</v>
      </c>
      <c r="V396" s="4">
        <f t="shared" si="103"/>
        <v>2025</v>
      </c>
      <c r="W396" s="4" t="str">
        <f t="shared" si="104"/>
        <v>Europe</v>
      </c>
    </row>
    <row r="397" spans="1:23" x14ac:dyDescent="0.25">
      <c r="A397" t="s">
        <v>617</v>
      </c>
      <c r="B397" t="s">
        <v>23</v>
      </c>
      <c r="C397" t="s">
        <v>14</v>
      </c>
      <c r="D397" t="s">
        <v>56</v>
      </c>
      <c r="E397" t="s">
        <v>24</v>
      </c>
      <c r="F397" s="1">
        <v>45532</v>
      </c>
      <c r="G397">
        <v>1318.57</v>
      </c>
      <c r="H397">
        <v>13220.78</v>
      </c>
      <c r="I397" t="str">
        <f t="shared" si="90"/>
        <v>Ahemdabad</v>
      </c>
      <c r="J397" t="str">
        <f t="shared" si="91"/>
        <v>Ahemdabad</v>
      </c>
      <c r="K397" t="str">
        <f t="shared" si="92"/>
        <v>Charge Point</v>
      </c>
      <c r="L397" s="4" t="str">
        <f t="shared" si="93"/>
        <v>Charge Point</v>
      </c>
      <c r="M397" s="4" t="str">
        <f t="shared" si="94"/>
        <v>Ccs2</v>
      </c>
      <c r="N397" s="4" t="str">
        <f t="shared" si="95"/>
        <v>Ccs2</v>
      </c>
      <c r="O397" s="4" t="str">
        <f t="shared" si="96"/>
        <v>Active</v>
      </c>
      <c r="P397" s="4" t="str">
        <f t="shared" si="97"/>
        <v>Active</v>
      </c>
      <c r="Q397" s="4" t="str">
        <f t="shared" si="98"/>
        <v>Ahemdabad</v>
      </c>
      <c r="R397" s="4" t="b">
        <f t="shared" si="99"/>
        <v>1</v>
      </c>
      <c r="S397" s="5" t="str">
        <f t="shared" si="100"/>
        <v>45532</v>
      </c>
      <c r="T397" s="4" t="str">
        <f t="shared" si="101"/>
        <v>Private</v>
      </c>
      <c r="U397" s="4" t="str">
        <f t="shared" si="102"/>
        <v>Ultra Fast</v>
      </c>
      <c r="V397" s="4">
        <f t="shared" si="103"/>
        <v>2024</v>
      </c>
      <c r="W397" s="4" t="str">
        <f t="shared" si="104"/>
        <v>Europe</v>
      </c>
    </row>
    <row r="398" spans="1:23" x14ac:dyDescent="0.25">
      <c r="A398" t="s">
        <v>619</v>
      </c>
      <c r="B398" t="s">
        <v>46</v>
      </c>
      <c r="C398" t="s">
        <v>36</v>
      </c>
      <c r="D398" t="s">
        <v>17</v>
      </c>
      <c r="E398" t="s">
        <v>24</v>
      </c>
      <c r="F398" s="1">
        <v>45705</v>
      </c>
      <c r="G398">
        <v>3184.37</v>
      </c>
      <c r="H398">
        <v>34503.370000000003</v>
      </c>
      <c r="I398" t="str">
        <f t="shared" si="90"/>
        <v>Kolkata</v>
      </c>
      <c r="J398" t="str">
        <f t="shared" si="91"/>
        <v>Kolkata</v>
      </c>
      <c r="K398" t="str">
        <f t="shared" si="92"/>
        <v>Zeon Charging</v>
      </c>
      <c r="L398" s="4" t="str">
        <f t="shared" si="93"/>
        <v>Zeon Charging</v>
      </c>
      <c r="M398" s="4" t="str">
        <f t="shared" si="94"/>
        <v>Type2 Ac</v>
      </c>
      <c r="N398" s="4" t="str">
        <f t="shared" si="95"/>
        <v>Type2 Ac</v>
      </c>
      <c r="O398" s="4" t="str">
        <f t="shared" si="96"/>
        <v>Active</v>
      </c>
      <c r="P398" s="4" t="str">
        <f t="shared" si="97"/>
        <v>Active</v>
      </c>
      <c r="Q398" s="4" t="str">
        <f t="shared" si="98"/>
        <v>Kolkata</v>
      </c>
      <c r="R398" s="4" t="b">
        <f t="shared" si="99"/>
        <v>1</v>
      </c>
      <c r="S398" s="5" t="str">
        <f t="shared" si="100"/>
        <v>45705</v>
      </c>
      <c r="T398" s="4" t="str">
        <f t="shared" si="101"/>
        <v>Private</v>
      </c>
      <c r="U398" s="4" t="str">
        <f t="shared" si="102"/>
        <v>Slow</v>
      </c>
      <c r="V398" s="4">
        <f t="shared" si="103"/>
        <v>2025</v>
      </c>
      <c r="W398" s="4" t="str">
        <f t="shared" si="104"/>
        <v>Germany</v>
      </c>
    </row>
    <row r="399" spans="1:23" x14ac:dyDescent="0.25">
      <c r="A399" t="s">
        <v>621</v>
      </c>
      <c r="B399" t="s">
        <v>13</v>
      </c>
      <c r="C399" t="s">
        <v>63</v>
      </c>
      <c r="D399" t="s">
        <v>26</v>
      </c>
      <c r="E399" t="s">
        <v>54</v>
      </c>
      <c r="F399" s="1">
        <v>45414</v>
      </c>
      <c r="G399">
        <v>132.28</v>
      </c>
      <c r="H399">
        <v>1952.9</v>
      </c>
      <c r="I399" t="str">
        <f t="shared" si="90"/>
        <v>Bengaluru</v>
      </c>
      <c r="J399" t="str">
        <f t="shared" si="91"/>
        <v>Bengaluru</v>
      </c>
      <c r="K399" t="str">
        <f t="shared" si="92"/>
        <v>Tata Power</v>
      </c>
      <c r="L399" s="4" t="str">
        <f t="shared" si="93"/>
        <v>Tata Power</v>
      </c>
      <c r="M399" s="4" t="str">
        <f t="shared" si="94"/>
        <v>Chademo</v>
      </c>
      <c r="N399" s="4" t="str">
        <f t="shared" si="95"/>
        <v>Chademo</v>
      </c>
      <c r="O399" s="4" t="str">
        <f t="shared" si="96"/>
        <v>Inactive</v>
      </c>
      <c r="P399" s="4" t="str">
        <f t="shared" si="97"/>
        <v>Inactive</v>
      </c>
      <c r="Q399" s="4" t="str">
        <f t="shared" si="98"/>
        <v>Bengaluru</v>
      </c>
      <c r="R399" s="4" t="b">
        <f t="shared" si="99"/>
        <v>1</v>
      </c>
      <c r="S399" s="5" t="str">
        <f t="shared" si="100"/>
        <v>45414</v>
      </c>
      <c r="T399" s="4" t="str">
        <f t="shared" si="101"/>
        <v>Government</v>
      </c>
      <c r="U399" s="4" t="str">
        <f t="shared" si="102"/>
        <v>fast</v>
      </c>
      <c r="V399" s="4">
        <f t="shared" si="103"/>
        <v>2024</v>
      </c>
      <c r="W399" s="4" t="str">
        <f t="shared" si="104"/>
        <v>Japan</v>
      </c>
    </row>
    <row r="400" spans="1:23" x14ac:dyDescent="0.25">
      <c r="A400" t="s">
        <v>622</v>
      </c>
      <c r="C400" t="s">
        <v>14</v>
      </c>
      <c r="D400" t="s">
        <v>17</v>
      </c>
      <c r="E400" t="s">
        <v>24</v>
      </c>
      <c r="F400" s="1">
        <v>45875</v>
      </c>
      <c r="I400" t="str">
        <f t="shared" si="90"/>
        <v/>
      </c>
      <c r="J400" t="str">
        <f t="shared" si="91"/>
        <v/>
      </c>
      <c r="K400" t="str">
        <f t="shared" si="92"/>
        <v>Charge Point</v>
      </c>
      <c r="L400" s="4" t="str">
        <f t="shared" si="93"/>
        <v>Charge Point</v>
      </c>
      <c r="M400" s="4" t="str">
        <f t="shared" si="94"/>
        <v>Type2 Ac</v>
      </c>
      <c r="N400" s="4" t="str">
        <f t="shared" si="95"/>
        <v>Type2 Ac</v>
      </c>
      <c r="O400" s="4" t="str">
        <f t="shared" si="96"/>
        <v>Active</v>
      </c>
      <c r="P400" s="4" t="str">
        <f t="shared" si="97"/>
        <v>Active</v>
      </c>
      <c r="Q400" s="4" t="str">
        <f t="shared" si="98"/>
        <v/>
      </c>
      <c r="R400" s="4" t="b">
        <f t="shared" si="99"/>
        <v>1</v>
      </c>
      <c r="S400" s="5" t="str">
        <f t="shared" si="100"/>
        <v>45875</v>
      </c>
      <c r="T400" s="4" t="str">
        <f t="shared" si="101"/>
        <v>Private</v>
      </c>
      <c r="U400" s="4" t="str">
        <f t="shared" si="102"/>
        <v>Slow</v>
      </c>
      <c r="V400" s="4">
        <f t="shared" si="103"/>
        <v>2025</v>
      </c>
      <c r="W400" s="4" t="str">
        <f t="shared" si="104"/>
        <v>Germany</v>
      </c>
    </row>
    <row r="401" spans="1:23" x14ac:dyDescent="0.25">
      <c r="A401" t="s">
        <v>623</v>
      </c>
      <c r="B401" t="s">
        <v>66</v>
      </c>
      <c r="C401" t="s">
        <v>764</v>
      </c>
      <c r="D401" t="s">
        <v>26</v>
      </c>
      <c r="E401" t="s">
        <v>24</v>
      </c>
      <c r="F401" s="1">
        <v>45544</v>
      </c>
      <c r="G401">
        <v>7282.58</v>
      </c>
      <c r="H401">
        <v>106568.18</v>
      </c>
      <c r="I401" t="str">
        <f t="shared" si="90"/>
        <v>Pune</v>
      </c>
      <c r="J401" t="str">
        <f t="shared" si="91"/>
        <v>Pune</v>
      </c>
      <c r="K401" t="str">
        <f t="shared" si="92"/>
        <v>Bpcl</v>
      </c>
      <c r="L401" s="4" t="str">
        <f t="shared" si="93"/>
        <v>Bpcl</v>
      </c>
      <c r="M401" s="4" t="str">
        <f t="shared" si="94"/>
        <v>Chademo</v>
      </c>
      <c r="N401" s="4" t="str">
        <f t="shared" si="95"/>
        <v>Chademo</v>
      </c>
      <c r="O401" s="4" t="str">
        <f t="shared" si="96"/>
        <v>Active</v>
      </c>
      <c r="P401" s="4" t="str">
        <f t="shared" si="97"/>
        <v>Active</v>
      </c>
      <c r="Q401" s="4" t="str">
        <f t="shared" si="98"/>
        <v>Pune</v>
      </c>
      <c r="R401" s="4" t="b">
        <f t="shared" si="99"/>
        <v>1</v>
      </c>
      <c r="S401" s="5" t="str">
        <f t="shared" si="100"/>
        <v>45544</v>
      </c>
      <c r="T401" s="4" t="str">
        <f t="shared" si="101"/>
        <v>Government</v>
      </c>
      <c r="U401" s="4" t="str">
        <f t="shared" si="102"/>
        <v>fast</v>
      </c>
      <c r="V401" s="4">
        <f t="shared" si="103"/>
        <v>2024</v>
      </c>
      <c r="W401" s="4" t="str">
        <f t="shared" si="104"/>
        <v>Japan</v>
      </c>
    </row>
    <row r="402" spans="1:23" x14ac:dyDescent="0.25">
      <c r="A402" t="s">
        <v>624</v>
      </c>
      <c r="B402" t="s">
        <v>40</v>
      </c>
      <c r="C402" t="s">
        <v>773</v>
      </c>
      <c r="D402" t="s">
        <v>26</v>
      </c>
      <c r="F402" s="1">
        <v>45884</v>
      </c>
      <c r="G402">
        <v>9744.92</v>
      </c>
      <c r="H402">
        <v>109344.61</v>
      </c>
      <c r="I402" t="str">
        <f t="shared" si="90"/>
        <v>Mumbai</v>
      </c>
      <c r="J402" t="str">
        <f t="shared" si="91"/>
        <v>Mumbai</v>
      </c>
      <c r="K402" t="str">
        <f t="shared" si="92"/>
        <v>Ather Grid</v>
      </c>
      <c r="L402" s="4" t="str">
        <f t="shared" si="93"/>
        <v>Ather Grid</v>
      </c>
      <c r="M402" s="4" t="str">
        <f t="shared" si="94"/>
        <v>Chademo</v>
      </c>
      <c r="N402" s="4" t="str">
        <f t="shared" si="95"/>
        <v>Chademo</v>
      </c>
      <c r="O402" s="4" t="str">
        <f t="shared" si="96"/>
        <v/>
      </c>
      <c r="P402" s="4" t="str">
        <f t="shared" si="97"/>
        <v/>
      </c>
      <c r="Q402" s="4" t="str">
        <f t="shared" si="98"/>
        <v>Mumbai</v>
      </c>
      <c r="R402" s="4" t="b">
        <f t="shared" si="99"/>
        <v>1</v>
      </c>
      <c r="S402" s="5" t="str">
        <f t="shared" si="100"/>
        <v>45884</v>
      </c>
      <c r="T402" s="4" t="str">
        <f t="shared" si="101"/>
        <v>Private</v>
      </c>
      <c r="U402" s="4" t="str">
        <f t="shared" si="102"/>
        <v>fast</v>
      </c>
      <c r="V402" s="4">
        <f t="shared" si="103"/>
        <v>2025</v>
      </c>
      <c r="W402" s="4" t="str">
        <f t="shared" si="104"/>
        <v>Japan</v>
      </c>
    </row>
    <row r="403" spans="1:23" x14ac:dyDescent="0.25">
      <c r="A403" t="s">
        <v>626</v>
      </c>
      <c r="B403" t="s">
        <v>46</v>
      </c>
      <c r="C403" t="s">
        <v>14</v>
      </c>
      <c r="D403" t="s">
        <v>26</v>
      </c>
      <c r="E403" t="s">
        <v>31</v>
      </c>
      <c r="F403" s="1">
        <v>45900</v>
      </c>
      <c r="G403">
        <v>673.68</v>
      </c>
      <c r="H403">
        <v>8641.48</v>
      </c>
      <c r="I403" t="str">
        <f t="shared" si="90"/>
        <v>Kolkata</v>
      </c>
      <c r="J403" t="str">
        <f t="shared" si="91"/>
        <v>Kolkata</v>
      </c>
      <c r="K403" t="str">
        <f t="shared" si="92"/>
        <v>Charge Point</v>
      </c>
      <c r="L403" s="4" t="str">
        <f t="shared" si="93"/>
        <v>Charge Point</v>
      </c>
      <c r="M403" s="4" t="str">
        <f t="shared" si="94"/>
        <v>Chademo</v>
      </c>
      <c r="N403" s="4" t="str">
        <f t="shared" si="95"/>
        <v>Chademo</v>
      </c>
      <c r="O403" s="4" t="str">
        <f t="shared" si="96"/>
        <v>Maintenance</v>
      </c>
      <c r="P403" s="4" t="str">
        <f t="shared" si="97"/>
        <v>Maintenance</v>
      </c>
      <c r="Q403" s="4" t="str">
        <f t="shared" si="98"/>
        <v>Kolkata</v>
      </c>
      <c r="R403" s="4" t="b">
        <f t="shared" si="99"/>
        <v>1</v>
      </c>
      <c r="S403" s="5" t="str">
        <f t="shared" si="100"/>
        <v>45900</v>
      </c>
      <c r="T403" s="4" t="str">
        <f t="shared" si="101"/>
        <v>Private</v>
      </c>
      <c r="U403" s="4" t="str">
        <f t="shared" si="102"/>
        <v>fast</v>
      </c>
      <c r="V403" s="4">
        <f t="shared" si="103"/>
        <v>2025</v>
      </c>
      <c r="W403" s="4" t="str">
        <f t="shared" si="104"/>
        <v>Japan</v>
      </c>
    </row>
    <row r="404" spans="1:23" x14ac:dyDescent="0.25">
      <c r="A404" t="s">
        <v>628</v>
      </c>
      <c r="B404" t="s">
        <v>13</v>
      </c>
      <c r="C404" t="s">
        <v>63</v>
      </c>
      <c r="D404" t="s">
        <v>56</v>
      </c>
      <c r="E404" t="s">
        <v>855</v>
      </c>
      <c r="F404" s="1">
        <v>45332</v>
      </c>
      <c r="G404">
        <v>57.39</v>
      </c>
      <c r="H404">
        <v>604.49</v>
      </c>
      <c r="I404" t="str">
        <f t="shared" si="90"/>
        <v>Bengaluru</v>
      </c>
      <c r="J404" t="str">
        <f t="shared" si="91"/>
        <v>Bengaluru</v>
      </c>
      <c r="K404" t="str">
        <f t="shared" si="92"/>
        <v>Tata Power</v>
      </c>
      <c r="L404" s="4" t="str">
        <f t="shared" si="93"/>
        <v>Tata Power</v>
      </c>
      <c r="M404" s="4" t="str">
        <f t="shared" si="94"/>
        <v>Ccs2</v>
      </c>
      <c r="N404" s="4" t="str">
        <f t="shared" si="95"/>
        <v>Ccs2</v>
      </c>
      <c r="O404" s="4" t="str">
        <f t="shared" si="96"/>
        <v>Inactive</v>
      </c>
      <c r="P404" s="4" t="str">
        <f t="shared" si="97"/>
        <v>Inactive</v>
      </c>
      <c r="Q404" s="4" t="str">
        <f t="shared" si="98"/>
        <v>Bengaluru</v>
      </c>
      <c r="R404" s="4" t="b">
        <f t="shared" si="99"/>
        <v>1</v>
      </c>
      <c r="S404" s="5" t="str">
        <f t="shared" si="100"/>
        <v>45332</v>
      </c>
      <c r="T404" s="4" t="str">
        <f t="shared" si="101"/>
        <v>Government</v>
      </c>
      <c r="U404" s="4" t="str">
        <f t="shared" si="102"/>
        <v>Ultra Fast</v>
      </c>
      <c r="V404" s="4">
        <f t="shared" si="103"/>
        <v>2024</v>
      </c>
      <c r="W404" s="4" t="str">
        <f t="shared" si="104"/>
        <v>Europe</v>
      </c>
    </row>
    <row r="405" spans="1:23" x14ac:dyDescent="0.25">
      <c r="A405" t="s">
        <v>629</v>
      </c>
      <c r="B405" t="s">
        <v>66</v>
      </c>
      <c r="C405" t="s">
        <v>764</v>
      </c>
      <c r="D405" t="s">
        <v>48</v>
      </c>
      <c r="E405" t="s">
        <v>24</v>
      </c>
      <c r="F405" s="1">
        <v>45926</v>
      </c>
      <c r="G405">
        <v>3085.31</v>
      </c>
      <c r="H405">
        <v>34114.22</v>
      </c>
      <c r="I405" t="str">
        <f t="shared" si="90"/>
        <v>Pune</v>
      </c>
      <c r="J405" t="str">
        <f t="shared" si="91"/>
        <v>Pune</v>
      </c>
      <c r="K405" t="str">
        <f t="shared" si="92"/>
        <v>Bpcl</v>
      </c>
      <c r="L405" s="4" t="str">
        <f t="shared" si="93"/>
        <v>Bpcl</v>
      </c>
      <c r="M405" s="4" t="str">
        <f t="shared" si="94"/>
        <v>Bharat Dc-001</v>
      </c>
      <c r="N405" s="4" t="str">
        <f t="shared" si="95"/>
        <v>Bharat Dc-001</v>
      </c>
      <c r="O405" s="4" t="str">
        <f t="shared" si="96"/>
        <v>Active</v>
      </c>
      <c r="P405" s="4" t="str">
        <f t="shared" si="97"/>
        <v>Active</v>
      </c>
      <c r="Q405" s="4" t="str">
        <f t="shared" si="98"/>
        <v>Pune</v>
      </c>
      <c r="R405" s="4" t="b">
        <f t="shared" si="99"/>
        <v>1</v>
      </c>
      <c r="S405" s="5" t="str">
        <f t="shared" si="100"/>
        <v>45926</v>
      </c>
      <c r="T405" s="4" t="str">
        <f t="shared" si="101"/>
        <v>Government</v>
      </c>
      <c r="U405" s="4" t="str">
        <f t="shared" si="102"/>
        <v>fast</v>
      </c>
      <c r="V405" s="4">
        <f t="shared" si="103"/>
        <v>2025</v>
      </c>
      <c r="W405" s="4" t="str">
        <f t="shared" si="104"/>
        <v>India</v>
      </c>
    </row>
    <row r="406" spans="1:23" x14ac:dyDescent="0.25">
      <c r="A406" t="s">
        <v>631</v>
      </c>
      <c r="B406" t="s">
        <v>70</v>
      </c>
      <c r="C406" t="s">
        <v>63</v>
      </c>
      <c r="D406" t="s">
        <v>17</v>
      </c>
      <c r="E406" t="s">
        <v>24</v>
      </c>
      <c r="F406" s="1">
        <v>45375</v>
      </c>
      <c r="G406">
        <v>2213.38</v>
      </c>
      <c r="H406">
        <v>19347.25</v>
      </c>
      <c r="I406" t="str">
        <f t="shared" si="90"/>
        <v>Delhi</v>
      </c>
      <c r="J406" t="str">
        <f t="shared" si="91"/>
        <v>Delhi</v>
      </c>
      <c r="K406" t="str">
        <f t="shared" si="92"/>
        <v>Tata Power</v>
      </c>
      <c r="L406" s="4" t="str">
        <f t="shared" si="93"/>
        <v>Tata Power</v>
      </c>
      <c r="M406" s="4" t="str">
        <f t="shared" si="94"/>
        <v>Type2 Ac</v>
      </c>
      <c r="N406" s="4" t="str">
        <f t="shared" si="95"/>
        <v>Type2 Ac</v>
      </c>
      <c r="O406" s="4" t="str">
        <f t="shared" si="96"/>
        <v>Active</v>
      </c>
      <c r="P406" s="4" t="str">
        <f t="shared" si="97"/>
        <v>Active</v>
      </c>
      <c r="Q406" s="4" t="str">
        <f t="shared" si="98"/>
        <v>Delhi</v>
      </c>
      <c r="R406" s="4" t="b">
        <f t="shared" si="99"/>
        <v>1</v>
      </c>
      <c r="S406" s="5" t="str">
        <f t="shared" si="100"/>
        <v>45375</v>
      </c>
      <c r="T406" s="4" t="str">
        <f t="shared" si="101"/>
        <v>Government</v>
      </c>
      <c r="U406" s="4" t="str">
        <f t="shared" si="102"/>
        <v>Slow</v>
      </c>
      <c r="V406" s="4">
        <f t="shared" si="103"/>
        <v>2024</v>
      </c>
      <c r="W406" s="4" t="str">
        <f t="shared" si="104"/>
        <v>Germany</v>
      </c>
    </row>
    <row r="407" spans="1:23" x14ac:dyDescent="0.25">
      <c r="A407" t="s">
        <v>633</v>
      </c>
      <c r="B407" t="s">
        <v>46</v>
      </c>
      <c r="C407" t="s">
        <v>63</v>
      </c>
      <c r="D407" t="s">
        <v>48</v>
      </c>
      <c r="E407" t="s">
        <v>24</v>
      </c>
      <c r="F407" s="1">
        <v>45721</v>
      </c>
      <c r="G407">
        <v>3554.77</v>
      </c>
      <c r="H407">
        <v>39279.269999999997</v>
      </c>
      <c r="I407" t="str">
        <f t="shared" si="90"/>
        <v>Kolkata</v>
      </c>
      <c r="J407" t="str">
        <f t="shared" si="91"/>
        <v>Kolkata</v>
      </c>
      <c r="K407" t="str">
        <f t="shared" si="92"/>
        <v>Tata Power</v>
      </c>
      <c r="L407" s="4" t="str">
        <f t="shared" si="93"/>
        <v>Tata Power</v>
      </c>
      <c r="M407" s="4" t="str">
        <f t="shared" si="94"/>
        <v>Bharat Dc-001</v>
      </c>
      <c r="N407" s="4" t="str">
        <f t="shared" si="95"/>
        <v>Bharat Dc-001</v>
      </c>
      <c r="O407" s="4" t="str">
        <f t="shared" si="96"/>
        <v>Active</v>
      </c>
      <c r="P407" s="4" t="str">
        <f t="shared" si="97"/>
        <v>Active</v>
      </c>
      <c r="Q407" s="4" t="str">
        <f t="shared" si="98"/>
        <v>Kolkata</v>
      </c>
      <c r="R407" s="4" t="b">
        <f t="shared" si="99"/>
        <v>1</v>
      </c>
      <c r="S407" s="5" t="str">
        <f t="shared" si="100"/>
        <v>45721</v>
      </c>
      <c r="T407" s="4" t="str">
        <f t="shared" si="101"/>
        <v>Government</v>
      </c>
      <c r="U407" s="4" t="str">
        <f t="shared" si="102"/>
        <v>fast</v>
      </c>
      <c r="V407" s="4">
        <f t="shared" si="103"/>
        <v>2025</v>
      </c>
      <c r="W407" s="4" t="str">
        <f t="shared" si="104"/>
        <v>India</v>
      </c>
    </row>
    <row r="408" spans="1:23" x14ac:dyDescent="0.25">
      <c r="A408" t="s">
        <v>634</v>
      </c>
      <c r="B408" t="s">
        <v>13</v>
      </c>
      <c r="C408" t="s">
        <v>865</v>
      </c>
      <c r="D408" t="s">
        <v>17</v>
      </c>
      <c r="E408" t="s">
        <v>54</v>
      </c>
      <c r="F408" s="1">
        <v>45965</v>
      </c>
      <c r="G408">
        <v>71.12</v>
      </c>
      <c r="H408">
        <v>768.32</v>
      </c>
      <c r="I408" t="str">
        <f t="shared" si="90"/>
        <v>Bengaluru</v>
      </c>
      <c r="J408" t="str">
        <f t="shared" si="91"/>
        <v>Bengaluru</v>
      </c>
      <c r="K408" t="str">
        <f t="shared" si="92"/>
        <v>Bpcl</v>
      </c>
      <c r="L408" s="4" t="str">
        <f t="shared" si="93"/>
        <v>Bpcl</v>
      </c>
      <c r="M408" s="4" t="str">
        <f t="shared" si="94"/>
        <v>Type2 Ac</v>
      </c>
      <c r="N408" s="4" t="str">
        <f t="shared" si="95"/>
        <v>Type2 Ac</v>
      </c>
      <c r="O408" s="4" t="str">
        <f t="shared" si="96"/>
        <v>Inactive</v>
      </c>
      <c r="P408" s="4" t="str">
        <f t="shared" si="97"/>
        <v>Inactive</v>
      </c>
      <c r="Q408" s="4" t="str">
        <f t="shared" si="98"/>
        <v>Bengaluru</v>
      </c>
      <c r="R408" s="4" t="b">
        <f t="shared" si="99"/>
        <v>1</v>
      </c>
      <c r="S408" s="5" t="str">
        <f t="shared" si="100"/>
        <v>45965</v>
      </c>
      <c r="T408" s="4" t="str">
        <f t="shared" si="101"/>
        <v>Government</v>
      </c>
      <c r="U408" s="4" t="str">
        <f t="shared" si="102"/>
        <v>Slow</v>
      </c>
      <c r="V408" s="4">
        <f t="shared" si="103"/>
        <v>2025</v>
      </c>
      <c r="W408" s="4" t="str">
        <f t="shared" si="104"/>
        <v>Germany</v>
      </c>
    </row>
    <row r="409" spans="1:23" x14ac:dyDescent="0.25">
      <c r="A409" t="s">
        <v>635</v>
      </c>
      <c r="B409" t="s">
        <v>40</v>
      </c>
      <c r="C409" t="s">
        <v>63</v>
      </c>
      <c r="D409" t="s">
        <v>26</v>
      </c>
      <c r="F409" s="1">
        <v>45889</v>
      </c>
      <c r="H409">
        <v>2333.87</v>
      </c>
      <c r="I409" t="str">
        <f t="shared" si="90"/>
        <v>Mumbai</v>
      </c>
      <c r="J409" t="str">
        <f t="shared" si="91"/>
        <v>Mumbai</v>
      </c>
      <c r="K409" t="str">
        <f t="shared" si="92"/>
        <v>Tata Power</v>
      </c>
      <c r="L409" s="4" t="str">
        <f t="shared" si="93"/>
        <v>Tata Power</v>
      </c>
      <c r="M409" s="4" t="str">
        <f t="shared" si="94"/>
        <v>Chademo</v>
      </c>
      <c r="N409" s="4" t="str">
        <f t="shared" si="95"/>
        <v>Chademo</v>
      </c>
      <c r="O409" s="4" t="str">
        <f t="shared" si="96"/>
        <v/>
      </c>
      <c r="P409" s="4" t="str">
        <f t="shared" si="97"/>
        <v/>
      </c>
      <c r="Q409" s="4" t="str">
        <f t="shared" si="98"/>
        <v>Mumbai</v>
      </c>
      <c r="R409" s="4" t="b">
        <f t="shared" si="99"/>
        <v>1</v>
      </c>
      <c r="S409" s="5" t="str">
        <f t="shared" si="100"/>
        <v>45889</v>
      </c>
      <c r="T409" s="4" t="str">
        <f t="shared" si="101"/>
        <v>Government</v>
      </c>
      <c r="U409" s="4" t="str">
        <f t="shared" si="102"/>
        <v>fast</v>
      </c>
      <c r="V409" s="4">
        <f t="shared" si="103"/>
        <v>2025</v>
      </c>
      <c r="W409" s="4" t="str">
        <f t="shared" si="104"/>
        <v>Japan</v>
      </c>
    </row>
    <row r="410" spans="1:23" x14ac:dyDescent="0.25">
      <c r="A410" t="s">
        <v>636</v>
      </c>
      <c r="B410" t="s">
        <v>46</v>
      </c>
      <c r="C410" t="s">
        <v>764</v>
      </c>
      <c r="D410" t="s">
        <v>56</v>
      </c>
      <c r="E410" t="s">
        <v>54</v>
      </c>
      <c r="F410" s="1">
        <v>45870</v>
      </c>
      <c r="G410">
        <v>396.31</v>
      </c>
      <c r="H410">
        <v>5585.46</v>
      </c>
      <c r="I410" t="str">
        <f t="shared" si="90"/>
        <v>Kolkata</v>
      </c>
      <c r="J410" t="str">
        <f t="shared" si="91"/>
        <v>Kolkata</v>
      </c>
      <c r="K410" t="str">
        <f t="shared" si="92"/>
        <v>Bpcl</v>
      </c>
      <c r="L410" s="4" t="str">
        <f t="shared" si="93"/>
        <v>Bpcl</v>
      </c>
      <c r="M410" s="4" t="str">
        <f t="shared" si="94"/>
        <v>Ccs2</v>
      </c>
      <c r="N410" s="4" t="str">
        <f t="shared" si="95"/>
        <v>Ccs2</v>
      </c>
      <c r="O410" s="4" t="str">
        <f t="shared" si="96"/>
        <v>Inactive</v>
      </c>
      <c r="P410" s="4" t="str">
        <f t="shared" si="97"/>
        <v>Inactive</v>
      </c>
      <c r="Q410" s="4" t="str">
        <f t="shared" si="98"/>
        <v>Kolkata</v>
      </c>
      <c r="R410" s="4" t="b">
        <f t="shared" si="99"/>
        <v>1</v>
      </c>
      <c r="S410" s="5" t="str">
        <f t="shared" si="100"/>
        <v>45870</v>
      </c>
      <c r="T410" s="4" t="str">
        <f t="shared" si="101"/>
        <v>Government</v>
      </c>
      <c r="U410" s="4" t="str">
        <f t="shared" si="102"/>
        <v>Ultra Fast</v>
      </c>
      <c r="V410" s="4">
        <f t="shared" si="103"/>
        <v>2025</v>
      </c>
      <c r="W410" s="4" t="str">
        <f t="shared" si="104"/>
        <v>Europe</v>
      </c>
    </row>
    <row r="411" spans="1:23" x14ac:dyDescent="0.25">
      <c r="A411" t="s">
        <v>637</v>
      </c>
      <c r="B411" t="s">
        <v>40</v>
      </c>
      <c r="C411" t="s">
        <v>14</v>
      </c>
      <c r="D411" t="s">
        <v>48</v>
      </c>
      <c r="E411" t="s">
        <v>31</v>
      </c>
      <c r="F411" s="1">
        <v>45827</v>
      </c>
      <c r="G411">
        <v>1825.63</v>
      </c>
      <c r="H411">
        <v>24135.99</v>
      </c>
      <c r="I411" t="str">
        <f t="shared" si="90"/>
        <v>Mumbai</v>
      </c>
      <c r="J411" t="str">
        <f t="shared" si="91"/>
        <v>Mumbai</v>
      </c>
      <c r="K411" t="str">
        <f t="shared" si="92"/>
        <v>Charge Point</v>
      </c>
      <c r="L411" s="4" t="str">
        <f t="shared" si="93"/>
        <v>Charge Point</v>
      </c>
      <c r="M411" s="4" t="str">
        <f t="shared" si="94"/>
        <v>Bharat Dc-001</v>
      </c>
      <c r="N411" s="4" t="str">
        <f t="shared" si="95"/>
        <v>Bharat Dc-001</v>
      </c>
      <c r="O411" s="4" t="str">
        <f t="shared" si="96"/>
        <v>Maintenance</v>
      </c>
      <c r="P411" s="4" t="str">
        <f t="shared" si="97"/>
        <v>Maintenance</v>
      </c>
      <c r="Q411" s="4" t="str">
        <f t="shared" si="98"/>
        <v>Mumbai</v>
      </c>
      <c r="R411" s="4" t="b">
        <f t="shared" si="99"/>
        <v>1</v>
      </c>
      <c r="S411" s="5" t="str">
        <f t="shared" si="100"/>
        <v>45827</v>
      </c>
      <c r="T411" s="4" t="str">
        <f t="shared" si="101"/>
        <v>Private</v>
      </c>
      <c r="U411" s="4" t="str">
        <f t="shared" si="102"/>
        <v>fast</v>
      </c>
      <c r="V411" s="4">
        <f t="shared" si="103"/>
        <v>2025</v>
      </c>
      <c r="W411" s="4" t="str">
        <f t="shared" si="104"/>
        <v>India</v>
      </c>
    </row>
    <row r="412" spans="1:23" x14ac:dyDescent="0.25">
      <c r="A412" t="s">
        <v>639</v>
      </c>
      <c r="B412" t="s">
        <v>70</v>
      </c>
      <c r="C412" t="s">
        <v>764</v>
      </c>
      <c r="D412" t="s">
        <v>56</v>
      </c>
      <c r="E412" t="s">
        <v>54</v>
      </c>
      <c r="F412" s="1">
        <v>45615</v>
      </c>
      <c r="G412">
        <v>412.12</v>
      </c>
      <c r="H412">
        <v>3936.16</v>
      </c>
      <c r="I412" t="str">
        <f t="shared" si="90"/>
        <v>Delhi</v>
      </c>
      <c r="J412" t="str">
        <f t="shared" si="91"/>
        <v>Delhi</v>
      </c>
      <c r="K412" t="str">
        <f t="shared" si="92"/>
        <v>Bpcl</v>
      </c>
      <c r="L412" s="4" t="str">
        <f t="shared" si="93"/>
        <v>Bpcl</v>
      </c>
      <c r="M412" s="4" t="str">
        <f t="shared" si="94"/>
        <v>Ccs2</v>
      </c>
      <c r="N412" s="4" t="str">
        <f t="shared" si="95"/>
        <v>Ccs2</v>
      </c>
      <c r="O412" s="4" t="str">
        <f t="shared" si="96"/>
        <v>Inactive</v>
      </c>
      <c r="P412" s="4" t="str">
        <f t="shared" si="97"/>
        <v>Inactive</v>
      </c>
      <c r="Q412" s="4" t="str">
        <f t="shared" si="98"/>
        <v>Delhi</v>
      </c>
      <c r="R412" s="4" t="b">
        <f t="shared" si="99"/>
        <v>1</v>
      </c>
      <c r="S412" s="5" t="str">
        <f t="shared" si="100"/>
        <v>45615</v>
      </c>
      <c r="T412" s="4" t="str">
        <f t="shared" si="101"/>
        <v>Government</v>
      </c>
      <c r="U412" s="4" t="str">
        <f t="shared" si="102"/>
        <v>Ultra Fast</v>
      </c>
      <c r="V412" s="4">
        <f t="shared" si="103"/>
        <v>2024</v>
      </c>
      <c r="W412" s="4" t="str">
        <f t="shared" si="104"/>
        <v>Europe</v>
      </c>
    </row>
    <row r="413" spans="1:23" x14ac:dyDescent="0.25">
      <c r="A413" t="s">
        <v>640</v>
      </c>
      <c r="B413" t="s">
        <v>23</v>
      </c>
      <c r="C413" t="s">
        <v>764</v>
      </c>
      <c r="D413" t="s">
        <v>17</v>
      </c>
      <c r="E413" t="s">
        <v>24</v>
      </c>
      <c r="F413" s="1">
        <v>45559</v>
      </c>
      <c r="G413">
        <v>11093.71</v>
      </c>
      <c r="H413">
        <v>149252.82999999999</v>
      </c>
      <c r="I413" t="str">
        <f t="shared" si="90"/>
        <v>Ahemdabad</v>
      </c>
      <c r="J413" t="str">
        <f t="shared" si="91"/>
        <v>Ahemdabad</v>
      </c>
      <c r="K413" t="str">
        <f t="shared" si="92"/>
        <v>Bpcl</v>
      </c>
      <c r="L413" s="4" t="str">
        <f t="shared" si="93"/>
        <v>Bpcl</v>
      </c>
      <c r="M413" s="4" t="str">
        <f t="shared" si="94"/>
        <v>Type2 Ac</v>
      </c>
      <c r="N413" s="4" t="str">
        <f t="shared" si="95"/>
        <v>Type2 Ac</v>
      </c>
      <c r="O413" s="4" t="str">
        <f t="shared" si="96"/>
        <v>Active</v>
      </c>
      <c r="P413" s="4" t="str">
        <f t="shared" si="97"/>
        <v>Active</v>
      </c>
      <c r="Q413" s="4" t="str">
        <f t="shared" si="98"/>
        <v>Ahemdabad</v>
      </c>
      <c r="R413" s="4" t="b">
        <f t="shared" si="99"/>
        <v>1</v>
      </c>
      <c r="S413" s="5" t="str">
        <f t="shared" si="100"/>
        <v>45559</v>
      </c>
      <c r="T413" s="4" t="str">
        <f t="shared" si="101"/>
        <v>Government</v>
      </c>
      <c r="U413" s="4" t="str">
        <f t="shared" si="102"/>
        <v>Slow</v>
      </c>
      <c r="V413" s="4">
        <f t="shared" si="103"/>
        <v>2024</v>
      </c>
      <c r="W413" s="4" t="str">
        <f t="shared" si="104"/>
        <v>Germany</v>
      </c>
    </row>
    <row r="414" spans="1:23" x14ac:dyDescent="0.25">
      <c r="A414" t="s">
        <v>642</v>
      </c>
      <c r="B414" t="s">
        <v>23</v>
      </c>
      <c r="C414" t="s">
        <v>41</v>
      </c>
      <c r="D414" t="s">
        <v>56</v>
      </c>
      <c r="E414" t="s">
        <v>24</v>
      </c>
      <c r="F414" s="1">
        <v>45501</v>
      </c>
      <c r="G414">
        <v>5550.26</v>
      </c>
      <c r="H414">
        <v>47369.56</v>
      </c>
      <c r="I414" t="str">
        <f t="shared" si="90"/>
        <v>Ahemdabad</v>
      </c>
      <c r="J414" t="str">
        <f t="shared" si="91"/>
        <v>Ahemdabad</v>
      </c>
      <c r="K414" t="str">
        <f t="shared" si="92"/>
        <v>Ather Grid</v>
      </c>
      <c r="L414" s="4" t="str">
        <f t="shared" si="93"/>
        <v>Ather Grid</v>
      </c>
      <c r="M414" s="4" t="str">
        <f t="shared" si="94"/>
        <v>Ccs2</v>
      </c>
      <c r="N414" s="4" t="str">
        <f t="shared" si="95"/>
        <v>Ccs2</v>
      </c>
      <c r="O414" s="4" t="str">
        <f t="shared" si="96"/>
        <v>Active</v>
      </c>
      <c r="P414" s="4" t="str">
        <f t="shared" si="97"/>
        <v>Active</v>
      </c>
      <c r="Q414" s="4" t="str">
        <f t="shared" si="98"/>
        <v>Ahemdabad</v>
      </c>
      <c r="R414" s="4" t="b">
        <f t="shared" si="99"/>
        <v>1</v>
      </c>
      <c r="S414" s="5" t="str">
        <f t="shared" si="100"/>
        <v>45501</v>
      </c>
      <c r="T414" s="4" t="str">
        <f t="shared" si="101"/>
        <v>Private</v>
      </c>
      <c r="U414" s="4" t="str">
        <f t="shared" si="102"/>
        <v>Ultra Fast</v>
      </c>
      <c r="V414" s="4">
        <f t="shared" si="103"/>
        <v>2024</v>
      </c>
      <c r="W414" s="4" t="str">
        <f t="shared" si="104"/>
        <v>Europe</v>
      </c>
    </row>
    <row r="415" spans="1:23" x14ac:dyDescent="0.25">
      <c r="A415" t="s">
        <v>644</v>
      </c>
      <c r="B415" t="s">
        <v>35</v>
      </c>
      <c r="C415" t="s">
        <v>764</v>
      </c>
      <c r="D415" t="s">
        <v>56</v>
      </c>
      <c r="E415" t="s">
        <v>24</v>
      </c>
      <c r="F415" s="1">
        <v>45977</v>
      </c>
      <c r="G415">
        <v>5890.03</v>
      </c>
      <c r="H415">
        <v>73228.23</v>
      </c>
      <c r="I415" t="str">
        <f t="shared" si="90"/>
        <v>Chennai</v>
      </c>
      <c r="J415" t="str">
        <f t="shared" si="91"/>
        <v>Chennai</v>
      </c>
      <c r="K415" t="str">
        <f t="shared" si="92"/>
        <v>Bpcl</v>
      </c>
      <c r="L415" s="4" t="str">
        <f t="shared" si="93"/>
        <v>Bpcl</v>
      </c>
      <c r="M415" s="4" t="str">
        <f t="shared" si="94"/>
        <v>Ccs2</v>
      </c>
      <c r="N415" s="4" t="str">
        <f t="shared" si="95"/>
        <v>Ccs2</v>
      </c>
      <c r="O415" s="4" t="str">
        <f t="shared" si="96"/>
        <v>Active</v>
      </c>
      <c r="P415" s="4" t="str">
        <f t="shared" si="97"/>
        <v>Active</v>
      </c>
      <c r="Q415" s="4" t="str">
        <f t="shared" si="98"/>
        <v>Chennai</v>
      </c>
      <c r="R415" s="4" t="b">
        <f t="shared" si="99"/>
        <v>1</v>
      </c>
      <c r="S415" s="5" t="str">
        <f t="shared" si="100"/>
        <v>45977</v>
      </c>
      <c r="T415" s="4" t="str">
        <f t="shared" si="101"/>
        <v>Government</v>
      </c>
      <c r="U415" s="4" t="str">
        <f t="shared" si="102"/>
        <v>Ultra Fast</v>
      </c>
      <c r="V415" s="4">
        <f t="shared" si="103"/>
        <v>2025</v>
      </c>
      <c r="W415" s="4" t="str">
        <f t="shared" si="104"/>
        <v>Europe</v>
      </c>
    </row>
    <row r="416" spans="1:23" x14ac:dyDescent="0.25">
      <c r="A416" t="s">
        <v>645</v>
      </c>
      <c r="B416" t="s">
        <v>30</v>
      </c>
      <c r="C416" t="s">
        <v>764</v>
      </c>
      <c r="D416" t="s">
        <v>48</v>
      </c>
      <c r="E416" t="s">
        <v>24</v>
      </c>
      <c r="F416" s="1">
        <v>46025</v>
      </c>
      <c r="G416">
        <v>3997.05</v>
      </c>
      <c r="H416">
        <v>46822.38</v>
      </c>
      <c r="I416" t="str">
        <f t="shared" si="90"/>
        <v>Hyderabad</v>
      </c>
      <c r="J416" t="str">
        <f t="shared" si="91"/>
        <v>Hyderabad</v>
      </c>
      <c r="K416" t="str">
        <f t="shared" si="92"/>
        <v>Bpcl</v>
      </c>
      <c r="L416" s="4" t="str">
        <f t="shared" si="93"/>
        <v>Bpcl</v>
      </c>
      <c r="M416" s="4" t="str">
        <f t="shared" si="94"/>
        <v>Bharat Dc-001</v>
      </c>
      <c r="N416" s="4" t="str">
        <f t="shared" si="95"/>
        <v>Bharat Dc-001</v>
      </c>
      <c r="O416" s="4" t="str">
        <f t="shared" si="96"/>
        <v>Active</v>
      </c>
      <c r="P416" s="4" t="str">
        <f t="shared" si="97"/>
        <v>Active</v>
      </c>
      <c r="Q416" s="4" t="str">
        <f t="shared" si="98"/>
        <v>Hyderabad</v>
      </c>
      <c r="R416" s="4" t="b">
        <f t="shared" si="99"/>
        <v>1</v>
      </c>
      <c r="S416" s="5" t="str">
        <f t="shared" si="100"/>
        <v>46025</v>
      </c>
      <c r="T416" s="4" t="str">
        <f t="shared" si="101"/>
        <v>Government</v>
      </c>
      <c r="U416" s="4" t="str">
        <f t="shared" si="102"/>
        <v>fast</v>
      </c>
      <c r="V416" s="4">
        <f t="shared" si="103"/>
        <v>2026</v>
      </c>
      <c r="W416" s="4" t="str">
        <f t="shared" si="104"/>
        <v>India</v>
      </c>
    </row>
    <row r="417" spans="1:23" x14ac:dyDescent="0.25">
      <c r="A417" t="s">
        <v>646</v>
      </c>
      <c r="B417" t="s">
        <v>13</v>
      </c>
      <c r="C417" t="s">
        <v>14</v>
      </c>
      <c r="D417" t="s">
        <v>26</v>
      </c>
      <c r="E417" t="s">
        <v>31</v>
      </c>
      <c r="F417" s="1">
        <v>45613</v>
      </c>
      <c r="G417">
        <v>1267.27</v>
      </c>
      <c r="H417">
        <v>11858.26</v>
      </c>
      <c r="I417" t="str">
        <f t="shared" si="90"/>
        <v>Bengaluru</v>
      </c>
      <c r="J417" t="str">
        <f t="shared" si="91"/>
        <v>Bengaluru</v>
      </c>
      <c r="K417" t="str">
        <f t="shared" si="92"/>
        <v>Charge Point</v>
      </c>
      <c r="L417" s="4" t="str">
        <f t="shared" si="93"/>
        <v>Charge Point</v>
      </c>
      <c r="M417" s="4" t="str">
        <f t="shared" si="94"/>
        <v>Chademo</v>
      </c>
      <c r="N417" s="4" t="str">
        <f t="shared" si="95"/>
        <v>Chademo</v>
      </c>
      <c r="O417" s="4" t="str">
        <f t="shared" si="96"/>
        <v>Maintenance</v>
      </c>
      <c r="P417" s="4" t="str">
        <f t="shared" si="97"/>
        <v>Maintenance</v>
      </c>
      <c r="Q417" s="4" t="str">
        <f t="shared" si="98"/>
        <v>Bengaluru</v>
      </c>
      <c r="R417" s="4" t="b">
        <f t="shared" si="99"/>
        <v>1</v>
      </c>
      <c r="S417" s="5" t="str">
        <f t="shared" si="100"/>
        <v>45613</v>
      </c>
      <c r="T417" s="4" t="str">
        <f t="shared" si="101"/>
        <v>Private</v>
      </c>
      <c r="U417" s="4" t="str">
        <f t="shared" si="102"/>
        <v>fast</v>
      </c>
      <c r="V417" s="4">
        <f t="shared" si="103"/>
        <v>2024</v>
      </c>
      <c r="W417" s="4" t="str">
        <f t="shared" si="104"/>
        <v>Japan</v>
      </c>
    </row>
    <row r="418" spans="1:23" x14ac:dyDescent="0.25">
      <c r="A418" t="s">
        <v>647</v>
      </c>
      <c r="B418" t="s">
        <v>70</v>
      </c>
      <c r="C418" t="s">
        <v>41</v>
      </c>
      <c r="D418" t="s">
        <v>56</v>
      </c>
      <c r="E418" t="s">
        <v>24</v>
      </c>
      <c r="F418" s="1">
        <v>45536</v>
      </c>
      <c r="G418">
        <v>3630.83</v>
      </c>
      <c r="H418">
        <v>48775.11</v>
      </c>
      <c r="I418" t="str">
        <f t="shared" si="90"/>
        <v>Delhi</v>
      </c>
      <c r="J418" t="str">
        <f t="shared" si="91"/>
        <v>Delhi</v>
      </c>
      <c r="K418" t="str">
        <f t="shared" si="92"/>
        <v>Ather Grid</v>
      </c>
      <c r="L418" s="4" t="str">
        <f t="shared" si="93"/>
        <v>Ather Grid</v>
      </c>
      <c r="M418" s="4" t="str">
        <f t="shared" si="94"/>
        <v>Ccs2</v>
      </c>
      <c r="N418" s="4" t="str">
        <f t="shared" si="95"/>
        <v>Ccs2</v>
      </c>
      <c r="O418" s="4" t="str">
        <f t="shared" si="96"/>
        <v>Active</v>
      </c>
      <c r="P418" s="4" t="str">
        <f t="shared" si="97"/>
        <v>Active</v>
      </c>
      <c r="Q418" s="4" t="str">
        <f t="shared" si="98"/>
        <v>Delhi</v>
      </c>
      <c r="R418" s="4" t="b">
        <f t="shared" si="99"/>
        <v>1</v>
      </c>
      <c r="S418" s="5" t="str">
        <f t="shared" si="100"/>
        <v>45536</v>
      </c>
      <c r="T418" s="4" t="str">
        <f t="shared" si="101"/>
        <v>Private</v>
      </c>
      <c r="U418" s="4" t="str">
        <f t="shared" si="102"/>
        <v>Ultra Fast</v>
      </c>
      <c r="V418" s="4">
        <f t="shared" si="103"/>
        <v>2024</v>
      </c>
      <c r="W418" s="4" t="str">
        <f t="shared" si="104"/>
        <v>Europe</v>
      </c>
    </row>
    <row r="419" spans="1:23" x14ac:dyDescent="0.25">
      <c r="A419" t="s">
        <v>648</v>
      </c>
      <c r="B419" t="s">
        <v>70</v>
      </c>
      <c r="C419" t="s">
        <v>36</v>
      </c>
      <c r="D419" t="s">
        <v>26</v>
      </c>
      <c r="E419" t="s">
        <v>24</v>
      </c>
      <c r="F419" s="1">
        <v>45563</v>
      </c>
      <c r="G419">
        <v>6709.79</v>
      </c>
      <c r="H419">
        <v>70168.960000000006</v>
      </c>
      <c r="I419" t="str">
        <f t="shared" si="90"/>
        <v>Delhi</v>
      </c>
      <c r="J419" t="str">
        <f t="shared" si="91"/>
        <v>Delhi</v>
      </c>
      <c r="K419" t="str">
        <f t="shared" si="92"/>
        <v>Zeon Charging</v>
      </c>
      <c r="L419" s="4" t="str">
        <f t="shared" si="93"/>
        <v>Zeon Charging</v>
      </c>
      <c r="M419" s="4" t="str">
        <f t="shared" si="94"/>
        <v>Chademo</v>
      </c>
      <c r="N419" s="4" t="str">
        <f t="shared" si="95"/>
        <v>Chademo</v>
      </c>
      <c r="O419" s="4" t="str">
        <f t="shared" si="96"/>
        <v>Active</v>
      </c>
      <c r="P419" s="4" t="str">
        <f t="shared" si="97"/>
        <v>Active</v>
      </c>
      <c r="Q419" s="4" t="str">
        <f t="shared" si="98"/>
        <v>Delhi</v>
      </c>
      <c r="R419" s="4" t="b">
        <f t="shared" si="99"/>
        <v>1</v>
      </c>
      <c r="S419" s="5" t="str">
        <f t="shared" si="100"/>
        <v>45563</v>
      </c>
      <c r="T419" s="4" t="str">
        <f t="shared" si="101"/>
        <v>Private</v>
      </c>
      <c r="U419" s="4" t="str">
        <f t="shared" si="102"/>
        <v>fast</v>
      </c>
      <c r="V419" s="4">
        <f t="shared" si="103"/>
        <v>2024</v>
      </c>
      <c r="W419" s="4" t="str">
        <f t="shared" si="104"/>
        <v>Japan</v>
      </c>
    </row>
    <row r="420" spans="1:23" x14ac:dyDescent="0.25">
      <c r="A420" t="s">
        <v>649</v>
      </c>
      <c r="C420" t="s">
        <v>14</v>
      </c>
      <c r="D420" t="s">
        <v>17</v>
      </c>
      <c r="E420" t="s">
        <v>24</v>
      </c>
      <c r="F420" s="1">
        <v>45697</v>
      </c>
      <c r="G420">
        <v>5534.23</v>
      </c>
      <c r="H420">
        <v>81395.039999999994</v>
      </c>
      <c r="I420" t="str">
        <f t="shared" si="90"/>
        <v/>
      </c>
      <c r="J420" t="str">
        <f t="shared" si="91"/>
        <v/>
      </c>
      <c r="K420" t="str">
        <f t="shared" si="92"/>
        <v>Charge Point</v>
      </c>
      <c r="L420" s="4" t="str">
        <f t="shared" si="93"/>
        <v>Charge Point</v>
      </c>
      <c r="M420" s="4" t="str">
        <f t="shared" si="94"/>
        <v>Type2 Ac</v>
      </c>
      <c r="N420" s="4" t="str">
        <f t="shared" si="95"/>
        <v>Type2 Ac</v>
      </c>
      <c r="O420" s="4" t="str">
        <f t="shared" si="96"/>
        <v>Active</v>
      </c>
      <c r="P420" s="4" t="str">
        <f t="shared" si="97"/>
        <v>Active</v>
      </c>
      <c r="Q420" s="4" t="str">
        <f t="shared" si="98"/>
        <v/>
      </c>
      <c r="R420" s="4" t="b">
        <f t="shared" si="99"/>
        <v>1</v>
      </c>
      <c r="S420" s="5" t="str">
        <f t="shared" si="100"/>
        <v>45697</v>
      </c>
      <c r="T420" s="4" t="str">
        <f t="shared" si="101"/>
        <v>Private</v>
      </c>
      <c r="U420" s="4" t="str">
        <f t="shared" si="102"/>
        <v>Slow</v>
      </c>
      <c r="V420" s="4">
        <f t="shared" si="103"/>
        <v>2025</v>
      </c>
      <c r="W420" s="4" t="str">
        <f t="shared" si="104"/>
        <v>Germany</v>
      </c>
    </row>
    <row r="421" spans="1:23" x14ac:dyDescent="0.25">
      <c r="A421" t="s">
        <v>650</v>
      </c>
      <c r="B421" t="s">
        <v>66</v>
      </c>
      <c r="C421" t="s">
        <v>14</v>
      </c>
      <c r="D421" t="s">
        <v>56</v>
      </c>
      <c r="E421" t="s">
        <v>24</v>
      </c>
      <c r="F421" s="1">
        <v>45426</v>
      </c>
      <c r="G421">
        <v>7377.42</v>
      </c>
      <c r="H421">
        <v>92351.29</v>
      </c>
      <c r="I421" t="str">
        <f t="shared" si="90"/>
        <v>Pune</v>
      </c>
      <c r="J421" t="str">
        <f t="shared" si="91"/>
        <v>Pune</v>
      </c>
      <c r="K421" t="str">
        <f t="shared" si="92"/>
        <v>Charge Point</v>
      </c>
      <c r="L421" s="4" t="str">
        <f t="shared" si="93"/>
        <v>Charge Point</v>
      </c>
      <c r="M421" s="4" t="str">
        <f t="shared" si="94"/>
        <v>Ccs2</v>
      </c>
      <c r="N421" s="4" t="str">
        <f t="shared" si="95"/>
        <v>Ccs2</v>
      </c>
      <c r="O421" s="4" t="str">
        <f t="shared" si="96"/>
        <v>Active</v>
      </c>
      <c r="P421" s="4" t="str">
        <f t="shared" si="97"/>
        <v>Active</v>
      </c>
      <c r="Q421" s="4" t="str">
        <f t="shared" si="98"/>
        <v>Pune</v>
      </c>
      <c r="R421" s="4" t="b">
        <f t="shared" si="99"/>
        <v>1</v>
      </c>
      <c r="S421" s="5" t="str">
        <f t="shared" si="100"/>
        <v>45426</v>
      </c>
      <c r="T421" s="4" t="str">
        <f t="shared" si="101"/>
        <v>Private</v>
      </c>
      <c r="U421" s="4" t="str">
        <f t="shared" si="102"/>
        <v>Ultra Fast</v>
      </c>
      <c r="V421" s="4">
        <f t="shared" si="103"/>
        <v>2024</v>
      </c>
      <c r="W421" s="4" t="str">
        <f t="shared" si="104"/>
        <v>Europe</v>
      </c>
    </row>
    <row r="422" spans="1:23" x14ac:dyDescent="0.25">
      <c r="A422" t="s">
        <v>652</v>
      </c>
      <c r="B422" t="s">
        <v>66</v>
      </c>
      <c r="C422" t="s">
        <v>36</v>
      </c>
      <c r="D422" t="s">
        <v>48</v>
      </c>
      <c r="E422" t="s">
        <v>24</v>
      </c>
      <c r="F422" s="1">
        <v>45979</v>
      </c>
      <c r="G422">
        <v>10728.36</v>
      </c>
      <c r="H422">
        <v>96918.17</v>
      </c>
      <c r="I422" t="str">
        <f t="shared" si="90"/>
        <v>Pune</v>
      </c>
      <c r="J422" t="str">
        <f t="shared" si="91"/>
        <v>Pune</v>
      </c>
      <c r="K422" t="str">
        <f t="shared" si="92"/>
        <v>Zeon Charging</v>
      </c>
      <c r="L422" s="4" t="str">
        <f t="shared" si="93"/>
        <v>Zeon Charging</v>
      </c>
      <c r="M422" s="4" t="str">
        <f t="shared" si="94"/>
        <v>Bharat Dc-001</v>
      </c>
      <c r="N422" s="4" t="str">
        <f t="shared" si="95"/>
        <v>Bharat Dc-001</v>
      </c>
      <c r="O422" s="4" t="str">
        <f t="shared" si="96"/>
        <v>Active</v>
      </c>
      <c r="P422" s="4" t="str">
        <f t="shared" si="97"/>
        <v>Active</v>
      </c>
      <c r="Q422" s="4" t="str">
        <f t="shared" si="98"/>
        <v>Pune</v>
      </c>
      <c r="R422" s="4" t="b">
        <f t="shared" si="99"/>
        <v>1</v>
      </c>
      <c r="S422" s="5" t="str">
        <f t="shared" si="100"/>
        <v>45979</v>
      </c>
      <c r="T422" s="4" t="str">
        <f t="shared" si="101"/>
        <v>Private</v>
      </c>
      <c r="U422" s="4" t="str">
        <f t="shared" si="102"/>
        <v>fast</v>
      </c>
      <c r="V422" s="4">
        <f t="shared" si="103"/>
        <v>2025</v>
      </c>
      <c r="W422" s="4" t="str">
        <f t="shared" si="104"/>
        <v>India</v>
      </c>
    </row>
    <row r="423" spans="1:23" x14ac:dyDescent="0.25">
      <c r="A423" t="s">
        <v>653</v>
      </c>
      <c r="B423" t="s">
        <v>66</v>
      </c>
      <c r="C423" t="s">
        <v>764</v>
      </c>
      <c r="D423" t="s">
        <v>17</v>
      </c>
      <c r="E423" t="s">
        <v>24</v>
      </c>
      <c r="F423" s="1">
        <v>45952</v>
      </c>
      <c r="G423">
        <v>8947.14</v>
      </c>
      <c r="H423">
        <v>78015.77</v>
      </c>
      <c r="I423" t="str">
        <f t="shared" si="90"/>
        <v>Pune</v>
      </c>
      <c r="J423" t="str">
        <f t="shared" si="91"/>
        <v>Pune</v>
      </c>
      <c r="K423" t="str">
        <f t="shared" si="92"/>
        <v>Bpcl</v>
      </c>
      <c r="L423" s="4" t="str">
        <f t="shared" si="93"/>
        <v>Bpcl</v>
      </c>
      <c r="M423" s="4" t="str">
        <f t="shared" si="94"/>
        <v>Type2 Ac</v>
      </c>
      <c r="N423" s="4" t="str">
        <f t="shared" si="95"/>
        <v>Type2 Ac</v>
      </c>
      <c r="O423" s="4" t="str">
        <f t="shared" si="96"/>
        <v>Active</v>
      </c>
      <c r="P423" s="4" t="str">
        <f t="shared" si="97"/>
        <v>Active</v>
      </c>
      <c r="Q423" s="4" t="str">
        <f t="shared" si="98"/>
        <v>Pune</v>
      </c>
      <c r="R423" s="4" t="b">
        <f t="shared" si="99"/>
        <v>1</v>
      </c>
      <c r="S423" s="5" t="str">
        <f t="shared" si="100"/>
        <v>45952</v>
      </c>
      <c r="T423" s="4" t="str">
        <f t="shared" si="101"/>
        <v>Government</v>
      </c>
      <c r="U423" s="4" t="str">
        <f t="shared" si="102"/>
        <v>Slow</v>
      </c>
      <c r="V423" s="4">
        <f t="shared" si="103"/>
        <v>2025</v>
      </c>
      <c r="W423" s="4" t="str">
        <f t="shared" si="104"/>
        <v>Germany</v>
      </c>
    </row>
    <row r="424" spans="1:23" x14ac:dyDescent="0.25">
      <c r="A424" t="s">
        <v>655</v>
      </c>
      <c r="B424" t="s">
        <v>40</v>
      </c>
      <c r="C424" t="s">
        <v>63</v>
      </c>
      <c r="D424" t="s">
        <v>17</v>
      </c>
      <c r="E424" t="s">
        <v>24</v>
      </c>
      <c r="F424" s="1">
        <v>45599</v>
      </c>
      <c r="G424">
        <v>7442.71</v>
      </c>
      <c r="H424">
        <v>72877.36</v>
      </c>
      <c r="I424" t="str">
        <f t="shared" si="90"/>
        <v>Mumbai</v>
      </c>
      <c r="J424" t="str">
        <f t="shared" si="91"/>
        <v>Mumbai</v>
      </c>
      <c r="K424" t="str">
        <f t="shared" si="92"/>
        <v>Tata Power</v>
      </c>
      <c r="L424" s="4" t="str">
        <f t="shared" si="93"/>
        <v>Tata Power</v>
      </c>
      <c r="M424" s="4" t="str">
        <f t="shared" si="94"/>
        <v>Type2 Ac</v>
      </c>
      <c r="N424" s="4" t="str">
        <f t="shared" si="95"/>
        <v>Type2 Ac</v>
      </c>
      <c r="O424" s="4" t="str">
        <f t="shared" si="96"/>
        <v>Active</v>
      </c>
      <c r="P424" s="4" t="str">
        <f t="shared" si="97"/>
        <v>Active</v>
      </c>
      <c r="Q424" s="4" t="str">
        <f t="shared" si="98"/>
        <v>Mumbai</v>
      </c>
      <c r="R424" s="4" t="b">
        <f t="shared" si="99"/>
        <v>1</v>
      </c>
      <c r="S424" s="5" t="str">
        <f t="shared" si="100"/>
        <v>45599</v>
      </c>
      <c r="T424" s="4" t="str">
        <f t="shared" si="101"/>
        <v>Government</v>
      </c>
      <c r="U424" s="4" t="str">
        <f t="shared" si="102"/>
        <v>Slow</v>
      </c>
      <c r="V424" s="4">
        <f t="shared" si="103"/>
        <v>2024</v>
      </c>
      <c r="W424" s="4" t="str">
        <f t="shared" si="104"/>
        <v>Germany</v>
      </c>
    </row>
    <row r="425" spans="1:23" x14ac:dyDescent="0.25">
      <c r="A425" t="s">
        <v>656</v>
      </c>
      <c r="B425" t="s">
        <v>13</v>
      </c>
      <c r="C425" t="s">
        <v>41</v>
      </c>
      <c r="D425" t="s">
        <v>48</v>
      </c>
      <c r="E425" t="s">
        <v>24</v>
      </c>
      <c r="F425" s="1">
        <v>45760</v>
      </c>
      <c r="G425">
        <v>797.45</v>
      </c>
      <c r="H425">
        <v>7348.1</v>
      </c>
      <c r="I425" t="str">
        <f t="shared" si="90"/>
        <v>Bengaluru</v>
      </c>
      <c r="J425" t="str">
        <f t="shared" si="91"/>
        <v>Bengaluru</v>
      </c>
      <c r="K425" t="str">
        <f t="shared" si="92"/>
        <v>Ather Grid</v>
      </c>
      <c r="L425" s="4" t="str">
        <f t="shared" si="93"/>
        <v>Ather Grid</v>
      </c>
      <c r="M425" s="4" t="str">
        <f t="shared" si="94"/>
        <v>Bharat Dc-001</v>
      </c>
      <c r="N425" s="4" t="str">
        <f t="shared" si="95"/>
        <v>Bharat Dc-001</v>
      </c>
      <c r="O425" s="4" t="str">
        <f t="shared" si="96"/>
        <v>Active</v>
      </c>
      <c r="P425" s="4" t="str">
        <f t="shared" si="97"/>
        <v>Active</v>
      </c>
      <c r="Q425" s="4" t="str">
        <f t="shared" si="98"/>
        <v>Bengaluru</v>
      </c>
      <c r="R425" s="4" t="b">
        <f t="shared" si="99"/>
        <v>1</v>
      </c>
      <c r="S425" s="5" t="str">
        <f t="shared" si="100"/>
        <v>45760</v>
      </c>
      <c r="T425" s="4" t="str">
        <f t="shared" si="101"/>
        <v>Private</v>
      </c>
      <c r="U425" s="4" t="str">
        <f t="shared" si="102"/>
        <v>fast</v>
      </c>
      <c r="V425" s="4">
        <f t="shared" si="103"/>
        <v>2025</v>
      </c>
      <c r="W425" s="4" t="str">
        <f t="shared" si="104"/>
        <v>India</v>
      </c>
    </row>
    <row r="426" spans="1:23" x14ac:dyDescent="0.25">
      <c r="A426" t="s">
        <v>658</v>
      </c>
      <c r="B426" t="s">
        <v>40</v>
      </c>
      <c r="C426" t="s">
        <v>63</v>
      </c>
      <c r="D426" t="s">
        <v>56</v>
      </c>
      <c r="E426" t="s">
        <v>24</v>
      </c>
      <c r="F426" s="1">
        <v>45615</v>
      </c>
      <c r="I426" t="str">
        <f t="shared" si="90"/>
        <v>Mumbai</v>
      </c>
      <c r="J426" t="str">
        <f t="shared" si="91"/>
        <v>Mumbai</v>
      </c>
      <c r="K426" t="str">
        <f t="shared" si="92"/>
        <v>Tata Power</v>
      </c>
      <c r="L426" s="4" t="str">
        <f t="shared" si="93"/>
        <v>Tata Power</v>
      </c>
      <c r="M426" s="4" t="str">
        <f t="shared" si="94"/>
        <v>Ccs2</v>
      </c>
      <c r="N426" s="4" t="str">
        <f t="shared" si="95"/>
        <v>Ccs2</v>
      </c>
      <c r="O426" s="4" t="str">
        <f t="shared" si="96"/>
        <v>Active</v>
      </c>
      <c r="P426" s="4" t="str">
        <f t="shared" si="97"/>
        <v>Active</v>
      </c>
      <c r="Q426" s="4" t="str">
        <f t="shared" si="98"/>
        <v>Mumbai</v>
      </c>
      <c r="R426" s="4" t="b">
        <f t="shared" si="99"/>
        <v>1</v>
      </c>
      <c r="S426" s="5" t="str">
        <f t="shared" si="100"/>
        <v>45615</v>
      </c>
      <c r="T426" s="4" t="str">
        <f t="shared" si="101"/>
        <v>Government</v>
      </c>
      <c r="U426" s="4" t="str">
        <f t="shared" si="102"/>
        <v>Ultra Fast</v>
      </c>
      <c r="V426" s="4">
        <f t="shared" si="103"/>
        <v>2024</v>
      </c>
      <c r="W426" s="4" t="str">
        <f t="shared" si="104"/>
        <v>Europe</v>
      </c>
    </row>
    <row r="427" spans="1:23" x14ac:dyDescent="0.25">
      <c r="A427" t="s">
        <v>659</v>
      </c>
      <c r="B427" t="s">
        <v>35</v>
      </c>
      <c r="C427" t="s">
        <v>36</v>
      </c>
      <c r="D427" t="s">
        <v>56</v>
      </c>
      <c r="E427" t="s">
        <v>24</v>
      </c>
      <c r="F427" s="1">
        <v>46061</v>
      </c>
      <c r="G427">
        <v>8254.43</v>
      </c>
      <c r="H427">
        <v>109900.03</v>
      </c>
      <c r="I427" t="str">
        <f t="shared" si="90"/>
        <v>Chennai</v>
      </c>
      <c r="J427" t="str">
        <f t="shared" si="91"/>
        <v>Chennai</v>
      </c>
      <c r="K427" t="str">
        <f t="shared" si="92"/>
        <v>Zeon Charging</v>
      </c>
      <c r="L427" s="4" t="str">
        <f t="shared" si="93"/>
        <v>Zeon Charging</v>
      </c>
      <c r="M427" s="4" t="str">
        <f t="shared" si="94"/>
        <v>Ccs2</v>
      </c>
      <c r="N427" s="4" t="str">
        <f t="shared" si="95"/>
        <v>Ccs2</v>
      </c>
      <c r="O427" s="4" t="str">
        <f t="shared" si="96"/>
        <v>Active</v>
      </c>
      <c r="P427" s="4" t="str">
        <f t="shared" si="97"/>
        <v>Active</v>
      </c>
      <c r="Q427" s="4" t="str">
        <f t="shared" si="98"/>
        <v>Chennai</v>
      </c>
      <c r="R427" s="4" t="b">
        <f t="shared" si="99"/>
        <v>1</v>
      </c>
      <c r="S427" s="5" t="str">
        <f t="shared" si="100"/>
        <v>46061</v>
      </c>
      <c r="T427" s="4" t="str">
        <f t="shared" si="101"/>
        <v>Private</v>
      </c>
      <c r="U427" s="4" t="str">
        <f t="shared" si="102"/>
        <v>Ultra Fast</v>
      </c>
      <c r="V427" s="4">
        <f t="shared" si="103"/>
        <v>2026</v>
      </c>
      <c r="W427" s="4" t="str">
        <f t="shared" si="104"/>
        <v>Europe</v>
      </c>
    </row>
    <row r="428" spans="1:23" x14ac:dyDescent="0.25">
      <c r="A428" t="s">
        <v>660</v>
      </c>
      <c r="B428" t="s">
        <v>13</v>
      </c>
      <c r="C428" t="s">
        <v>14</v>
      </c>
      <c r="D428" t="s">
        <v>17</v>
      </c>
      <c r="E428" t="s">
        <v>24</v>
      </c>
      <c r="F428" s="1">
        <v>45366</v>
      </c>
      <c r="G428">
        <v>10395.94</v>
      </c>
      <c r="H428">
        <v>88651.1</v>
      </c>
      <c r="I428" t="str">
        <f t="shared" si="90"/>
        <v>Bengaluru</v>
      </c>
      <c r="J428" t="str">
        <f t="shared" si="91"/>
        <v>Bengaluru</v>
      </c>
      <c r="K428" t="str">
        <f t="shared" si="92"/>
        <v>Charge Point</v>
      </c>
      <c r="L428" s="4" t="str">
        <f t="shared" si="93"/>
        <v>Charge Point</v>
      </c>
      <c r="M428" s="4" t="str">
        <f t="shared" si="94"/>
        <v>Type2 Ac</v>
      </c>
      <c r="N428" s="4" t="str">
        <f t="shared" si="95"/>
        <v>Type2 Ac</v>
      </c>
      <c r="O428" s="4" t="str">
        <f t="shared" si="96"/>
        <v>Active</v>
      </c>
      <c r="P428" s="4" t="str">
        <f t="shared" si="97"/>
        <v>Active</v>
      </c>
      <c r="Q428" s="4" t="str">
        <f t="shared" si="98"/>
        <v>Bengaluru</v>
      </c>
      <c r="R428" s="4" t="b">
        <f t="shared" si="99"/>
        <v>1</v>
      </c>
      <c r="S428" s="5" t="str">
        <f t="shared" si="100"/>
        <v>45366</v>
      </c>
      <c r="T428" s="4" t="str">
        <f t="shared" si="101"/>
        <v>Private</v>
      </c>
      <c r="U428" s="4" t="str">
        <f t="shared" si="102"/>
        <v>Slow</v>
      </c>
      <c r="V428" s="4">
        <f t="shared" si="103"/>
        <v>2024</v>
      </c>
      <c r="W428" s="4" t="str">
        <f t="shared" si="104"/>
        <v>Germany</v>
      </c>
    </row>
    <row r="429" spans="1:23" x14ac:dyDescent="0.25">
      <c r="A429" t="s">
        <v>662</v>
      </c>
      <c r="B429" t="s">
        <v>46</v>
      </c>
      <c r="C429" t="s">
        <v>14</v>
      </c>
      <c r="D429" t="s">
        <v>56</v>
      </c>
      <c r="E429" t="s">
        <v>24</v>
      </c>
      <c r="F429" s="1">
        <v>45301</v>
      </c>
      <c r="G429">
        <v>7251.91</v>
      </c>
      <c r="H429">
        <v>106306.07</v>
      </c>
      <c r="I429" t="str">
        <f t="shared" si="90"/>
        <v>Kolkata</v>
      </c>
      <c r="J429" t="str">
        <f t="shared" si="91"/>
        <v>Kolkata</v>
      </c>
      <c r="K429" t="str">
        <f t="shared" si="92"/>
        <v>Charge Point</v>
      </c>
      <c r="L429" s="4" t="str">
        <f t="shared" si="93"/>
        <v>Charge Point</v>
      </c>
      <c r="M429" s="4" t="str">
        <f t="shared" si="94"/>
        <v>Ccs2</v>
      </c>
      <c r="N429" s="4" t="str">
        <f t="shared" si="95"/>
        <v>Ccs2</v>
      </c>
      <c r="O429" s="4" t="str">
        <f t="shared" si="96"/>
        <v>Active</v>
      </c>
      <c r="P429" s="4" t="str">
        <f t="shared" si="97"/>
        <v>Active</v>
      </c>
      <c r="Q429" s="4" t="str">
        <f t="shared" si="98"/>
        <v>Kolkata</v>
      </c>
      <c r="R429" s="4" t="b">
        <f t="shared" si="99"/>
        <v>1</v>
      </c>
      <c r="S429" s="5" t="str">
        <f t="shared" si="100"/>
        <v>45301</v>
      </c>
      <c r="T429" s="4" t="str">
        <f t="shared" si="101"/>
        <v>Private</v>
      </c>
      <c r="U429" s="4" t="str">
        <f t="shared" si="102"/>
        <v>Ultra Fast</v>
      </c>
      <c r="V429" s="4">
        <f t="shared" si="103"/>
        <v>2024</v>
      </c>
      <c r="W429" s="4" t="str">
        <f t="shared" si="104"/>
        <v>Europe</v>
      </c>
    </row>
    <row r="430" spans="1:23" x14ac:dyDescent="0.25">
      <c r="A430" t="s">
        <v>663</v>
      </c>
      <c r="B430" t="s">
        <v>70</v>
      </c>
      <c r="C430" t="s">
        <v>41</v>
      </c>
      <c r="D430" t="s">
        <v>26</v>
      </c>
      <c r="E430" t="s">
        <v>24</v>
      </c>
      <c r="F430" s="1">
        <v>45761</v>
      </c>
      <c r="G430">
        <v>738.57</v>
      </c>
      <c r="H430">
        <v>9155.0499999999993</v>
      </c>
      <c r="I430" t="str">
        <f t="shared" si="90"/>
        <v>Delhi</v>
      </c>
      <c r="J430" t="str">
        <f t="shared" si="91"/>
        <v>Delhi</v>
      </c>
      <c r="K430" t="str">
        <f t="shared" si="92"/>
        <v>Ather Grid</v>
      </c>
      <c r="L430" s="4" t="str">
        <f t="shared" si="93"/>
        <v>Ather Grid</v>
      </c>
      <c r="M430" s="4" t="str">
        <f t="shared" si="94"/>
        <v>Chademo</v>
      </c>
      <c r="N430" s="4" t="str">
        <f t="shared" si="95"/>
        <v>Chademo</v>
      </c>
      <c r="O430" s="4" t="str">
        <f t="shared" si="96"/>
        <v>Active</v>
      </c>
      <c r="P430" s="4" t="str">
        <f t="shared" si="97"/>
        <v>Active</v>
      </c>
      <c r="Q430" s="4" t="str">
        <f t="shared" si="98"/>
        <v>Delhi</v>
      </c>
      <c r="R430" s="4" t="b">
        <f t="shared" si="99"/>
        <v>1</v>
      </c>
      <c r="S430" s="5" t="str">
        <f t="shared" si="100"/>
        <v>45761</v>
      </c>
      <c r="T430" s="4" t="str">
        <f t="shared" si="101"/>
        <v>Private</v>
      </c>
      <c r="U430" s="4" t="str">
        <f t="shared" si="102"/>
        <v>fast</v>
      </c>
      <c r="V430" s="4">
        <f t="shared" si="103"/>
        <v>2025</v>
      </c>
      <c r="W430" s="4" t="str">
        <f t="shared" si="104"/>
        <v>Japan</v>
      </c>
    </row>
    <row r="431" spans="1:23" x14ac:dyDescent="0.25">
      <c r="A431" t="s">
        <v>664</v>
      </c>
      <c r="B431" t="s">
        <v>40</v>
      </c>
      <c r="C431" t="s">
        <v>14</v>
      </c>
      <c r="D431" t="s">
        <v>48</v>
      </c>
      <c r="E431" t="s">
        <v>54</v>
      </c>
      <c r="F431" s="1">
        <v>45928</v>
      </c>
      <c r="G431">
        <v>382.38</v>
      </c>
      <c r="H431">
        <v>4300.88</v>
      </c>
      <c r="I431" t="str">
        <f t="shared" si="90"/>
        <v>Mumbai</v>
      </c>
      <c r="J431" t="str">
        <f t="shared" si="91"/>
        <v>Mumbai</v>
      </c>
      <c r="K431" t="str">
        <f t="shared" si="92"/>
        <v>Charge Point</v>
      </c>
      <c r="L431" s="4" t="str">
        <f t="shared" si="93"/>
        <v>Charge Point</v>
      </c>
      <c r="M431" s="4" t="str">
        <f t="shared" si="94"/>
        <v>Bharat Dc-001</v>
      </c>
      <c r="N431" s="4" t="str">
        <f t="shared" si="95"/>
        <v>Bharat Dc-001</v>
      </c>
      <c r="O431" s="4" t="str">
        <f t="shared" si="96"/>
        <v>Inactive</v>
      </c>
      <c r="P431" s="4" t="str">
        <f t="shared" si="97"/>
        <v>Inactive</v>
      </c>
      <c r="Q431" s="4" t="str">
        <f t="shared" si="98"/>
        <v>Mumbai</v>
      </c>
      <c r="R431" s="4" t="b">
        <f t="shared" si="99"/>
        <v>1</v>
      </c>
      <c r="S431" s="5" t="str">
        <f t="shared" si="100"/>
        <v>45928</v>
      </c>
      <c r="T431" s="4" t="str">
        <f t="shared" si="101"/>
        <v>Private</v>
      </c>
      <c r="U431" s="4" t="str">
        <f t="shared" si="102"/>
        <v>fast</v>
      </c>
      <c r="V431" s="4">
        <f t="shared" si="103"/>
        <v>2025</v>
      </c>
      <c r="W431" s="4" t="str">
        <f t="shared" si="104"/>
        <v>India</v>
      </c>
    </row>
    <row r="432" spans="1:23" x14ac:dyDescent="0.25">
      <c r="A432" t="s">
        <v>666</v>
      </c>
      <c r="B432" t="s">
        <v>40</v>
      </c>
      <c r="C432" t="s">
        <v>14</v>
      </c>
      <c r="D432" t="s">
        <v>26</v>
      </c>
      <c r="E432" t="s">
        <v>24</v>
      </c>
      <c r="F432" s="1">
        <v>45868</v>
      </c>
      <c r="G432">
        <v>9946.34</v>
      </c>
      <c r="H432">
        <v>118820.45</v>
      </c>
      <c r="I432" t="str">
        <f t="shared" si="90"/>
        <v>Mumbai</v>
      </c>
      <c r="J432" t="str">
        <f t="shared" si="91"/>
        <v>Mumbai</v>
      </c>
      <c r="K432" t="str">
        <f t="shared" si="92"/>
        <v>Charge Point</v>
      </c>
      <c r="L432" s="4" t="str">
        <f t="shared" si="93"/>
        <v>Charge Point</v>
      </c>
      <c r="M432" s="4" t="str">
        <f t="shared" si="94"/>
        <v>Chademo</v>
      </c>
      <c r="N432" s="4" t="str">
        <f t="shared" si="95"/>
        <v>Chademo</v>
      </c>
      <c r="O432" s="4" t="str">
        <f t="shared" si="96"/>
        <v>Active</v>
      </c>
      <c r="P432" s="4" t="str">
        <f t="shared" si="97"/>
        <v>Active</v>
      </c>
      <c r="Q432" s="4" t="str">
        <f t="shared" si="98"/>
        <v>Mumbai</v>
      </c>
      <c r="R432" s="4" t="b">
        <f t="shared" si="99"/>
        <v>1</v>
      </c>
      <c r="S432" s="5" t="str">
        <f t="shared" si="100"/>
        <v>45868</v>
      </c>
      <c r="T432" s="4" t="str">
        <f t="shared" si="101"/>
        <v>Private</v>
      </c>
      <c r="U432" s="4" t="str">
        <f t="shared" si="102"/>
        <v>fast</v>
      </c>
      <c r="V432" s="4">
        <f t="shared" si="103"/>
        <v>2025</v>
      </c>
      <c r="W432" s="4" t="str">
        <f t="shared" si="104"/>
        <v>Japan</v>
      </c>
    </row>
    <row r="433" spans="1:23" x14ac:dyDescent="0.25">
      <c r="A433" t="s">
        <v>668</v>
      </c>
      <c r="B433" t="s">
        <v>66</v>
      </c>
      <c r="C433" t="s">
        <v>41</v>
      </c>
      <c r="D433" t="s">
        <v>56</v>
      </c>
      <c r="E433" t="s">
        <v>24</v>
      </c>
      <c r="F433" s="1">
        <v>45394</v>
      </c>
      <c r="G433">
        <v>7126.84</v>
      </c>
      <c r="H433">
        <v>85923.15</v>
      </c>
      <c r="I433" t="str">
        <f t="shared" si="90"/>
        <v>Pune</v>
      </c>
      <c r="J433" t="str">
        <f t="shared" si="91"/>
        <v>Pune</v>
      </c>
      <c r="K433" t="str">
        <f t="shared" si="92"/>
        <v>Ather Grid</v>
      </c>
      <c r="L433" s="4" t="str">
        <f t="shared" si="93"/>
        <v>Ather Grid</v>
      </c>
      <c r="M433" s="4" t="str">
        <f t="shared" si="94"/>
        <v>Ccs2</v>
      </c>
      <c r="N433" s="4" t="str">
        <f t="shared" si="95"/>
        <v>Ccs2</v>
      </c>
      <c r="O433" s="4" t="str">
        <f t="shared" si="96"/>
        <v>Active</v>
      </c>
      <c r="P433" s="4" t="str">
        <f t="shared" si="97"/>
        <v>Active</v>
      </c>
      <c r="Q433" s="4" t="str">
        <f t="shared" si="98"/>
        <v>Pune</v>
      </c>
      <c r="R433" s="4" t="b">
        <f t="shared" si="99"/>
        <v>1</v>
      </c>
      <c r="S433" s="5" t="str">
        <f t="shared" si="100"/>
        <v>45394</v>
      </c>
      <c r="T433" s="4" t="str">
        <f t="shared" si="101"/>
        <v>Private</v>
      </c>
      <c r="U433" s="4" t="str">
        <f t="shared" si="102"/>
        <v>Ultra Fast</v>
      </c>
      <c r="V433" s="4">
        <f t="shared" si="103"/>
        <v>2024</v>
      </c>
      <c r="W433" s="4" t="str">
        <f t="shared" si="104"/>
        <v>Europe</v>
      </c>
    </row>
    <row r="434" spans="1:23" x14ac:dyDescent="0.25">
      <c r="A434" t="s">
        <v>669</v>
      </c>
      <c r="B434" t="s">
        <v>35</v>
      </c>
      <c r="C434" t="s">
        <v>41</v>
      </c>
      <c r="D434" t="s">
        <v>17</v>
      </c>
      <c r="E434" t="s">
        <v>54</v>
      </c>
      <c r="F434" s="1">
        <v>45367</v>
      </c>
      <c r="G434">
        <v>381.55</v>
      </c>
      <c r="H434">
        <v>4871.6099999999997</v>
      </c>
      <c r="I434" t="str">
        <f t="shared" si="90"/>
        <v>Chennai</v>
      </c>
      <c r="J434" t="str">
        <f t="shared" si="91"/>
        <v>Chennai</v>
      </c>
      <c r="K434" t="str">
        <f t="shared" si="92"/>
        <v>Ather Grid</v>
      </c>
      <c r="L434" s="4" t="str">
        <f t="shared" si="93"/>
        <v>Ather Grid</v>
      </c>
      <c r="M434" s="4" t="str">
        <f t="shared" si="94"/>
        <v>Type2 Ac</v>
      </c>
      <c r="N434" s="4" t="str">
        <f t="shared" si="95"/>
        <v>Type2 Ac</v>
      </c>
      <c r="O434" s="4" t="str">
        <f t="shared" si="96"/>
        <v>Inactive</v>
      </c>
      <c r="P434" s="4" t="str">
        <f t="shared" si="97"/>
        <v>Inactive</v>
      </c>
      <c r="Q434" s="4" t="str">
        <f t="shared" si="98"/>
        <v>Chennai</v>
      </c>
      <c r="R434" s="4" t="b">
        <f t="shared" si="99"/>
        <v>1</v>
      </c>
      <c r="S434" s="5" t="str">
        <f t="shared" si="100"/>
        <v>45367</v>
      </c>
      <c r="T434" s="4" t="str">
        <f t="shared" si="101"/>
        <v>Private</v>
      </c>
      <c r="U434" s="4" t="str">
        <f t="shared" si="102"/>
        <v>Slow</v>
      </c>
      <c r="V434" s="4">
        <f t="shared" si="103"/>
        <v>2024</v>
      </c>
      <c r="W434" s="4" t="str">
        <f t="shared" si="104"/>
        <v>Germany</v>
      </c>
    </row>
    <row r="435" spans="1:23" x14ac:dyDescent="0.25">
      <c r="A435" t="s">
        <v>671</v>
      </c>
      <c r="B435" t="s">
        <v>40</v>
      </c>
      <c r="C435" t="s">
        <v>36</v>
      </c>
      <c r="D435" t="s">
        <v>48</v>
      </c>
      <c r="E435" t="s">
        <v>24</v>
      </c>
      <c r="F435" s="1">
        <v>45842</v>
      </c>
      <c r="G435">
        <v>2514.69</v>
      </c>
      <c r="H435">
        <v>35644.06</v>
      </c>
      <c r="I435" t="str">
        <f t="shared" si="90"/>
        <v>Mumbai</v>
      </c>
      <c r="J435" t="str">
        <f t="shared" si="91"/>
        <v>Mumbai</v>
      </c>
      <c r="K435" t="str">
        <f t="shared" si="92"/>
        <v>Zeon Charging</v>
      </c>
      <c r="L435" s="4" t="str">
        <f t="shared" si="93"/>
        <v>Zeon Charging</v>
      </c>
      <c r="M435" s="4" t="str">
        <f t="shared" si="94"/>
        <v>Bharat Dc-001</v>
      </c>
      <c r="N435" s="4" t="str">
        <f t="shared" si="95"/>
        <v>Bharat Dc-001</v>
      </c>
      <c r="O435" s="4" t="str">
        <f t="shared" si="96"/>
        <v>Active</v>
      </c>
      <c r="P435" s="4" t="str">
        <f t="shared" si="97"/>
        <v>Active</v>
      </c>
      <c r="Q435" s="4" t="str">
        <f t="shared" si="98"/>
        <v>Mumbai</v>
      </c>
      <c r="R435" s="4" t="b">
        <f t="shared" si="99"/>
        <v>1</v>
      </c>
      <c r="S435" s="5" t="str">
        <f t="shared" si="100"/>
        <v>45842</v>
      </c>
      <c r="T435" s="4" t="str">
        <f t="shared" si="101"/>
        <v>Private</v>
      </c>
      <c r="U435" s="4" t="str">
        <f t="shared" si="102"/>
        <v>fast</v>
      </c>
      <c r="V435" s="4">
        <f t="shared" si="103"/>
        <v>2025</v>
      </c>
      <c r="W435" s="4" t="str">
        <f t="shared" si="104"/>
        <v>India</v>
      </c>
    </row>
    <row r="436" spans="1:23" x14ac:dyDescent="0.25">
      <c r="A436" t="s">
        <v>672</v>
      </c>
      <c r="B436" t="s">
        <v>40</v>
      </c>
      <c r="C436" t="s">
        <v>14</v>
      </c>
      <c r="D436" t="s">
        <v>56</v>
      </c>
      <c r="E436" t="s">
        <v>24</v>
      </c>
      <c r="F436" s="1">
        <v>45510</v>
      </c>
      <c r="H436">
        <v>80857.100000000006</v>
      </c>
      <c r="I436" t="str">
        <f t="shared" si="90"/>
        <v>Mumbai</v>
      </c>
      <c r="J436" t="str">
        <f t="shared" si="91"/>
        <v>Mumbai</v>
      </c>
      <c r="K436" t="str">
        <f t="shared" si="92"/>
        <v>Charge Point</v>
      </c>
      <c r="L436" s="4" t="str">
        <f t="shared" si="93"/>
        <v>Charge Point</v>
      </c>
      <c r="M436" s="4" t="str">
        <f t="shared" si="94"/>
        <v>Ccs2</v>
      </c>
      <c r="N436" s="4" t="str">
        <f t="shared" si="95"/>
        <v>Ccs2</v>
      </c>
      <c r="O436" s="4" t="str">
        <f t="shared" si="96"/>
        <v>Active</v>
      </c>
      <c r="P436" s="4" t="str">
        <f t="shared" si="97"/>
        <v>Active</v>
      </c>
      <c r="Q436" s="4" t="str">
        <f t="shared" si="98"/>
        <v>Mumbai</v>
      </c>
      <c r="R436" s="4" t="b">
        <f t="shared" si="99"/>
        <v>1</v>
      </c>
      <c r="S436" s="5" t="str">
        <f t="shared" si="100"/>
        <v>45510</v>
      </c>
      <c r="T436" s="4" t="str">
        <f t="shared" si="101"/>
        <v>Private</v>
      </c>
      <c r="U436" s="4" t="str">
        <f t="shared" si="102"/>
        <v>Ultra Fast</v>
      </c>
      <c r="V436" s="4">
        <f t="shared" si="103"/>
        <v>2024</v>
      </c>
      <c r="W436" s="4" t="str">
        <f t="shared" si="104"/>
        <v>Europe</v>
      </c>
    </row>
    <row r="437" spans="1:23" x14ac:dyDescent="0.25">
      <c r="A437" t="s">
        <v>673</v>
      </c>
      <c r="B437" t="s">
        <v>30</v>
      </c>
      <c r="C437" t="s">
        <v>14</v>
      </c>
      <c r="D437" t="s">
        <v>56</v>
      </c>
      <c r="E437" t="s">
        <v>31</v>
      </c>
      <c r="F437" s="1">
        <v>45810</v>
      </c>
      <c r="G437">
        <v>1382.47</v>
      </c>
      <c r="H437">
        <v>20606.72</v>
      </c>
      <c r="I437" t="str">
        <f t="shared" si="90"/>
        <v>Hyderabad</v>
      </c>
      <c r="J437" t="str">
        <f t="shared" si="91"/>
        <v>Hyderabad</v>
      </c>
      <c r="K437" t="str">
        <f t="shared" si="92"/>
        <v>Charge Point</v>
      </c>
      <c r="L437" s="4" t="str">
        <f t="shared" si="93"/>
        <v>Charge Point</v>
      </c>
      <c r="M437" s="4" t="str">
        <f t="shared" si="94"/>
        <v>Ccs2</v>
      </c>
      <c r="N437" s="4" t="str">
        <f t="shared" si="95"/>
        <v>Ccs2</v>
      </c>
      <c r="O437" s="4" t="str">
        <f t="shared" si="96"/>
        <v>Maintenance</v>
      </c>
      <c r="P437" s="4" t="str">
        <f t="shared" si="97"/>
        <v>Maintenance</v>
      </c>
      <c r="Q437" s="4" t="str">
        <f t="shared" si="98"/>
        <v>Hyderabad</v>
      </c>
      <c r="R437" s="4" t="b">
        <f t="shared" si="99"/>
        <v>1</v>
      </c>
      <c r="S437" s="5" t="str">
        <f t="shared" si="100"/>
        <v>45810</v>
      </c>
      <c r="T437" s="4" t="str">
        <f t="shared" si="101"/>
        <v>Private</v>
      </c>
      <c r="U437" s="4" t="str">
        <f t="shared" si="102"/>
        <v>Ultra Fast</v>
      </c>
      <c r="V437" s="4">
        <f t="shared" si="103"/>
        <v>2025</v>
      </c>
      <c r="W437" s="4" t="str">
        <f t="shared" si="104"/>
        <v>Europe</v>
      </c>
    </row>
    <row r="438" spans="1:23" x14ac:dyDescent="0.25">
      <c r="A438" t="s">
        <v>674</v>
      </c>
      <c r="B438" t="s">
        <v>40</v>
      </c>
      <c r="C438" t="s">
        <v>36</v>
      </c>
      <c r="D438" t="s">
        <v>17</v>
      </c>
      <c r="E438" t="s">
        <v>24</v>
      </c>
      <c r="F438" s="1">
        <v>45563</v>
      </c>
      <c r="G438">
        <v>3698.8</v>
      </c>
      <c r="H438">
        <v>37958.78</v>
      </c>
      <c r="I438" t="str">
        <f t="shared" si="90"/>
        <v>Mumbai</v>
      </c>
      <c r="J438" t="str">
        <f t="shared" si="91"/>
        <v>Mumbai</v>
      </c>
      <c r="K438" t="str">
        <f t="shared" si="92"/>
        <v>Zeon Charging</v>
      </c>
      <c r="L438" s="4" t="str">
        <f t="shared" si="93"/>
        <v>Zeon Charging</v>
      </c>
      <c r="M438" s="4" t="str">
        <f t="shared" si="94"/>
        <v>Type2 Ac</v>
      </c>
      <c r="N438" s="4" t="str">
        <f t="shared" si="95"/>
        <v>Type2 Ac</v>
      </c>
      <c r="O438" s="4" t="str">
        <f t="shared" si="96"/>
        <v>Active</v>
      </c>
      <c r="P438" s="4" t="str">
        <f t="shared" si="97"/>
        <v>Active</v>
      </c>
      <c r="Q438" s="4" t="str">
        <f t="shared" si="98"/>
        <v>Mumbai</v>
      </c>
      <c r="R438" s="4" t="b">
        <f t="shared" si="99"/>
        <v>1</v>
      </c>
      <c r="S438" s="5" t="str">
        <f t="shared" si="100"/>
        <v>45563</v>
      </c>
      <c r="T438" s="4" t="str">
        <f t="shared" si="101"/>
        <v>Private</v>
      </c>
      <c r="U438" s="4" t="str">
        <f t="shared" si="102"/>
        <v>Slow</v>
      </c>
      <c r="V438" s="4">
        <f t="shared" si="103"/>
        <v>2024</v>
      </c>
      <c r="W438" s="4" t="str">
        <f t="shared" si="104"/>
        <v>Germany</v>
      </c>
    </row>
    <row r="439" spans="1:23" x14ac:dyDescent="0.25">
      <c r="A439" t="s">
        <v>675</v>
      </c>
      <c r="B439" t="s">
        <v>66</v>
      </c>
      <c r="C439" t="s">
        <v>764</v>
      </c>
      <c r="D439" t="s">
        <v>17</v>
      </c>
      <c r="E439" t="s">
        <v>24</v>
      </c>
      <c r="F439" s="1">
        <v>45427</v>
      </c>
      <c r="G439">
        <v>11964.87</v>
      </c>
      <c r="H439">
        <v>177041.93</v>
      </c>
      <c r="I439" t="str">
        <f t="shared" si="90"/>
        <v>Pune</v>
      </c>
      <c r="J439" t="str">
        <f t="shared" si="91"/>
        <v>Pune</v>
      </c>
      <c r="K439" t="str">
        <f t="shared" si="92"/>
        <v>Bpcl</v>
      </c>
      <c r="L439" s="4" t="str">
        <f t="shared" si="93"/>
        <v>Bpcl</v>
      </c>
      <c r="M439" s="4" t="str">
        <f t="shared" si="94"/>
        <v>Type2 Ac</v>
      </c>
      <c r="N439" s="4" t="str">
        <f t="shared" si="95"/>
        <v>Type2 Ac</v>
      </c>
      <c r="O439" s="4" t="str">
        <f t="shared" si="96"/>
        <v>Active</v>
      </c>
      <c r="P439" s="4" t="str">
        <f t="shared" si="97"/>
        <v>Active</v>
      </c>
      <c r="Q439" s="4" t="str">
        <f t="shared" si="98"/>
        <v>Pune</v>
      </c>
      <c r="R439" s="4" t="b">
        <f t="shared" si="99"/>
        <v>1</v>
      </c>
      <c r="S439" s="5" t="str">
        <f t="shared" si="100"/>
        <v>45427</v>
      </c>
      <c r="T439" s="4" t="str">
        <f t="shared" si="101"/>
        <v>Government</v>
      </c>
      <c r="U439" s="4" t="str">
        <f t="shared" si="102"/>
        <v>Slow</v>
      </c>
      <c r="V439" s="4">
        <f t="shared" si="103"/>
        <v>2024</v>
      </c>
      <c r="W439" s="4" t="str">
        <f t="shared" si="104"/>
        <v>Germany</v>
      </c>
    </row>
    <row r="440" spans="1:23" x14ac:dyDescent="0.25">
      <c r="A440" t="s">
        <v>676</v>
      </c>
      <c r="B440" t="s">
        <v>30</v>
      </c>
      <c r="C440" t="s">
        <v>764</v>
      </c>
      <c r="D440" t="s">
        <v>26</v>
      </c>
      <c r="E440" t="s">
        <v>31</v>
      </c>
      <c r="F440" s="1">
        <v>45649</v>
      </c>
      <c r="G440">
        <v>1364.07</v>
      </c>
      <c r="H440">
        <v>13931.21</v>
      </c>
      <c r="I440" t="str">
        <f t="shared" si="90"/>
        <v>Hyderabad</v>
      </c>
      <c r="J440" t="str">
        <f t="shared" si="91"/>
        <v>Hyderabad</v>
      </c>
      <c r="K440" t="str">
        <f t="shared" si="92"/>
        <v>Bpcl</v>
      </c>
      <c r="L440" s="4" t="str">
        <f t="shared" si="93"/>
        <v>Bpcl</v>
      </c>
      <c r="M440" s="4" t="str">
        <f t="shared" si="94"/>
        <v>Chademo</v>
      </c>
      <c r="N440" s="4" t="str">
        <f t="shared" si="95"/>
        <v>Chademo</v>
      </c>
      <c r="O440" s="4" t="str">
        <f t="shared" si="96"/>
        <v>Maintenance</v>
      </c>
      <c r="P440" s="4" t="str">
        <f t="shared" si="97"/>
        <v>Maintenance</v>
      </c>
      <c r="Q440" s="4" t="str">
        <f t="shared" si="98"/>
        <v>Hyderabad</v>
      </c>
      <c r="R440" s="4" t="b">
        <f t="shared" si="99"/>
        <v>1</v>
      </c>
      <c r="S440" s="5" t="str">
        <f t="shared" si="100"/>
        <v>45649</v>
      </c>
      <c r="T440" s="4" t="str">
        <f t="shared" si="101"/>
        <v>Government</v>
      </c>
      <c r="U440" s="4" t="str">
        <f t="shared" si="102"/>
        <v>fast</v>
      </c>
      <c r="V440" s="4">
        <f t="shared" si="103"/>
        <v>2024</v>
      </c>
      <c r="W440" s="4" t="str">
        <f t="shared" si="104"/>
        <v>Japan</v>
      </c>
    </row>
    <row r="441" spans="1:23" x14ac:dyDescent="0.25">
      <c r="A441" t="s">
        <v>678</v>
      </c>
      <c r="B441" t="s">
        <v>40</v>
      </c>
      <c r="C441" t="s">
        <v>764</v>
      </c>
      <c r="D441" t="s">
        <v>48</v>
      </c>
      <c r="E441" t="s">
        <v>54</v>
      </c>
      <c r="F441" s="1"/>
      <c r="G441">
        <v>407.12</v>
      </c>
      <c r="H441">
        <v>4510.21</v>
      </c>
      <c r="I441" t="str">
        <f t="shared" si="90"/>
        <v>Mumbai</v>
      </c>
      <c r="J441" t="str">
        <f t="shared" si="91"/>
        <v>Mumbai</v>
      </c>
      <c r="K441" t="str">
        <f t="shared" si="92"/>
        <v>Bpcl</v>
      </c>
      <c r="L441" s="4" t="str">
        <f t="shared" si="93"/>
        <v>Bpcl</v>
      </c>
      <c r="M441" s="4" t="str">
        <f t="shared" si="94"/>
        <v>Bharat Dc-001</v>
      </c>
      <c r="N441" s="4" t="str">
        <f t="shared" si="95"/>
        <v>Bharat Dc-001</v>
      </c>
      <c r="O441" s="4" t="str">
        <f t="shared" si="96"/>
        <v>Inactive</v>
      </c>
      <c r="P441" s="4" t="str">
        <f t="shared" si="97"/>
        <v>Inactive</v>
      </c>
      <c r="Q441" s="4" t="str">
        <f t="shared" si="98"/>
        <v>Mumbai</v>
      </c>
      <c r="R441" s="4" t="b">
        <f t="shared" si="99"/>
        <v>0</v>
      </c>
      <c r="S441" s="4" t="str">
        <f t="shared" si="100"/>
        <v/>
      </c>
      <c r="T441" s="4" t="str">
        <f t="shared" si="101"/>
        <v>Government</v>
      </c>
      <c r="U441" s="4" t="str">
        <f t="shared" si="102"/>
        <v>fast</v>
      </c>
      <c r="V441" s="4">
        <f t="shared" si="103"/>
        <v>1900</v>
      </c>
      <c r="W441" s="4" t="str">
        <f t="shared" si="104"/>
        <v>India</v>
      </c>
    </row>
    <row r="442" spans="1:23" x14ac:dyDescent="0.25">
      <c r="A442" t="s">
        <v>679</v>
      </c>
      <c r="B442" t="s">
        <v>40</v>
      </c>
      <c r="C442" t="s">
        <v>36</v>
      </c>
      <c r="D442" t="s">
        <v>48</v>
      </c>
      <c r="E442" t="s">
        <v>24</v>
      </c>
      <c r="F442" s="1">
        <v>45542</v>
      </c>
      <c r="G442">
        <v>11644.14</v>
      </c>
      <c r="H442">
        <v>131374.39999999999</v>
      </c>
      <c r="I442" t="str">
        <f t="shared" si="90"/>
        <v>Mumbai</v>
      </c>
      <c r="J442" t="str">
        <f t="shared" si="91"/>
        <v>Mumbai</v>
      </c>
      <c r="K442" t="str">
        <f t="shared" si="92"/>
        <v>Zeon Charging</v>
      </c>
      <c r="L442" s="4" t="str">
        <f t="shared" si="93"/>
        <v>Zeon Charging</v>
      </c>
      <c r="M442" s="4" t="str">
        <f t="shared" si="94"/>
        <v>Bharat Dc-001</v>
      </c>
      <c r="N442" s="4" t="str">
        <f t="shared" si="95"/>
        <v>Bharat Dc-001</v>
      </c>
      <c r="O442" s="4" t="str">
        <f t="shared" si="96"/>
        <v>Active</v>
      </c>
      <c r="P442" s="4" t="str">
        <f t="shared" si="97"/>
        <v>Active</v>
      </c>
      <c r="Q442" s="4" t="str">
        <f t="shared" si="98"/>
        <v>Mumbai</v>
      </c>
      <c r="R442" s="4" t="b">
        <f t="shared" si="99"/>
        <v>1</v>
      </c>
      <c r="S442" s="5" t="str">
        <f t="shared" si="100"/>
        <v>45542</v>
      </c>
      <c r="T442" s="4" t="str">
        <f t="shared" si="101"/>
        <v>Private</v>
      </c>
      <c r="U442" s="4" t="str">
        <f t="shared" si="102"/>
        <v>fast</v>
      </c>
      <c r="V442" s="4">
        <f t="shared" si="103"/>
        <v>2024</v>
      </c>
      <c r="W442" s="4" t="str">
        <f t="shared" si="104"/>
        <v>India</v>
      </c>
    </row>
    <row r="443" spans="1:23" x14ac:dyDescent="0.25">
      <c r="A443" t="s">
        <v>680</v>
      </c>
      <c r="B443" t="s">
        <v>23</v>
      </c>
      <c r="C443" t="s">
        <v>14</v>
      </c>
      <c r="D443" t="s">
        <v>17</v>
      </c>
      <c r="E443" t="s">
        <v>24</v>
      </c>
      <c r="F443" s="1">
        <v>45670</v>
      </c>
      <c r="I443" t="str">
        <f t="shared" si="90"/>
        <v>Ahemdabad</v>
      </c>
      <c r="J443" t="str">
        <f t="shared" si="91"/>
        <v>Ahemdabad</v>
      </c>
      <c r="K443" t="str">
        <f t="shared" si="92"/>
        <v>Charge Point</v>
      </c>
      <c r="L443" s="4" t="str">
        <f t="shared" si="93"/>
        <v>Charge Point</v>
      </c>
      <c r="M443" s="4" t="str">
        <f t="shared" si="94"/>
        <v>Type2 Ac</v>
      </c>
      <c r="N443" s="4" t="str">
        <f t="shared" si="95"/>
        <v>Type2 Ac</v>
      </c>
      <c r="O443" s="4" t="str">
        <f t="shared" si="96"/>
        <v>Active</v>
      </c>
      <c r="P443" s="4" t="str">
        <f t="shared" si="97"/>
        <v>Active</v>
      </c>
      <c r="Q443" s="4" t="str">
        <f t="shared" si="98"/>
        <v>Ahemdabad</v>
      </c>
      <c r="R443" s="4" t="b">
        <f t="shared" si="99"/>
        <v>1</v>
      </c>
      <c r="S443" s="5" t="str">
        <f t="shared" si="100"/>
        <v>45670</v>
      </c>
      <c r="T443" s="4" t="str">
        <f t="shared" si="101"/>
        <v>Private</v>
      </c>
      <c r="U443" s="4" t="str">
        <f t="shared" si="102"/>
        <v>Slow</v>
      </c>
      <c r="V443" s="4">
        <f t="shared" si="103"/>
        <v>2025</v>
      </c>
      <c r="W443" s="4" t="str">
        <f t="shared" si="104"/>
        <v>Germany</v>
      </c>
    </row>
    <row r="444" spans="1:23" x14ac:dyDescent="0.25">
      <c r="A444" t="s">
        <v>682</v>
      </c>
      <c r="B444" t="s">
        <v>13</v>
      </c>
      <c r="C444" t="s">
        <v>36</v>
      </c>
      <c r="D444" t="s">
        <v>26</v>
      </c>
      <c r="E444" t="s">
        <v>24</v>
      </c>
      <c r="F444" s="1">
        <v>45583</v>
      </c>
      <c r="G444">
        <v>5196</v>
      </c>
      <c r="H444">
        <v>70532.100000000006</v>
      </c>
      <c r="I444" t="str">
        <f t="shared" si="90"/>
        <v>Bengaluru</v>
      </c>
      <c r="J444" t="str">
        <f t="shared" si="91"/>
        <v>Bengaluru</v>
      </c>
      <c r="K444" t="str">
        <f t="shared" si="92"/>
        <v>Zeon Charging</v>
      </c>
      <c r="L444" s="4" t="str">
        <f t="shared" si="93"/>
        <v>Zeon Charging</v>
      </c>
      <c r="M444" s="4" t="str">
        <f t="shared" si="94"/>
        <v>Chademo</v>
      </c>
      <c r="N444" s="4" t="str">
        <f t="shared" si="95"/>
        <v>Chademo</v>
      </c>
      <c r="O444" s="4" t="str">
        <f t="shared" si="96"/>
        <v>Active</v>
      </c>
      <c r="P444" s="4" t="str">
        <f t="shared" si="97"/>
        <v>Active</v>
      </c>
      <c r="Q444" s="4" t="str">
        <f t="shared" si="98"/>
        <v>Bengaluru</v>
      </c>
      <c r="R444" s="4" t="b">
        <f t="shared" si="99"/>
        <v>1</v>
      </c>
      <c r="S444" s="5" t="str">
        <f t="shared" si="100"/>
        <v>45583</v>
      </c>
      <c r="T444" s="4" t="str">
        <f t="shared" si="101"/>
        <v>Private</v>
      </c>
      <c r="U444" s="4" t="str">
        <f t="shared" si="102"/>
        <v>fast</v>
      </c>
      <c r="V444" s="4">
        <f t="shared" si="103"/>
        <v>2024</v>
      </c>
      <c r="W444" s="4" t="str">
        <f t="shared" si="104"/>
        <v>Japan</v>
      </c>
    </row>
    <row r="445" spans="1:23" x14ac:dyDescent="0.25">
      <c r="A445" t="s">
        <v>684</v>
      </c>
      <c r="C445" t="s">
        <v>36</v>
      </c>
      <c r="D445" t="s">
        <v>48</v>
      </c>
      <c r="E445" t="s">
        <v>24</v>
      </c>
      <c r="F445" s="1">
        <v>45453</v>
      </c>
      <c r="G445">
        <v>4192.17</v>
      </c>
      <c r="H445">
        <v>50892.69</v>
      </c>
      <c r="I445" t="str">
        <f t="shared" si="90"/>
        <v/>
      </c>
      <c r="J445" t="str">
        <f t="shared" si="91"/>
        <v/>
      </c>
      <c r="K445" t="str">
        <f t="shared" si="92"/>
        <v>Zeon Charging</v>
      </c>
      <c r="L445" s="4" t="str">
        <f t="shared" si="93"/>
        <v>Zeon Charging</v>
      </c>
      <c r="M445" s="4" t="str">
        <f t="shared" si="94"/>
        <v>Bharat Dc-001</v>
      </c>
      <c r="N445" s="4" t="str">
        <f t="shared" si="95"/>
        <v>Bharat Dc-001</v>
      </c>
      <c r="O445" s="4" t="str">
        <f t="shared" si="96"/>
        <v>Active</v>
      </c>
      <c r="P445" s="4" t="str">
        <f t="shared" si="97"/>
        <v>Active</v>
      </c>
      <c r="Q445" s="4" t="str">
        <f t="shared" si="98"/>
        <v/>
      </c>
      <c r="R445" s="4" t="b">
        <f t="shared" si="99"/>
        <v>1</v>
      </c>
      <c r="S445" s="5" t="str">
        <f t="shared" si="100"/>
        <v>45453</v>
      </c>
      <c r="T445" s="4" t="str">
        <f t="shared" si="101"/>
        <v>Private</v>
      </c>
      <c r="U445" s="4" t="str">
        <f t="shared" si="102"/>
        <v>fast</v>
      </c>
      <c r="V445" s="4">
        <f t="shared" si="103"/>
        <v>2024</v>
      </c>
      <c r="W445" s="4" t="str">
        <f t="shared" si="104"/>
        <v>India</v>
      </c>
    </row>
    <row r="446" spans="1:23" x14ac:dyDescent="0.25">
      <c r="A446" t="s">
        <v>685</v>
      </c>
      <c r="B446" t="s">
        <v>66</v>
      </c>
      <c r="C446" t="s">
        <v>764</v>
      </c>
      <c r="D446" t="s">
        <v>17</v>
      </c>
      <c r="E446" t="s">
        <v>24</v>
      </c>
      <c r="F446" s="1">
        <v>45740</v>
      </c>
      <c r="G446">
        <v>1702.9</v>
      </c>
      <c r="H446">
        <v>17818.46</v>
      </c>
      <c r="I446" t="str">
        <f t="shared" si="90"/>
        <v>Pune</v>
      </c>
      <c r="J446" t="str">
        <f t="shared" si="91"/>
        <v>Pune</v>
      </c>
      <c r="K446" t="str">
        <f t="shared" si="92"/>
        <v>Bpcl</v>
      </c>
      <c r="L446" s="4" t="str">
        <f t="shared" si="93"/>
        <v>Bpcl</v>
      </c>
      <c r="M446" s="4" t="str">
        <f t="shared" si="94"/>
        <v>Type2 Ac</v>
      </c>
      <c r="N446" s="4" t="str">
        <f t="shared" si="95"/>
        <v>Type2 Ac</v>
      </c>
      <c r="O446" s="4" t="str">
        <f t="shared" si="96"/>
        <v>Active</v>
      </c>
      <c r="P446" s="4" t="str">
        <f t="shared" si="97"/>
        <v>Active</v>
      </c>
      <c r="Q446" s="4" t="str">
        <f t="shared" si="98"/>
        <v>Pune</v>
      </c>
      <c r="R446" s="4" t="b">
        <f t="shared" si="99"/>
        <v>1</v>
      </c>
      <c r="S446" s="5" t="str">
        <f t="shared" si="100"/>
        <v>45740</v>
      </c>
      <c r="T446" s="4" t="str">
        <f t="shared" si="101"/>
        <v>Government</v>
      </c>
      <c r="U446" s="4" t="str">
        <f t="shared" si="102"/>
        <v>Slow</v>
      </c>
      <c r="V446" s="4">
        <f t="shared" si="103"/>
        <v>2025</v>
      </c>
      <c r="W446" s="4" t="str">
        <f t="shared" si="104"/>
        <v>Germany</v>
      </c>
    </row>
    <row r="447" spans="1:23" x14ac:dyDescent="0.25">
      <c r="A447" t="s">
        <v>686</v>
      </c>
      <c r="B447" t="s">
        <v>23</v>
      </c>
      <c r="C447" t="s">
        <v>63</v>
      </c>
      <c r="D447" t="s">
        <v>56</v>
      </c>
      <c r="E447" t="s">
        <v>24</v>
      </c>
      <c r="F447" s="1">
        <v>46145</v>
      </c>
      <c r="G447">
        <v>2349.4899999999998</v>
      </c>
      <c r="H447">
        <v>20016.09</v>
      </c>
      <c r="I447" t="str">
        <f t="shared" si="90"/>
        <v>Ahemdabad</v>
      </c>
      <c r="J447" t="str">
        <f t="shared" si="91"/>
        <v>Ahemdabad</v>
      </c>
      <c r="K447" t="str">
        <f t="shared" si="92"/>
        <v>Tata Power</v>
      </c>
      <c r="L447" s="4" t="str">
        <f t="shared" si="93"/>
        <v>Tata Power</v>
      </c>
      <c r="M447" s="4" t="str">
        <f t="shared" si="94"/>
        <v>Ccs2</v>
      </c>
      <c r="N447" s="4" t="str">
        <f t="shared" si="95"/>
        <v>Ccs2</v>
      </c>
      <c r="O447" s="4" t="str">
        <f t="shared" si="96"/>
        <v>Active</v>
      </c>
      <c r="P447" s="4" t="str">
        <f t="shared" si="97"/>
        <v>Active</v>
      </c>
      <c r="Q447" s="4" t="str">
        <f t="shared" si="98"/>
        <v>Ahemdabad</v>
      </c>
      <c r="R447" s="4" t="b">
        <f t="shared" si="99"/>
        <v>1</v>
      </c>
      <c r="S447" s="5" t="str">
        <f t="shared" si="100"/>
        <v>46145</v>
      </c>
      <c r="T447" s="4" t="str">
        <f t="shared" si="101"/>
        <v>Government</v>
      </c>
      <c r="U447" s="4" t="str">
        <f t="shared" si="102"/>
        <v>Ultra Fast</v>
      </c>
      <c r="V447" s="4">
        <f t="shared" si="103"/>
        <v>2026</v>
      </c>
      <c r="W447" s="4" t="str">
        <f t="shared" si="104"/>
        <v>Europe</v>
      </c>
    </row>
    <row r="448" spans="1:23" x14ac:dyDescent="0.25">
      <c r="A448" t="s">
        <v>687</v>
      </c>
      <c r="B448" t="s">
        <v>23</v>
      </c>
      <c r="C448" t="s">
        <v>14</v>
      </c>
      <c r="D448" t="s">
        <v>48</v>
      </c>
      <c r="E448" t="s">
        <v>24</v>
      </c>
      <c r="F448" s="1">
        <v>45848</v>
      </c>
      <c r="G448">
        <v>5233.92</v>
      </c>
      <c r="H448">
        <v>58788.42</v>
      </c>
      <c r="I448" t="str">
        <f t="shared" si="90"/>
        <v>Ahemdabad</v>
      </c>
      <c r="J448" t="str">
        <f t="shared" si="91"/>
        <v>Ahemdabad</v>
      </c>
      <c r="K448" t="str">
        <f t="shared" si="92"/>
        <v>Charge Point</v>
      </c>
      <c r="L448" s="4" t="str">
        <f t="shared" si="93"/>
        <v>Charge Point</v>
      </c>
      <c r="M448" s="4" t="str">
        <f t="shared" si="94"/>
        <v>Bharat Dc-001</v>
      </c>
      <c r="N448" s="4" t="str">
        <f t="shared" si="95"/>
        <v>Bharat Dc-001</v>
      </c>
      <c r="O448" s="4" t="str">
        <f t="shared" si="96"/>
        <v>Active</v>
      </c>
      <c r="P448" s="4" t="str">
        <f t="shared" si="97"/>
        <v>Active</v>
      </c>
      <c r="Q448" s="4" t="str">
        <f t="shared" si="98"/>
        <v>Ahemdabad</v>
      </c>
      <c r="R448" s="4" t="b">
        <f t="shared" si="99"/>
        <v>1</v>
      </c>
      <c r="S448" s="5" t="str">
        <f t="shared" si="100"/>
        <v>45848</v>
      </c>
      <c r="T448" s="4" t="str">
        <f t="shared" si="101"/>
        <v>Private</v>
      </c>
      <c r="U448" s="4" t="str">
        <f t="shared" si="102"/>
        <v>fast</v>
      </c>
      <c r="V448" s="4">
        <f t="shared" si="103"/>
        <v>2025</v>
      </c>
      <c r="W448" s="4" t="str">
        <f t="shared" si="104"/>
        <v>India</v>
      </c>
    </row>
    <row r="449" spans="1:23" x14ac:dyDescent="0.25">
      <c r="A449" t="s">
        <v>688</v>
      </c>
      <c r="B449" t="s">
        <v>772</v>
      </c>
      <c r="C449" t="s">
        <v>764</v>
      </c>
      <c r="D449" t="s">
        <v>26</v>
      </c>
      <c r="E449" t="s">
        <v>24</v>
      </c>
      <c r="F449" s="1">
        <v>46012</v>
      </c>
      <c r="G449">
        <v>6197.89</v>
      </c>
      <c r="H449">
        <v>51214.720000000001</v>
      </c>
      <c r="I449" t="str">
        <f t="shared" si="90"/>
        <v xml:space="preserve">Pune </v>
      </c>
      <c r="J449" t="str">
        <f t="shared" si="91"/>
        <v>Pune</v>
      </c>
      <c r="K449" t="str">
        <f t="shared" si="92"/>
        <v>Bpcl</v>
      </c>
      <c r="L449" s="4" t="str">
        <f t="shared" si="93"/>
        <v>Bpcl</v>
      </c>
      <c r="M449" s="4" t="str">
        <f t="shared" si="94"/>
        <v>Chademo</v>
      </c>
      <c r="N449" s="4" t="str">
        <f t="shared" si="95"/>
        <v>Chademo</v>
      </c>
      <c r="O449" s="4" t="str">
        <f t="shared" si="96"/>
        <v>Active</v>
      </c>
      <c r="P449" s="4" t="str">
        <f t="shared" si="97"/>
        <v>Active</v>
      </c>
      <c r="Q449" s="4" t="str">
        <f t="shared" si="98"/>
        <v xml:space="preserve">Pune </v>
      </c>
      <c r="R449" s="4" t="b">
        <f t="shared" si="99"/>
        <v>1</v>
      </c>
      <c r="S449" s="5" t="str">
        <f t="shared" si="100"/>
        <v>46012</v>
      </c>
      <c r="T449" s="4" t="str">
        <f t="shared" si="101"/>
        <v>Government</v>
      </c>
      <c r="U449" s="4" t="str">
        <f t="shared" si="102"/>
        <v>fast</v>
      </c>
      <c r="V449" s="4">
        <f t="shared" si="103"/>
        <v>2025</v>
      </c>
      <c r="W449" s="4" t="str">
        <f t="shared" si="104"/>
        <v>Japan</v>
      </c>
    </row>
    <row r="450" spans="1:23" x14ac:dyDescent="0.25">
      <c r="A450" t="s">
        <v>690</v>
      </c>
      <c r="B450" t="s">
        <v>13</v>
      </c>
      <c r="C450" t="s">
        <v>63</v>
      </c>
      <c r="D450" t="s">
        <v>26</v>
      </c>
      <c r="E450" t="s">
        <v>31</v>
      </c>
      <c r="F450" s="1">
        <v>45601</v>
      </c>
      <c r="G450">
        <v>2021.49</v>
      </c>
      <c r="H450">
        <v>21389.72</v>
      </c>
      <c r="I450" t="str">
        <f t="shared" ref="I450:I501" si="105">PROPER(B450)</f>
        <v>Bengaluru</v>
      </c>
      <c r="J450" t="str">
        <f t="shared" ref="J450:J501" si="106">TRIM(I450)</f>
        <v>Bengaluru</v>
      </c>
      <c r="K450" t="str">
        <f t="shared" ref="K450:K501" si="107">PROPER(C450)</f>
        <v>Tata Power</v>
      </c>
      <c r="L450" s="4" t="str">
        <f t="shared" ref="L450:L501" si="108">TRIM(K450)</f>
        <v>Tata Power</v>
      </c>
      <c r="M450" s="4" t="str">
        <f t="shared" ref="M450:M501" si="109">PROPER(D450)</f>
        <v>Chademo</v>
      </c>
      <c r="N450" s="4" t="str">
        <f t="shared" ref="N450:N501" si="110">TRIM(M450)</f>
        <v>Chademo</v>
      </c>
      <c r="O450" s="4" t="str">
        <f t="shared" ref="O450:O501" si="111">PROPER(E450)</f>
        <v>Maintenance</v>
      </c>
      <c r="P450" s="4" t="str">
        <f t="shared" ref="P450:P501" si="112">TRIM(O450)</f>
        <v>Maintenance</v>
      </c>
      <c r="Q450" s="4" t="str">
        <f t="shared" ref="Q450:Q501" si="113">IF(TRIM(I449)=" ","Mumbai",I450)</f>
        <v>Bengaluru</v>
      </c>
      <c r="R450" s="4" t="b">
        <f t="shared" ref="R450:R501" si="114">ISNUMBER(F450)</f>
        <v>1</v>
      </c>
      <c r="S450" s="5" t="str">
        <f t="shared" ref="S450:S501" si="115">TRIM(F450)</f>
        <v>45601</v>
      </c>
      <c r="T450" s="4" t="str">
        <f t="shared" ref="T450:T501" si="116">IF(L450="Tata Power","Government",IF(L450="Bpcl","Government","Private"))</f>
        <v>Government</v>
      </c>
      <c r="U450" s="4" t="str">
        <f t="shared" ref="U450:U501" si="117">IF(N450="Type2 Ac","Slow",IF(N450="Ccs2","Ultra Fast","fast"))</f>
        <v>fast</v>
      </c>
      <c r="V450" s="4">
        <f t="shared" ref="V450:V501" si="118">YEAR(F450)</f>
        <v>2024</v>
      </c>
      <c r="W450" s="4" t="str">
        <f t="shared" ref="W450:W501" si="119">IF(N450="Type2 Ac","Germany",IF(N450="Chademo","Japan",IF(N450="Ccs2","Europe","India")))</f>
        <v>Japan</v>
      </c>
    </row>
    <row r="451" spans="1:23" x14ac:dyDescent="0.25">
      <c r="A451" t="s">
        <v>691</v>
      </c>
      <c r="B451" t="s">
        <v>40</v>
      </c>
      <c r="D451" t="s">
        <v>26</v>
      </c>
      <c r="E451" t="s">
        <v>54</v>
      </c>
      <c r="F451" s="1">
        <v>45918</v>
      </c>
      <c r="G451">
        <v>200.23</v>
      </c>
      <c r="H451">
        <v>2004.21</v>
      </c>
      <c r="I451" t="str">
        <f t="shared" si="105"/>
        <v>Mumbai</v>
      </c>
      <c r="J451" t="str">
        <f t="shared" si="106"/>
        <v>Mumbai</v>
      </c>
      <c r="K451" t="str">
        <f t="shared" si="107"/>
        <v/>
      </c>
      <c r="L451" s="4" t="str">
        <f t="shared" si="108"/>
        <v/>
      </c>
      <c r="M451" s="4" t="str">
        <f t="shared" si="109"/>
        <v>Chademo</v>
      </c>
      <c r="N451" s="4" t="str">
        <f t="shared" si="110"/>
        <v>Chademo</v>
      </c>
      <c r="O451" s="4" t="str">
        <f t="shared" si="111"/>
        <v>Inactive</v>
      </c>
      <c r="P451" s="4" t="str">
        <f t="shared" si="112"/>
        <v>Inactive</v>
      </c>
      <c r="Q451" s="4" t="str">
        <f t="shared" si="113"/>
        <v>Mumbai</v>
      </c>
      <c r="R451" s="4" t="b">
        <f t="shared" si="114"/>
        <v>1</v>
      </c>
      <c r="S451" s="5" t="str">
        <f t="shared" si="115"/>
        <v>45918</v>
      </c>
      <c r="T451" s="4" t="str">
        <f t="shared" si="116"/>
        <v>Private</v>
      </c>
      <c r="U451" s="4" t="str">
        <f t="shared" si="117"/>
        <v>fast</v>
      </c>
      <c r="V451" s="4">
        <f t="shared" si="118"/>
        <v>2025</v>
      </c>
      <c r="W451" s="4" t="str">
        <f t="shared" si="119"/>
        <v>Japan</v>
      </c>
    </row>
    <row r="452" spans="1:23" x14ac:dyDescent="0.25">
      <c r="A452" t="s">
        <v>693</v>
      </c>
      <c r="B452" t="s">
        <v>771</v>
      </c>
      <c r="C452" t="s">
        <v>770</v>
      </c>
      <c r="D452" t="s">
        <v>56</v>
      </c>
      <c r="E452" t="s">
        <v>24</v>
      </c>
      <c r="F452" s="1">
        <v>46118</v>
      </c>
      <c r="G452">
        <v>9245.75</v>
      </c>
      <c r="H452">
        <v>115688.98</v>
      </c>
      <c r="I452" t="str">
        <f t="shared" si="105"/>
        <v>Pune</v>
      </c>
      <c r="J452" t="str">
        <f t="shared" si="106"/>
        <v>Pune</v>
      </c>
      <c r="K452" t="str">
        <f t="shared" si="107"/>
        <v>Ather Grid</v>
      </c>
      <c r="L452" s="4" t="str">
        <f t="shared" si="108"/>
        <v>Ather Grid</v>
      </c>
      <c r="M452" s="4" t="str">
        <f t="shared" si="109"/>
        <v>Ccs2</v>
      </c>
      <c r="N452" s="4" t="str">
        <f t="shared" si="110"/>
        <v>Ccs2</v>
      </c>
      <c r="O452" s="4" t="str">
        <f t="shared" si="111"/>
        <v>Active</v>
      </c>
      <c r="P452" s="4" t="str">
        <f t="shared" si="112"/>
        <v>Active</v>
      </c>
      <c r="Q452" s="4" t="str">
        <f t="shared" si="113"/>
        <v>Pune</v>
      </c>
      <c r="R452" s="4" t="b">
        <f t="shared" si="114"/>
        <v>1</v>
      </c>
      <c r="S452" s="5" t="str">
        <f t="shared" si="115"/>
        <v>46118</v>
      </c>
      <c r="T452" s="4" t="str">
        <f t="shared" si="116"/>
        <v>Private</v>
      </c>
      <c r="U452" s="4" t="str">
        <f t="shared" si="117"/>
        <v>Ultra Fast</v>
      </c>
      <c r="V452" s="4">
        <f t="shared" si="118"/>
        <v>2026</v>
      </c>
      <c r="W452" s="4" t="str">
        <f t="shared" si="119"/>
        <v>Europe</v>
      </c>
    </row>
    <row r="453" spans="1:23" x14ac:dyDescent="0.25">
      <c r="A453" t="s">
        <v>694</v>
      </c>
      <c r="B453" t="s">
        <v>35</v>
      </c>
      <c r="C453" t="s">
        <v>14</v>
      </c>
      <c r="D453" t="s">
        <v>48</v>
      </c>
      <c r="E453" t="s">
        <v>763</v>
      </c>
      <c r="F453" s="1">
        <v>45961</v>
      </c>
      <c r="G453">
        <v>922.02</v>
      </c>
      <c r="H453">
        <v>13684.23</v>
      </c>
      <c r="I453" t="str">
        <f t="shared" si="105"/>
        <v>Chennai</v>
      </c>
      <c r="J453" t="str">
        <f t="shared" si="106"/>
        <v>Chennai</v>
      </c>
      <c r="K453" t="str">
        <f t="shared" si="107"/>
        <v>Charge Point</v>
      </c>
      <c r="L453" s="4" t="str">
        <f t="shared" si="108"/>
        <v>Charge Point</v>
      </c>
      <c r="M453" s="4" t="str">
        <f t="shared" si="109"/>
        <v>Bharat Dc-001</v>
      </c>
      <c r="N453" s="4" t="str">
        <f t="shared" si="110"/>
        <v>Bharat Dc-001</v>
      </c>
      <c r="O453" s="4" t="str">
        <f t="shared" si="111"/>
        <v>Active</v>
      </c>
      <c r="P453" s="4" t="str">
        <f t="shared" si="112"/>
        <v>Active</v>
      </c>
      <c r="Q453" s="4" t="str">
        <f t="shared" si="113"/>
        <v>Chennai</v>
      </c>
      <c r="R453" s="4" t="b">
        <f t="shared" si="114"/>
        <v>1</v>
      </c>
      <c r="S453" s="5" t="str">
        <f t="shared" si="115"/>
        <v>45961</v>
      </c>
      <c r="T453" s="4" t="str">
        <f t="shared" si="116"/>
        <v>Private</v>
      </c>
      <c r="U453" s="4" t="str">
        <f t="shared" si="117"/>
        <v>fast</v>
      </c>
      <c r="V453" s="4">
        <f t="shared" si="118"/>
        <v>2025</v>
      </c>
      <c r="W453" s="4" t="str">
        <f t="shared" si="119"/>
        <v>India</v>
      </c>
    </row>
    <row r="454" spans="1:23" x14ac:dyDescent="0.25">
      <c r="A454" t="s">
        <v>695</v>
      </c>
      <c r="B454" t="s">
        <v>13</v>
      </c>
      <c r="C454" t="s">
        <v>63</v>
      </c>
      <c r="D454" t="s">
        <v>48</v>
      </c>
      <c r="E454" t="s">
        <v>24</v>
      </c>
      <c r="F454" s="1">
        <v>45833</v>
      </c>
      <c r="G454">
        <v>1512.69</v>
      </c>
      <c r="H454">
        <v>13057.65</v>
      </c>
      <c r="I454" t="str">
        <f t="shared" si="105"/>
        <v>Bengaluru</v>
      </c>
      <c r="J454" t="str">
        <f t="shared" si="106"/>
        <v>Bengaluru</v>
      </c>
      <c r="K454" t="str">
        <f t="shared" si="107"/>
        <v>Tata Power</v>
      </c>
      <c r="L454" s="4" t="str">
        <f t="shared" si="108"/>
        <v>Tata Power</v>
      </c>
      <c r="M454" s="4" t="str">
        <f t="shared" si="109"/>
        <v>Bharat Dc-001</v>
      </c>
      <c r="N454" s="4" t="str">
        <f t="shared" si="110"/>
        <v>Bharat Dc-001</v>
      </c>
      <c r="O454" s="4" t="str">
        <f t="shared" si="111"/>
        <v>Active</v>
      </c>
      <c r="P454" s="4" t="str">
        <f t="shared" si="112"/>
        <v>Active</v>
      </c>
      <c r="Q454" s="4" t="str">
        <f t="shared" si="113"/>
        <v>Bengaluru</v>
      </c>
      <c r="R454" s="4" t="b">
        <f t="shared" si="114"/>
        <v>1</v>
      </c>
      <c r="S454" s="5" t="str">
        <f t="shared" si="115"/>
        <v>45833</v>
      </c>
      <c r="T454" s="4" t="str">
        <f t="shared" si="116"/>
        <v>Government</v>
      </c>
      <c r="U454" s="4" t="str">
        <f t="shared" si="117"/>
        <v>fast</v>
      </c>
      <c r="V454" s="4">
        <f t="shared" si="118"/>
        <v>2025</v>
      </c>
      <c r="W454" s="4" t="str">
        <f t="shared" si="119"/>
        <v>India</v>
      </c>
    </row>
    <row r="455" spans="1:23" x14ac:dyDescent="0.25">
      <c r="A455" t="s">
        <v>696</v>
      </c>
      <c r="B455" t="s">
        <v>46</v>
      </c>
      <c r="C455" t="s">
        <v>95</v>
      </c>
      <c r="D455" t="s">
        <v>56</v>
      </c>
      <c r="E455" t="s">
        <v>24</v>
      </c>
      <c r="F455" s="1">
        <v>45300</v>
      </c>
      <c r="G455">
        <v>3402.59</v>
      </c>
      <c r="H455">
        <v>41370.589999999997</v>
      </c>
      <c r="I455" t="str">
        <f t="shared" si="105"/>
        <v>Kolkata</v>
      </c>
      <c r="J455" t="str">
        <f t="shared" si="106"/>
        <v>Kolkata</v>
      </c>
      <c r="K455" t="str">
        <f t="shared" si="107"/>
        <v>Bharat Petroleum</v>
      </c>
      <c r="L455" s="4" t="str">
        <f t="shared" si="108"/>
        <v>Bharat Petroleum</v>
      </c>
      <c r="M455" s="4" t="str">
        <f t="shared" si="109"/>
        <v>Ccs2</v>
      </c>
      <c r="N455" s="4" t="str">
        <f t="shared" si="110"/>
        <v>Ccs2</v>
      </c>
      <c r="O455" s="4" t="str">
        <f t="shared" si="111"/>
        <v>Active</v>
      </c>
      <c r="P455" s="4" t="str">
        <f t="shared" si="112"/>
        <v>Active</v>
      </c>
      <c r="Q455" s="4" t="str">
        <f t="shared" si="113"/>
        <v>Kolkata</v>
      </c>
      <c r="R455" s="4" t="b">
        <f t="shared" si="114"/>
        <v>1</v>
      </c>
      <c r="S455" s="5" t="str">
        <f t="shared" si="115"/>
        <v>45300</v>
      </c>
      <c r="T455" s="4" t="str">
        <f t="shared" si="116"/>
        <v>Private</v>
      </c>
      <c r="U455" s="4" t="str">
        <f t="shared" si="117"/>
        <v>Ultra Fast</v>
      </c>
      <c r="V455" s="4">
        <f t="shared" si="118"/>
        <v>2024</v>
      </c>
      <c r="W455" s="4" t="str">
        <f t="shared" si="119"/>
        <v>Europe</v>
      </c>
    </row>
    <row r="456" spans="1:23" x14ac:dyDescent="0.25">
      <c r="A456" t="s">
        <v>697</v>
      </c>
      <c r="B456" t="s">
        <v>40</v>
      </c>
      <c r="C456" t="s">
        <v>41</v>
      </c>
      <c r="D456" t="s">
        <v>48</v>
      </c>
      <c r="E456" t="s">
        <v>54</v>
      </c>
      <c r="F456" s="1">
        <v>45975</v>
      </c>
      <c r="G456">
        <v>57.96</v>
      </c>
      <c r="H456">
        <v>619.66999999999996</v>
      </c>
      <c r="I456" t="str">
        <f t="shared" si="105"/>
        <v>Mumbai</v>
      </c>
      <c r="J456" t="str">
        <f t="shared" si="106"/>
        <v>Mumbai</v>
      </c>
      <c r="K456" t="str">
        <f t="shared" si="107"/>
        <v>Ather Grid</v>
      </c>
      <c r="L456" s="4" t="str">
        <f t="shared" si="108"/>
        <v>Ather Grid</v>
      </c>
      <c r="M456" s="4" t="str">
        <f t="shared" si="109"/>
        <v>Bharat Dc-001</v>
      </c>
      <c r="N456" s="4" t="str">
        <f t="shared" si="110"/>
        <v>Bharat Dc-001</v>
      </c>
      <c r="O456" s="4" t="str">
        <f t="shared" si="111"/>
        <v>Inactive</v>
      </c>
      <c r="P456" s="4" t="str">
        <f t="shared" si="112"/>
        <v>Inactive</v>
      </c>
      <c r="Q456" s="4" t="str">
        <f t="shared" si="113"/>
        <v>Mumbai</v>
      </c>
      <c r="R456" s="4" t="b">
        <f t="shared" si="114"/>
        <v>1</v>
      </c>
      <c r="S456" s="5" t="str">
        <f t="shared" si="115"/>
        <v>45975</v>
      </c>
      <c r="T456" s="4" t="str">
        <f t="shared" si="116"/>
        <v>Private</v>
      </c>
      <c r="U456" s="4" t="str">
        <f t="shared" si="117"/>
        <v>fast</v>
      </c>
      <c r="V456" s="4">
        <f t="shared" si="118"/>
        <v>2025</v>
      </c>
      <c r="W456" s="4" t="str">
        <f t="shared" si="119"/>
        <v>India</v>
      </c>
    </row>
    <row r="457" spans="1:23" x14ac:dyDescent="0.25">
      <c r="A457" t="s">
        <v>699</v>
      </c>
      <c r="B457" t="s">
        <v>13</v>
      </c>
      <c r="C457" t="s">
        <v>14</v>
      </c>
      <c r="D457" t="s">
        <v>56</v>
      </c>
      <c r="E457" t="s">
        <v>24</v>
      </c>
      <c r="F457" s="1">
        <v>46128</v>
      </c>
      <c r="G457">
        <v>9384.2999999999993</v>
      </c>
      <c r="H457">
        <v>113196.3</v>
      </c>
      <c r="I457" t="str">
        <f t="shared" si="105"/>
        <v>Bengaluru</v>
      </c>
      <c r="J457" t="str">
        <f t="shared" si="106"/>
        <v>Bengaluru</v>
      </c>
      <c r="K457" t="str">
        <f t="shared" si="107"/>
        <v>Charge Point</v>
      </c>
      <c r="L457" s="4" t="str">
        <f t="shared" si="108"/>
        <v>Charge Point</v>
      </c>
      <c r="M457" s="4" t="str">
        <f t="shared" si="109"/>
        <v>Ccs2</v>
      </c>
      <c r="N457" s="4" t="str">
        <f t="shared" si="110"/>
        <v>Ccs2</v>
      </c>
      <c r="O457" s="4" t="str">
        <f t="shared" si="111"/>
        <v>Active</v>
      </c>
      <c r="P457" s="4" t="str">
        <f t="shared" si="112"/>
        <v>Active</v>
      </c>
      <c r="Q457" s="4" t="str">
        <f t="shared" si="113"/>
        <v>Bengaluru</v>
      </c>
      <c r="R457" s="4" t="b">
        <f t="shared" si="114"/>
        <v>1</v>
      </c>
      <c r="S457" s="5" t="str">
        <f t="shared" si="115"/>
        <v>46128</v>
      </c>
      <c r="T457" s="4" t="str">
        <f t="shared" si="116"/>
        <v>Private</v>
      </c>
      <c r="U457" s="4" t="str">
        <f t="shared" si="117"/>
        <v>Ultra Fast</v>
      </c>
      <c r="V457" s="4">
        <f t="shared" si="118"/>
        <v>2026</v>
      </c>
      <c r="W457" s="4" t="str">
        <f t="shared" si="119"/>
        <v>Europe</v>
      </c>
    </row>
    <row r="458" spans="1:23" x14ac:dyDescent="0.25">
      <c r="A458" t="s">
        <v>701</v>
      </c>
      <c r="B458" t="s">
        <v>40</v>
      </c>
      <c r="C458" t="s">
        <v>36</v>
      </c>
      <c r="D458" t="s">
        <v>56</v>
      </c>
      <c r="E458" t="s">
        <v>24</v>
      </c>
      <c r="F458" s="1">
        <v>45859</v>
      </c>
      <c r="G458">
        <v>10446.469999999999</v>
      </c>
      <c r="H458">
        <v>153350.21</v>
      </c>
      <c r="I458" t="str">
        <f t="shared" si="105"/>
        <v>Mumbai</v>
      </c>
      <c r="J458" t="str">
        <f t="shared" si="106"/>
        <v>Mumbai</v>
      </c>
      <c r="K458" t="str">
        <f t="shared" si="107"/>
        <v>Zeon Charging</v>
      </c>
      <c r="L458" s="4" t="str">
        <f t="shared" si="108"/>
        <v>Zeon Charging</v>
      </c>
      <c r="M458" s="4" t="str">
        <f t="shared" si="109"/>
        <v>Ccs2</v>
      </c>
      <c r="N458" s="4" t="str">
        <f t="shared" si="110"/>
        <v>Ccs2</v>
      </c>
      <c r="O458" s="4" t="str">
        <f t="shared" si="111"/>
        <v>Active</v>
      </c>
      <c r="P458" s="4" t="str">
        <f t="shared" si="112"/>
        <v>Active</v>
      </c>
      <c r="Q458" s="4" t="str">
        <f t="shared" si="113"/>
        <v>Mumbai</v>
      </c>
      <c r="R458" s="4" t="b">
        <f t="shared" si="114"/>
        <v>1</v>
      </c>
      <c r="S458" s="5" t="str">
        <f t="shared" si="115"/>
        <v>45859</v>
      </c>
      <c r="T458" s="4" t="str">
        <f t="shared" si="116"/>
        <v>Private</v>
      </c>
      <c r="U458" s="4" t="str">
        <f t="shared" si="117"/>
        <v>Ultra Fast</v>
      </c>
      <c r="V458" s="4">
        <f t="shared" si="118"/>
        <v>2025</v>
      </c>
      <c r="W458" s="4" t="str">
        <f t="shared" si="119"/>
        <v>Europe</v>
      </c>
    </row>
    <row r="459" spans="1:23" x14ac:dyDescent="0.25">
      <c r="A459" t="s">
        <v>702</v>
      </c>
      <c r="B459" t="s">
        <v>13</v>
      </c>
      <c r="C459" t="s">
        <v>764</v>
      </c>
      <c r="D459" t="s">
        <v>56</v>
      </c>
      <c r="E459" t="s">
        <v>24</v>
      </c>
      <c r="F459" s="1">
        <v>45598</v>
      </c>
      <c r="G459">
        <v>9986.66</v>
      </c>
      <c r="H459">
        <v>131548.75</v>
      </c>
      <c r="I459" t="str">
        <f t="shared" si="105"/>
        <v>Bengaluru</v>
      </c>
      <c r="J459" t="str">
        <f t="shared" si="106"/>
        <v>Bengaluru</v>
      </c>
      <c r="K459" t="str">
        <f t="shared" si="107"/>
        <v>Bpcl</v>
      </c>
      <c r="L459" s="4" t="str">
        <f t="shared" si="108"/>
        <v>Bpcl</v>
      </c>
      <c r="M459" s="4" t="str">
        <f t="shared" si="109"/>
        <v>Ccs2</v>
      </c>
      <c r="N459" s="4" t="str">
        <f t="shared" si="110"/>
        <v>Ccs2</v>
      </c>
      <c r="O459" s="4" t="str">
        <f t="shared" si="111"/>
        <v>Active</v>
      </c>
      <c r="P459" s="4" t="str">
        <f t="shared" si="112"/>
        <v>Active</v>
      </c>
      <c r="Q459" s="4" t="str">
        <f t="shared" si="113"/>
        <v>Bengaluru</v>
      </c>
      <c r="R459" s="4" t="b">
        <f t="shared" si="114"/>
        <v>1</v>
      </c>
      <c r="S459" s="5" t="str">
        <f t="shared" si="115"/>
        <v>45598</v>
      </c>
      <c r="T459" s="4" t="str">
        <f t="shared" si="116"/>
        <v>Government</v>
      </c>
      <c r="U459" s="4" t="str">
        <f t="shared" si="117"/>
        <v>Ultra Fast</v>
      </c>
      <c r="V459" s="4">
        <f t="shared" si="118"/>
        <v>2024</v>
      </c>
      <c r="W459" s="4" t="str">
        <f t="shared" si="119"/>
        <v>Europe</v>
      </c>
    </row>
    <row r="460" spans="1:23" x14ac:dyDescent="0.25">
      <c r="A460" t="s">
        <v>703</v>
      </c>
      <c r="B460" t="s">
        <v>40</v>
      </c>
      <c r="C460" t="s">
        <v>63</v>
      </c>
      <c r="D460" t="s">
        <v>26</v>
      </c>
      <c r="E460" t="s">
        <v>24</v>
      </c>
      <c r="F460" s="1">
        <v>45971</v>
      </c>
      <c r="G460">
        <v>513.24</v>
      </c>
      <c r="H460">
        <v>4253.3</v>
      </c>
      <c r="I460" t="str">
        <f t="shared" si="105"/>
        <v>Mumbai</v>
      </c>
      <c r="J460" t="str">
        <f t="shared" si="106"/>
        <v>Mumbai</v>
      </c>
      <c r="K460" t="str">
        <f t="shared" si="107"/>
        <v>Tata Power</v>
      </c>
      <c r="L460" s="4" t="str">
        <f t="shared" si="108"/>
        <v>Tata Power</v>
      </c>
      <c r="M460" s="4" t="str">
        <f t="shared" si="109"/>
        <v>Chademo</v>
      </c>
      <c r="N460" s="4" t="str">
        <f t="shared" si="110"/>
        <v>Chademo</v>
      </c>
      <c r="O460" s="4" t="str">
        <f t="shared" si="111"/>
        <v>Active</v>
      </c>
      <c r="P460" s="4" t="str">
        <f t="shared" si="112"/>
        <v>Active</v>
      </c>
      <c r="Q460" s="4" t="str">
        <f t="shared" si="113"/>
        <v>Mumbai</v>
      </c>
      <c r="R460" s="4" t="b">
        <f t="shared" si="114"/>
        <v>1</v>
      </c>
      <c r="S460" s="5" t="str">
        <f t="shared" si="115"/>
        <v>45971</v>
      </c>
      <c r="T460" s="4" t="str">
        <f t="shared" si="116"/>
        <v>Government</v>
      </c>
      <c r="U460" s="4" t="str">
        <f t="shared" si="117"/>
        <v>fast</v>
      </c>
      <c r="V460" s="4">
        <f t="shared" si="118"/>
        <v>2025</v>
      </c>
      <c r="W460" s="4" t="str">
        <f t="shared" si="119"/>
        <v>Japan</v>
      </c>
    </row>
    <row r="461" spans="1:23" x14ac:dyDescent="0.25">
      <c r="A461" t="s">
        <v>704</v>
      </c>
      <c r="B461" t="s">
        <v>40</v>
      </c>
      <c r="C461" t="s">
        <v>63</v>
      </c>
      <c r="D461" t="s">
        <v>48</v>
      </c>
      <c r="E461" t="s">
        <v>24</v>
      </c>
      <c r="F461" s="1">
        <v>45398</v>
      </c>
      <c r="G461">
        <v>10497.73</v>
      </c>
      <c r="H461">
        <v>150782.57</v>
      </c>
      <c r="I461" t="str">
        <f t="shared" si="105"/>
        <v>Mumbai</v>
      </c>
      <c r="J461" t="str">
        <f t="shared" si="106"/>
        <v>Mumbai</v>
      </c>
      <c r="K461" t="str">
        <f t="shared" si="107"/>
        <v>Tata Power</v>
      </c>
      <c r="L461" s="4" t="str">
        <f t="shared" si="108"/>
        <v>Tata Power</v>
      </c>
      <c r="M461" s="4" t="str">
        <f t="shared" si="109"/>
        <v>Bharat Dc-001</v>
      </c>
      <c r="N461" s="4" t="str">
        <f t="shared" si="110"/>
        <v>Bharat Dc-001</v>
      </c>
      <c r="O461" s="4" t="str">
        <f t="shared" si="111"/>
        <v>Active</v>
      </c>
      <c r="P461" s="4" t="str">
        <f t="shared" si="112"/>
        <v>Active</v>
      </c>
      <c r="Q461" s="4" t="str">
        <f t="shared" si="113"/>
        <v>Mumbai</v>
      </c>
      <c r="R461" s="4" t="b">
        <f t="shared" si="114"/>
        <v>1</v>
      </c>
      <c r="S461" s="5" t="str">
        <f t="shared" si="115"/>
        <v>45398</v>
      </c>
      <c r="T461" s="4" t="str">
        <f t="shared" si="116"/>
        <v>Government</v>
      </c>
      <c r="U461" s="4" t="str">
        <f t="shared" si="117"/>
        <v>fast</v>
      </c>
      <c r="V461" s="4">
        <f t="shared" si="118"/>
        <v>2024</v>
      </c>
      <c r="W461" s="4" t="str">
        <f t="shared" si="119"/>
        <v>India</v>
      </c>
    </row>
    <row r="462" spans="1:23" x14ac:dyDescent="0.25">
      <c r="A462" t="s">
        <v>706</v>
      </c>
      <c r="B462" t="s">
        <v>40</v>
      </c>
      <c r="C462" t="s">
        <v>764</v>
      </c>
      <c r="D462" t="s">
        <v>56</v>
      </c>
      <c r="E462" t="s">
        <v>769</v>
      </c>
      <c r="F462" s="1">
        <v>45429</v>
      </c>
      <c r="G462">
        <v>5812.73</v>
      </c>
      <c r="H462">
        <v>69762.039999999994</v>
      </c>
      <c r="I462" t="str">
        <f t="shared" si="105"/>
        <v>Mumbai</v>
      </c>
      <c r="J462" t="str">
        <f t="shared" si="106"/>
        <v>Mumbai</v>
      </c>
      <c r="K462" t="str">
        <f t="shared" si="107"/>
        <v>Bpcl</v>
      </c>
      <c r="L462" s="4" t="str">
        <f t="shared" si="108"/>
        <v>Bpcl</v>
      </c>
      <c r="M462" s="4" t="str">
        <f t="shared" si="109"/>
        <v>Ccs2</v>
      </c>
      <c r="N462" s="4" t="str">
        <f t="shared" si="110"/>
        <v>Ccs2</v>
      </c>
      <c r="O462" s="4" t="str">
        <f t="shared" si="111"/>
        <v>Active</v>
      </c>
      <c r="P462" s="4" t="str">
        <f t="shared" si="112"/>
        <v>Active</v>
      </c>
      <c r="Q462" s="4" t="str">
        <f t="shared" si="113"/>
        <v>Mumbai</v>
      </c>
      <c r="R462" s="4" t="b">
        <f t="shared" si="114"/>
        <v>1</v>
      </c>
      <c r="S462" s="5" t="str">
        <f t="shared" si="115"/>
        <v>45429</v>
      </c>
      <c r="T462" s="4" t="str">
        <f t="shared" si="116"/>
        <v>Government</v>
      </c>
      <c r="U462" s="4" t="str">
        <f t="shared" si="117"/>
        <v>Ultra Fast</v>
      </c>
      <c r="V462" s="4">
        <f t="shared" si="118"/>
        <v>2024</v>
      </c>
      <c r="W462" s="4" t="str">
        <f t="shared" si="119"/>
        <v>Europe</v>
      </c>
    </row>
    <row r="463" spans="1:23" x14ac:dyDescent="0.25">
      <c r="A463" t="s">
        <v>708</v>
      </c>
      <c r="B463" t="s">
        <v>30</v>
      </c>
      <c r="C463" t="s">
        <v>63</v>
      </c>
      <c r="D463" t="s">
        <v>48</v>
      </c>
      <c r="E463" t="s">
        <v>15</v>
      </c>
      <c r="F463" s="1">
        <v>45562</v>
      </c>
      <c r="G463">
        <v>10.84</v>
      </c>
      <c r="I463" t="str">
        <f t="shared" si="105"/>
        <v>Hyderabad</v>
      </c>
      <c r="J463" t="str">
        <f t="shared" si="106"/>
        <v>Hyderabad</v>
      </c>
      <c r="K463" t="str">
        <f t="shared" si="107"/>
        <v>Tata Power</v>
      </c>
      <c r="L463" s="4" t="str">
        <f t="shared" si="108"/>
        <v>Tata Power</v>
      </c>
      <c r="M463" s="4" t="str">
        <f t="shared" si="109"/>
        <v>Bharat Dc-001</v>
      </c>
      <c r="N463" s="4" t="str">
        <f t="shared" si="110"/>
        <v>Bharat Dc-001</v>
      </c>
      <c r="O463" s="4" t="str">
        <f t="shared" si="111"/>
        <v>Decommissioned</v>
      </c>
      <c r="P463" s="4" t="str">
        <f t="shared" si="112"/>
        <v>Decommissioned</v>
      </c>
      <c r="Q463" s="4" t="str">
        <f t="shared" si="113"/>
        <v>Hyderabad</v>
      </c>
      <c r="R463" s="4" t="b">
        <f t="shared" si="114"/>
        <v>1</v>
      </c>
      <c r="S463" s="5" t="str">
        <f t="shared" si="115"/>
        <v>45562</v>
      </c>
      <c r="T463" s="4" t="str">
        <f t="shared" si="116"/>
        <v>Government</v>
      </c>
      <c r="U463" s="4" t="str">
        <f t="shared" si="117"/>
        <v>fast</v>
      </c>
      <c r="V463" s="4">
        <f t="shared" si="118"/>
        <v>2024</v>
      </c>
      <c r="W463" s="4" t="str">
        <f t="shared" si="119"/>
        <v>India</v>
      </c>
    </row>
    <row r="464" spans="1:23" x14ac:dyDescent="0.25">
      <c r="A464" t="s">
        <v>709</v>
      </c>
      <c r="B464" t="s">
        <v>30</v>
      </c>
      <c r="C464" t="s">
        <v>41</v>
      </c>
      <c r="D464" t="s">
        <v>26</v>
      </c>
      <c r="E464" t="s">
        <v>24</v>
      </c>
      <c r="F464" s="1">
        <v>45410</v>
      </c>
      <c r="G464">
        <v>6462.05</v>
      </c>
      <c r="H464">
        <v>79063.45</v>
      </c>
      <c r="I464" t="str">
        <f t="shared" si="105"/>
        <v>Hyderabad</v>
      </c>
      <c r="J464" t="str">
        <f t="shared" si="106"/>
        <v>Hyderabad</v>
      </c>
      <c r="K464" t="str">
        <f t="shared" si="107"/>
        <v>Ather Grid</v>
      </c>
      <c r="L464" s="4" t="str">
        <f t="shared" si="108"/>
        <v>Ather Grid</v>
      </c>
      <c r="M464" s="4" t="str">
        <f t="shared" si="109"/>
        <v>Chademo</v>
      </c>
      <c r="N464" s="4" t="str">
        <f t="shared" si="110"/>
        <v>Chademo</v>
      </c>
      <c r="O464" s="4" t="str">
        <f t="shared" si="111"/>
        <v>Active</v>
      </c>
      <c r="P464" s="4" t="str">
        <f t="shared" si="112"/>
        <v>Active</v>
      </c>
      <c r="Q464" s="4" t="str">
        <f t="shared" si="113"/>
        <v>Hyderabad</v>
      </c>
      <c r="R464" s="4" t="b">
        <f t="shared" si="114"/>
        <v>1</v>
      </c>
      <c r="S464" s="5" t="str">
        <f t="shared" si="115"/>
        <v>45410</v>
      </c>
      <c r="T464" s="4" t="str">
        <f t="shared" si="116"/>
        <v>Private</v>
      </c>
      <c r="U464" s="4" t="str">
        <f t="shared" si="117"/>
        <v>fast</v>
      </c>
      <c r="V464" s="4">
        <f t="shared" si="118"/>
        <v>2024</v>
      </c>
      <c r="W464" s="4" t="str">
        <f t="shared" si="119"/>
        <v>Japan</v>
      </c>
    </row>
    <row r="465" spans="1:23" x14ac:dyDescent="0.25">
      <c r="A465" t="s">
        <v>711</v>
      </c>
      <c r="B465" t="s">
        <v>35</v>
      </c>
      <c r="C465" t="s">
        <v>14</v>
      </c>
      <c r="D465" t="s">
        <v>56</v>
      </c>
      <c r="E465" t="s">
        <v>763</v>
      </c>
      <c r="F465" s="1">
        <v>45401</v>
      </c>
      <c r="G465">
        <v>7660.29</v>
      </c>
      <c r="H465">
        <v>88166.65</v>
      </c>
      <c r="I465" t="str">
        <f t="shared" si="105"/>
        <v>Chennai</v>
      </c>
      <c r="J465" t="str">
        <f t="shared" si="106"/>
        <v>Chennai</v>
      </c>
      <c r="K465" t="str">
        <f t="shared" si="107"/>
        <v>Charge Point</v>
      </c>
      <c r="L465" s="4" t="str">
        <f t="shared" si="108"/>
        <v>Charge Point</v>
      </c>
      <c r="M465" s="4" t="str">
        <f t="shared" si="109"/>
        <v>Ccs2</v>
      </c>
      <c r="N465" s="4" t="str">
        <f t="shared" si="110"/>
        <v>Ccs2</v>
      </c>
      <c r="O465" s="4" t="str">
        <f t="shared" si="111"/>
        <v>Active</v>
      </c>
      <c r="P465" s="4" t="str">
        <f t="shared" si="112"/>
        <v>Active</v>
      </c>
      <c r="Q465" s="4" t="str">
        <f t="shared" si="113"/>
        <v>Chennai</v>
      </c>
      <c r="R465" s="4" t="b">
        <f t="shared" si="114"/>
        <v>1</v>
      </c>
      <c r="S465" s="5" t="str">
        <f t="shared" si="115"/>
        <v>45401</v>
      </c>
      <c r="T465" s="4" t="str">
        <f t="shared" si="116"/>
        <v>Private</v>
      </c>
      <c r="U465" s="4" t="str">
        <f t="shared" si="117"/>
        <v>Ultra Fast</v>
      </c>
      <c r="V465" s="4">
        <f t="shared" si="118"/>
        <v>2024</v>
      </c>
      <c r="W465" s="4" t="str">
        <f t="shared" si="119"/>
        <v>Europe</v>
      </c>
    </row>
    <row r="466" spans="1:23" x14ac:dyDescent="0.25">
      <c r="A466" t="s">
        <v>713</v>
      </c>
      <c r="B466" t="s">
        <v>23</v>
      </c>
      <c r="C466" t="s">
        <v>41</v>
      </c>
      <c r="D466" t="s">
        <v>17</v>
      </c>
      <c r="E466" t="s">
        <v>769</v>
      </c>
      <c r="F466" s="1"/>
      <c r="G466">
        <v>6232.67</v>
      </c>
      <c r="H466">
        <v>91645.53</v>
      </c>
      <c r="I466" t="str">
        <f t="shared" si="105"/>
        <v>Ahemdabad</v>
      </c>
      <c r="J466" t="str">
        <f t="shared" si="106"/>
        <v>Ahemdabad</v>
      </c>
      <c r="K466" t="str">
        <f t="shared" si="107"/>
        <v>Ather Grid</v>
      </c>
      <c r="L466" s="4" t="str">
        <f t="shared" si="108"/>
        <v>Ather Grid</v>
      </c>
      <c r="M466" s="4" t="str">
        <f t="shared" si="109"/>
        <v>Type2 Ac</v>
      </c>
      <c r="N466" s="4" t="str">
        <f t="shared" si="110"/>
        <v>Type2 Ac</v>
      </c>
      <c r="O466" s="4" t="str">
        <f t="shared" si="111"/>
        <v>Active</v>
      </c>
      <c r="P466" s="4" t="str">
        <f t="shared" si="112"/>
        <v>Active</v>
      </c>
      <c r="Q466" s="4" t="str">
        <f t="shared" si="113"/>
        <v>Ahemdabad</v>
      </c>
      <c r="R466" s="4" t="b">
        <f t="shared" si="114"/>
        <v>0</v>
      </c>
      <c r="S466" s="4" t="str">
        <f t="shared" si="115"/>
        <v/>
      </c>
      <c r="T466" s="4" t="str">
        <f t="shared" si="116"/>
        <v>Private</v>
      </c>
      <c r="U466" s="4" t="str">
        <f t="shared" si="117"/>
        <v>Slow</v>
      </c>
      <c r="V466" s="4">
        <f t="shared" si="118"/>
        <v>1900</v>
      </c>
      <c r="W466" s="4" t="str">
        <f t="shared" si="119"/>
        <v>Germany</v>
      </c>
    </row>
    <row r="467" spans="1:23" x14ac:dyDescent="0.25">
      <c r="A467" t="s">
        <v>714</v>
      </c>
      <c r="B467" t="s">
        <v>13</v>
      </c>
      <c r="C467" t="s">
        <v>63</v>
      </c>
      <c r="D467" t="s">
        <v>26</v>
      </c>
      <c r="E467" t="s">
        <v>24</v>
      </c>
      <c r="F467" s="1">
        <v>45858</v>
      </c>
      <c r="G467">
        <v>5583.47</v>
      </c>
      <c r="H467">
        <v>62276.14</v>
      </c>
      <c r="I467" t="str">
        <f t="shared" si="105"/>
        <v>Bengaluru</v>
      </c>
      <c r="J467" t="str">
        <f t="shared" si="106"/>
        <v>Bengaluru</v>
      </c>
      <c r="K467" t="str">
        <f t="shared" si="107"/>
        <v>Tata Power</v>
      </c>
      <c r="L467" s="4" t="str">
        <f t="shared" si="108"/>
        <v>Tata Power</v>
      </c>
      <c r="M467" s="4" t="str">
        <f t="shared" si="109"/>
        <v>Chademo</v>
      </c>
      <c r="N467" s="4" t="str">
        <f t="shared" si="110"/>
        <v>Chademo</v>
      </c>
      <c r="O467" s="4" t="str">
        <f t="shared" si="111"/>
        <v>Active</v>
      </c>
      <c r="P467" s="4" t="str">
        <f t="shared" si="112"/>
        <v>Active</v>
      </c>
      <c r="Q467" s="4" t="str">
        <f t="shared" si="113"/>
        <v>Bengaluru</v>
      </c>
      <c r="R467" s="4" t="b">
        <f t="shared" si="114"/>
        <v>1</v>
      </c>
      <c r="S467" s="5" t="str">
        <f t="shared" si="115"/>
        <v>45858</v>
      </c>
      <c r="T467" s="4" t="str">
        <f t="shared" si="116"/>
        <v>Government</v>
      </c>
      <c r="U467" s="4" t="str">
        <f t="shared" si="117"/>
        <v>fast</v>
      </c>
      <c r="V467" s="4">
        <f t="shared" si="118"/>
        <v>2025</v>
      </c>
      <c r="W467" s="4" t="str">
        <f t="shared" si="119"/>
        <v>Japan</v>
      </c>
    </row>
    <row r="468" spans="1:23" x14ac:dyDescent="0.25">
      <c r="A468" t="s">
        <v>715</v>
      </c>
      <c r="B468" t="s">
        <v>70</v>
      </c>
      <c r="C468" t="s">
        <v>36</v>
      </c>
      <c r="D468" t="s">
        <v>17</v>
      </c>
      <c r="E468" t="s">
        <v>15</v>
      </c>
      <c r="F468" s="1">
        <v>45451</v>
      </c>
      <c r="G468">
        <v>10.32</v>
      </c>
      <c r="H468">
        <v>141.13999999999999</v>
      </c>
      <c r="I468" t="str">
        <f t="shared" si="105"/>
        <v>Delhi</v>
      </c>
      <c r="J468" t="str">
        <f t="shared" si="106"/>
        <v>Delhi</v>
      </c>
      <c r="K468" t="str">
        <f t="shared" si="107"/>
        <v>Zeon Charging</v>
      </c>
      <c r="L468" s="4" t="str">
        <f t="shared" si="108"/>
        <v>Zeon Charging</v>
      </c>
      <c r="M468" s="4" t="str">
        <f t="shared" si="109"/>
        <v>Type2 Ac</v>
      </c>
      <c r="N468" s="4" t="str">
        <f t="shared" si="110"/>
        <v>Type2 Ac</v>
      </c>
      <c r="O468" s="4" t="str">
        <f t="shared" si="111"/>
        <v>Decommissioned</v>
      </c>
      <c r="P468" s="4" t="str">
        <f t="shared" si="112"/>
        <v>Decommissioned</v>
      </c>
      <c r="Q468" s="4" t="str">
        <f t="shared" si="113"/>
        <v>Delhi</v>
      </c>
      <c r="R468" s="4" t="b">
        <f t="shared" si="114"/>
        <v>1</v>
      </c>
      <c r="S468" s="5" t="str">
        <f t="shared" si="115"/>
        <v>45451</v>
      </c>
      <c r="T468" s="4" t="str">
        <f t="shared" si="116"/>
        <v>Private</v>
      </c>
      <c r="U468" s="4" t="str">
        <f t="shared" si="117"/>
        <v>Slow</v>
      </c>
      <c r="V468" s="4">
        <f t="shared" si="118"/>
        <v>2024</v>
      </c>
      <c r="W468" s="4" t="str">
        <f t="shared" si="119"/>
        <v>Germany</v>
      </c>
    </row>
    <row r="469" spans="1:23" x14ac:dyDescent="0.25">
      <c r="A469" t="s">
        <v>716</v>
      </c>
      <c r="B469" t="s">
        <v>46</v>
      </c>
      <c r="C469" t="s">
        <v>14</v>
      </c>
      <c r="D469" t="s">
        <v>48</v>
      </c>
      <c r="E469" t="s">
        <v>24</v>
      </c>
      <c r="F469" s="1">
        <v>45570</v>
      </c>
      <c r="G469">
        <v>3571.15</v>
      </c>
      <c r="H469">
        <v>49502</v>
      </c>
      <c r="I469" t="str">
        <f t="shared" si="105"/>
        <v>Kolkata</v>
      </c>
      <c r="J469" t="str">
        <f t="shared" si="106"/>
        <v>Kolkata</v>
      </c>
      <c r="K469" t="str">
        <f t="shared" si="107"/>
        <v>Charge Point</v>
      </c>
      <c r="L469" s="4" t="str">
        <f t="shared" si="108"/>
        <v>Charge Point</v>
      </c>
      <c r="M469" s="4" t="str">
        <f t="shared" si="109"/>
        <v>Bharat Dc-001</v>
      </c>
      <c r="N469" s="4" t="str">
        <f t="shared" si="110"/>
        <v>Bharat Dc-001</v>
      </c>
      <c r="O469" s="4" t="str">
        <f t="shared" si="111"/>
        <v>Active</v>
      </c>
      <c r="P469" s="4" t="str">
        <f t="shared" si="112"/>
        <v>Active</v>
      </c>
      <c r="Q469" s="4" t="str">
        <f t="shared" si="113"/>
        <v>Kolkata</v>
      </c>
      <c r="R469" s="4" t="b">
        <f t="shared" si="114"/>
        <v>1</v>
      </c>
      <c r="S469" s="5" t="str">
        <f t="shared" si="115"/>
        <v>45570</v>
      </c>
      <c r="T469" s="4" t="str">
        <f t="shared" si="116"/>
        <v>Private</v>
      </c>
      <c r="U469" s="4" t="str">
        <f t="shared" si="117"/>
        <v>fast</v>
      </c>
      <c r="V469" s="4">
        <f t="shared" si="118"/>
        <v>2024</v>
      </c>
      <c r="W469" s="4" t="str">
        <f t="shared" si="119"/>
        <v>India</v>
      </c>
    </row>
    <row r="470" spans="1:23" x14ac:dyDescent="0.25">
      <c r="A470" t="s">
        <v>717</v>
      </c>
      <c r="B470" t="s">
        <v>70</v>
      </c>
      <c r="C470" t="s">
        <v>14</v>
      </c>
      <c r="D470" t="s">
        <v>48</v>
      </c>
      <c r="E470" t="s">
        <v>54</v>
      </c>
      <c r="F470" s="1">
        <v>45580</v>
      </c>
      <c r="G470">
        <v>65.510000000000005</v>
      </c>
      <c r="H470">
        <v>974.57</v>
      </c>
      <c r="I470" t="str">
        <f t="shared" si="105"/>
        <v>Delhi</v>
      </c>
      <c r="J470" t="str">
        <f t="shared" si="106"/>
        <v>Delhi</v>
      </c>
      <c r="K470" t="str">
        <f t="shared" si="107"/>
        <v>Charge Point</v>
      </c>
      <c r="L470" s="4" t="str">
        <f t="shared" si="108"/>
        <v>Charge Point</v>
      </c>
      <c r="M470" s="4" t="str">
        <f t="shared" si="109"/>
        <v>Bharat Dc-001</v>
      </c>
      <c r="N470" s="4" t="str">
        <f t="shared" si="110"/>
        <v>Bharat Dc-001</v>
      </c>
      <c r="O470" s="4" t="str">
        <f t="shared" si="111"/>
        <v>Inactive</v>
      </c>
      <c r="P470" s="4" t="str">
        <f t="shared" si="112"/>
        <v>Inactive</v>
      </c>
      <c r="Q470" s="4" t="str">
        <f t="shared" si="113"/>
        <v>Delhi</v>
      </c>
      <c r="R470" s="4" t="b">
        <f t="shared" si="114"/>
        <v>1</v>
      </c>
      <c r="S470" s="5" t="str">
        <f t="shared" si="115"/>
        <v>45580</v>
      </c>
      <c r="T470" s="4" t="str">
        <f t="shared" si="116"/>
        <v>Private</v>
      </c>
      <c r="U470" s="4" t="str">
        <f t="shared" si="117"/>
        <v>fast</v>
      </c>
      <c r="V470" s="4">
        <f t="shared" si="118"/>
        <v>2024</v>
      </c>
      <c r="W470" s="4" t="str">
        <f t="shared" si="119"/>
        <v>India</v>
      </c>
    </row>
    <row r="471" spans="1:23" x14ac:dyDescent="0.25">
      <c r="A471" t="s">
        <v>719</v>
      </c>
      <c r="B471" t="s">
        <v>23</v>
      </c>
      <c r="C471" t="s">
        <v>764</v>
      </c>
      <c r="D471" t="s">
        <v>26</v>
      </c>
      <c r="E471" t="s">
        <v>24</v>
      </c>
      <c r="F471" s="1">
        <v>45911</v>
      </c>
      <c r="G471">
        <v>3812.34</v>
      </c>
      <c r="H471">
        <v>32749.16</v>
      </c>
      <c r="I471" t="str">
        <f t="shared" si="105"/>
        <v>Ahemdabad</v>
      </c>
      <c r="J471" t="str">
        <f t="shared" si="106"/>
        <v>Ahemdabad</v>
      </c>
      <c r="K471" t="str">
        <f t="shared" si="107"/>
        <v>Bpcl</v>
      </c>
      <c r="L471" s="4" t="str">
        <f t="shared" si="108"/>
        <v>Bpcl</v>
      </c>
      <c r="M471" s="4" t="str">
        <f t="shared" si="109"/>
        <v>Chademo</v>
      </c>
      <c r="N471" s="4" t="str">
        <f t="shared" si="110"/>
        <v>Chademo</v>
      </c>
      <c r="O471" s="4" t="str">
        <f t="shared" si="111"/>
        <v>Active</v>
      </c>
      <c r="P471" s="4" t="str">
        <f t="shared" si="112"/>
        <v>Active</v>
      </c>
      <c r="Q471" s="4" t="str">
        <f t="shared" si="113"/>
        <v>Ahemdabad</v>
      </c>
      <c r="R471" s="4" t="b">
        <f t="shared" si="114"/>
        <v>1</v>
      </c>
      <c r="S471" s="5" t="str">
        <f t="shared" si="115"/>
        <v>45911</v>
      </c>
      <c r="T471" s="4" t="str">
        <f t="shared" si="116"/>
        <v>Government</v>
      </c>
      <c r="U471" s="4" t="str">
        <f t="shared" si="117"/>
        <v>fast</v>
      </c>
      <c r="V471" s="4">
        <f t="shared" si="118"/>
        <v>2025</v>
      </c>
      <c r="W471" s="4" t="str">
        <f t="shared" si="119"/>
        <v>Japan</v>
      </c>
    </row>
    <row r="472" spans="1:23" x14ac:dyDescent="0.25">
      <c r="A472" t="s">
        <v>720</v>
      </c>
      <c r="B472" t="s">
        <v>768</v>
      </c>
      <c r="C472" t="s">
        <v>764</v>
      </c>
      <c r="D472" t="s">
        <v>48</v>
      </c>
      <c r="E472" t="s">
        <v>24</v>
      </c>
      <c r="F472" s="1">
        <v>45507</v>
      </c>
      <c r="G472">
        <v>10629.74</v>
      </c>
      <c r="H472">
        <v>133115.06</v>
      </c>
      <c r="I472" t="str">
        <f t="shared" si="105"/>
        <v xml:space="preserve">Mumbai </v>
      </c>
      <c r="J472" t="str">
        <f t="shared" si="106"/>
        <v>Mumbai</v>
      </c>
      <c r="K472" t="str">
        <f t="shared" si="107"/>
        <v>Bpcl</v>
      </c>
      <c r="L472" s="4" t="str">
        <f t="shared" si="108"/>
        <v>Bpcl</v>
      </c>
      <c r="M472" s="4" t="str">
        <f t="shared" si="109"/>
        <v>Bharat Dc-001</v>
      </c>
      <c r="N472" s="4" t="str">
        <f t="shared" si="110"/>
        <v>Bharat Dc-001</v>
      </c>
      <c r="O472" s="4" t="str">
        <f t="shared" si="111"/>
        <v>Active</v>
      </c>
      <c r="P472" s="4" t="str">
        <f t="shared" si="112"/>
        <v>Active</v>
      </c>
      <c r="Q472" s="4" t="str">
        <f t="shared" si="113"/>
        <v xml:space="preserve">Mumbai </v>
      </c>
      <c r="R472" s="4" t="b">
        <f t="shared" si="114"/>
        <v>1</v>
      </c>
      <c r="S472" s="5" t="str">
        <f t="shared" si="115"/>
        <v>45507</v>
      </c>
      <c r="T472" s="4" t="str">
        <f t="shared" si="116"/>
        <v>Government</v>
      </c>
      <c r="U472" s="4" t="str">
        <f t="shared" si="117"/>
        <v>fast</v>
      </c>
      <c r="V472" s="4">
        <f t="shared" si="118"/>
        <v>2024</v>
      </c>
      <c r="W472" s="4" t="str">
        <f t="shared" si="119"/>
        <v>India</v>
      </c>
    </row>
    <row r="473" spans="1:23" x14ac:dyDescent="0.25">
      <c r="A473" t="s">
        <v>721</v>
      </c>
      <c r="B473" t="s">
        <v>23</v>
      </c>
      <c r="C473" t="s">
        <v>36</v>
      </c>
      <c r="D473" t="s">
        <v>17</v>
      </c>
      <c r="E473" t="s">
        <v>24</v>
      </c>
      <c r="F473" s="1">
        <v>46026</v>
      </c>
      <c r="G473">
        <v>6074.19</v>
      </c>
      <c r="H473">
        <v>50257.82</v>
      </c>
      <c r="I473" t="str">
        <f t="shared" si="105"/>
        <v>Ahemdabad</v>
      </c>
      <c r="J473" t="str">
        <f t="shared" si="106"/>
        <v>Ahemdabad</v>
      </c>
      <c r="K473" t="str">
        <f t="shared" si="107"/>
        <v>Zeon Charging</v>
      </c>
      <c r="L473" s="4" t="str">
        <f t="shared" si="108"/>
        <v>Zeon Charging</v>
      </c>
      <c r="M473" s="4" t="str">
        <f t="shared" si="109"/>
        <v>Type2 Ac</v>
      </c>
      <c r="N473" s="4" t="str">
        <f t="shared" si="110"/>
        <v>Type2 Ac</v>
      </c>
      <c r="O473" s="4" t="str">
        <f t="shared" si="111"/>
        <v>Active</v>
      </c>
      <c r="P473" s="4" t="str">
        <f t="shared" si="112"/>
        <v>Active</v>
      </c>
      <c r="Q473" s="4" t="str">
        <f t="shared" si="113"/>
        <v>Ahemdabad</v>
      </c>
      <c r="R473" s="4" t="b">
        <f t="shared" si="114"/>
        <v>1</v>
      </c>
      <c r="S473" s="5" t="str">
        <f t="shared" si="115"/>
        <v>46026</v>
      </c>
      <c r="T473" s="4" t="str">
        <f t="shared" si="116"/>
        <v>Private</v>
      </c>
      <c r="U473" s="4" t="str">
        <f t="shared" si="117"/>
        <v>Slow</v>
      </c>
      <c r="V473" s="4">
        <f t="shared" si="118"/>
        <v>2026</v>
      </c>
      <c r="W473" s="4" t="str">
        <f t="shared" si="119"/>
        <v>Germany</v>
      </c>
    </row>
    <row r="474" spans="1:23" x14ac:dyDescent="0.25">
      <c r="A474" t="s">
        <v>722</v>
      </c>
      <c r="B474" t="s">
        <v>40</v>
      </c>
      <c r="C474" t="s">
        <v>14</v>
      </c>
      <c r="D474" t="s">
        <v>56</v>
      </c>
      <c r="E474" t="s">
        <v>31</v>
      </c>
      <c r="F474" s="1">
        <v>45643</v>
      </c>
      <c r="G474">
        <v>183.72</v>
      </c>
      <c r="H474">
        <v>2379.79</v>
      </c>
      <c r="I474" t="str">
        <f t="shared" si="105"/>
        <v>Mumbai</v>
      </c>
      <c r="J474" t="str">
        <f t="shared" si="106"/>
        <v>Mumbai</v>
      </c>
      <c r="K474" t="str">
        <f t="shared" si="107"/>
        <v>Charge Point</v>
      </c>
      <c r="L474" s="4" t="str">
        <f t="shared" si="108"/>
        <v>Charge Point</v>
      </c>
      <c r="M474" s="4" t="str">
        <f t="shared" si="109"/>
        <v>Ccs2</v>
      </c>
      <c r="N474" s="4" t="str">
        <f t="shared" si="110"/>
        <v>Ccs2</v>
      </c>
      <c r="O474" s="4" t="str">
        <f t="shared" si="111"/>
        <v>Maintenance</v>
      </c>
      <c r="P474" s="4" t="str">
        <f t="shared" si="112"/>
        <v>Maintenance</v>
      </c>
      <c r="Q474" s="4" t="str">
        <f t="shared" si="113"/>
        <v>Mumbai</v>
      </c>
      <c r="R474" s="4" t="b">
        <f t="shared" si="114"/>
        <v>1</v>
      </c>
      <c r="S474" s="5" t="str">
        <f t="shared" si="115"/>
        <v>45643</v>
      </c>
      <c r="T474" s="4" t="str">
        <f t="shared" si="116"/>
        <v>Private</v>
      </c>
      <c r="U474" s="4" t="str">
        <f t="shared" si="117"/>
        <v>Ultra Fast</v>
      </c>
      <c r="V474" s="4">
        <f t="shared" si="118"/>
        <v>2024</v>
      </c>
      <c r="W474" s="4" t="str">
        <f t="shared" si="119"/>
        <v>Europe</v>
      </c>
    </row>
    <row r="475" spans="1:23" x14ac:dyDescent="0.25">
      <c r="A475" t="s">
        <v>724</v>
      </c>
      <c r="B475" t="s">
        <v>767</v>
      </c>
      <c r="C475" t="s">
        <v>36</v>
      </c>
      <c r="D475" t="s">
        <v>56</v>
      </c>
      <c r="E475" t="s">
        <v>24</v>
      </c>
      <c r="F475" s="1">
        <v>45500</v>
      </c>
      <c r="G475">
        <v>7745.26</v>
      </c>
      <c r="H475">
        <v>115690.19</v>
      </c>
      <c r="I475" t="str">
        <f t="shared" si="105"/>
        <v>Kolkata</v>
      </c>
      <c r="J475" t="str">
        <f t="shared" si="106"/>
        <v>Kolkata</v>
      </c>
      <c r="K475" t="str">
        <f t="shared" si="107"/>
        <v>Zeon Charging</v>
      </c>
      <c r="L475" s="4" t="str">
        <f t="shared" si="108"/>
        <v>Zeon Charging</v>
      </c>
      <c r="M475" s="4" t="str">
        <f t="shared" si="109"/>
        <v>Ccs2</v>
      </c>
      <c r="N475" s="4" t="str">
        <f t="shared" si="110"/>
        <v>Ccs2</v>
      </c>
      <c r="O475" s="4" t="str">
        <f t="shared" si="111"/>
        <v>Active</v>
      </c>
      <c r="P475" s="4" t="str">
        <f t="shared" si="112"/>
        <v>Active</v>
      </c>
      <c r="Q475" s="4" t="str">
        <f t="shared" si="113"/>
        <v>Kolkata</v>
      </c>
      <c r="R475" s="4" t="b">
        <f t="shared" si="114"/>
        <v>1</v>
      </c>
      <c r="S475" s="5" t="str">
        <f t="shared" si="115"/>
        <v>45500</v>
      </c>
      <c r="T475" s="4" t="str">
        <f t="shared" si="116"/>
        <v>Private</v>
      </c>
      <c r="U475" s="4" t="str">
        <f t="shared" si="117"/>
        <v>Ultra Fast</v>
      </c>
      <c r="V475" s="4">
        <f t="shared" si="118"/>
        <v>2024</v>
      </c>
      <c r="W475" s="4" t="str">
        <f t="shared" si="119"/>
        <v>Europe</v>
      </c>
    </row>
    <row r="476" spans="1:23" x14ac:dyDescent="0.25">
      <c r="A476" t="s">
        <v>726</v>
      </c>
      <c r="B476" t="s">
        <v>35</v>
      </c>
      <c r="C476" t="s">
        <v>764</v>
      </c>
      <c r="D476" t="s">
        <v>56</v>
      </c>
      <c r="E476" t="s">
        <v>24</v>
      </c>
      <c r="F476" s="1">
        <v>45995</v>
      </c>
      <c r="G476">
        <v>9692.11</v>
      </c>
      <c r="H476">
        <v>113092.19</v>
      </c>
      <c r="I476" t="str">
        <f t="shared" si="105"/>
        <v>Chennai</v>
      </c>
      <c r="J476" t="str">
        <f t="shared" si="106"/>
        <v>Chennai</v>
      </c>
      <c r="K476" t="str">
        <f t="shared" si="107"/>
        <v>Bpcl</v>
      </c>
      <c r="L476" s="4" t="str">
        <f t="shared" si="108"/>
        <v>Bpcl</v>
      </c>
      <c r="M476" s="4" t="str">
        <f t="shared" si="109"/>
        <v>Ccs2</v>
      </c>
      <c r="N476" s="4" t="str">
        <f t="shared" si="110"/>
        <v>Ccs2</v>
      </c>
      <c r="O476" s="4" t="str">
        <f t="shared" si="111"/>
        <v>Active</v>
      </c>
      <c r="P476" s="4" t="str">
        <f t="shared" si="112"/>
        <v>Active</v>
      </c>
      <c r="Q476" s="4" t="str">
        <f t="shared" si="113"/>
        <v>Chennai</v>
      </c>
      <c r="R476" s="4" t="b">
        <f t="shared" si="114"/>
        <v>1</v>
      </c>
      <c r="S476" s="5" t="str">
        <f t="shared" si="115"/>
        <v>45995</v>
      </c>
      <c r="T476" s="4" t="str">
        <f t="shared" si="116"/>
        <v>Government</v>
      </c>
      <c r="U476" s="4" t="str">
        <f t="shared" si="117"/>
        <v>Ultra Fast</v>
      </c>
      <c r="V476" s="4">
        <f t="shared" si="118"/>
        <v>2025</v>
      </c>
      <c r="W476" s="4" t="str">
        <f t="shared" si="119"/>
        <v>Europe</v>
      </c>
    </row>
    <row r="477" spans="1:23" x14ac:dyDescent="0.25">
      <c r="A477" t="s">
        <v>727</v>
      </c>
      <c r="B477" t="s">
        <v>23</v>
      </c>
      <c r="C477" t="s">
        <v>764</v>
      </c>
      <c r="D477" t="s">
        <v>26</v>
      </c>
      <c r="E477" t="s">
        <v>15</v>
      </c>
      <c r="F477" s="1">
        <v>45941</v>
      </c>
      <c r="G477">
        <v>141.96</v>
      </c>
      <c r="H477">
        <v>1741.66</v>
      </c>
      <c r="I477" t="str">
        <f t="shared" si="105"/>
        <v>Ahemdabad</v>
      </c>
      <c r="J477" t="str">
        <f t="shared" si="106"/>
        <v>Ahemdabad</v>
      </c>
      <c r="K477" t="str">
        <f t="shared" si="107"/>
        <v>Bpcl</v>
      </c>
      <c r="L477" s="4" t="str">
        <f t="shared" si="108"/>
        <v>Bpcl</v>
      </c>
      <c r="M477" s="4" t="str">
        <f t="shared" si="109"/>
        <v>Chademo</v>
      </c>
      <c r="N477" s="4" t="str">
        <f t="shared" si="110"/>
        <v>Chademo</v>
      </c>
      <c r="O477" s="4" t="str">
        <f t="shared" si="111"/>
        <v>Decommissioned</v>
      </c>
      <c r="P477" s="4" t="str">
        <f t="shared" si="112"/>
        <v>Decommissioned</v>
      </c>
      <c r="Q477" s="4" t="str">
        <f t="shared" si="113"/>
        <v>Ahemdabad</v>
      </c>
      <c r="R477" s="4" t="b">
        <f t="shared" si="114"/>
        <v>1</v>
      </c>
      <c r="S477" s="5" t="str">
        <f t="shared" si="115"/>
        <v>45941</v>
      </c>
      <c r="T477" s="4" t="str">
        <f t="shared" si="116"/>
        <v>Government</v>
      </c>
      <c r="U477" s="4" t="str">
        <f t="shared" si="117"/>
        <v>fast</v>
      </c>
      <c r="V477" s="4">
        <f t="shared" si="118"/>
        <v>2025</v>
      </c>
      <c r="W477" s="4" t="str">
        <f t="shared" si="119"/>
        <v>Japan</v>
      </c>
    </row>
    <row r="478" spans="1:23" x14ac:dyDescent="0.25">
      <c r="A478" t="s">
        <v>728</v>
      </c>
      <c r="B478" t="s">
        <v>40</v>
      </c>
      <c r="C478" t="s">
        <v>14</v>
      </c>
      <c r="D478" t="s">
        <v>48</v>
      </c>
      <c r="E478" t="s">
        <v>763</v>
      </c>
      <c r="F478" s="1">
        <v>45562</v>
      </c>
      <c r="G478">
        <v>4073.63</v>
      </c>
      <c r="H478">
        <v>42965.74</v>
      </c>
      <c r="I478" t="str">
        <f t="shared" si="105"/>
        <v>Mumbai</v>
      </c>
      <c r="J478" t="str">
        <f t="shared" si="106"/>
        <v>Mumbai</v>
      </c>
      <c r="K478" t="str">
        <f t="shared" si="107"/>
        <v>Charge Point</v>
      </c>
      <c r="L478" s="4" t="str">
        <f t="shared" si="108"/>
        <v>Charge Point</v>
      </c>
      <c r="M478" s="4" t="str">
        <f t="shared" si="109"/>
        <v>Bharat Dc-001</v>
      </c>
      <c r="N478" s="4" t="str">
        <f t="shared" si="110"/>
        <v>Bharat Dc-001</v>
      </c>
      <c r="O478" s="4" t="str">
        <f t="shared" si="111"/>
        <v>Active</v>
      </c>
      <c r="P478" s="4" t="str">
        <f t="shared" si="112"/>
        <v>Active</v>
      </c>
      <c r="Q478" s="4" t="str">
        <f t="shared" si="113"/>
        <v>Mumbai</v>
      </c>
      <c r="R478" s="4" t="b">
        <f t="shared" si="114"/>
        <v>1</v>
      </c>
      <c r="S478" s="5" t="str">
        <f t="shared" si="115"/>
        <v>45562</v>
      </c>
      <c r="T478" s="4" t="str">
        <f t="shared" si="116"/>
        <v>Private</v>
      </c>
      <c r="U478" s="4" t="str">
        <f t="shared" si="117"/>
        <v>fast</v>
      </c>
      <c r="V478" s="4">
        <f t="shared" si="118"/>
        <v>2024</v>
      </c>
      <c r="W478" s="4" t="str">
        <f t="shared" si="119"/>
        <v>India</v>
      </c>
    </row>
    <row r="479" spans="1:23" x14ac:dyDescent="0.25">
      <c r="A479" t="s">
        <v>729</v>
      </c>
      <c r="B479" t="s">
        <v>35</v>
      </c>
      <c r="C479" t="s">
        <v>41</v>
      </c>
      <c r="D479" t="s">
        <v>17</v>
      </c>
      <c r="E479" t="s">
        <v>24</v>
      </c>
      <c r="F479" s="1">
        <v>45809</v>
      </c>
      <c r="I479" t="str">
        <f t="shared" si="105"/>
        <v>Chennai</v>
      </c>
      <c r="J479" t="str">
        <f t="shared" si="106"/>
        <v>Chennai</v>
      </c>
      <c r="K479" t="str">
        <f t="shared" si="107"/>
        <v>Ather Grid</v>
      </c>
      <c r="L479" s="4" t="str">
        <f t="shared" si="108"/>
        <v>Ather Grid</v>
      </c>
      <c r="M479" s="4" t="str">
        <f t="shared" si="109"/>
        <v>Type2 Ac</v>
      </c>
      <c r="N479" s="4" t="str">
        <f t="shared" si="110"/>
        <v>Type2 Ac</v>
      </c>
      <c r="O479" s="4" t="str">
        <f t="shared" si="111"/>
        <v>Active</v>
      </c>
      <c r="P479" s="4" t="str">
        <f t="shared" si="112"/>
        <v>Active</v>
      </c>
      <c r="Q479" s="4" t="str">
        <f t="shared" si="113"/>
        <v>Chennai</v>
      </c>
      <c r="R479" s="4" t="b">
        <f t="shared" si="114"/>
        <v>1</v>
      </c>
      <c r="S479" s="5" t="str">
        <f t="shared" si="115"/>
        <v>45809</v>
      </c>
      <c r="T479" s="4" t="str">
        <f t="shared" si="116"/>
        <v>Private</v>
      </c>
      <c r="U479" s="4" t="str">
        <f t="shared" si="117"/>
        <v>Slow</v>
      </c>
      <c r="V479" s="4">
        <f t="shared" si="118"/>
        <v>2025</v>
      </c>
      <c r="W479" s="4" t="str">
        <f t="shared" si="119"/>
        <v>Germany</v>
      </c>
    </row>
    <row r="480" spans="1:23" x14ac:dyDescent="0.25">
      <c r="A480" t="s">
        <v>730</v>
      </c>
      <c r="B480" t="s">
        <v>23</v>
      </c>
      <c r="C480" t="s">
        <v>63</v>
      </c>
      <c r="D480" t="s">
        <v>48</v>
      </c>
      <c r="E480" t="s">
        <v>24</v>
      </c>
      <c r="F480" s="1">
        <v>45792</v>
      </c>
      <c r="H480">
        <v>55615.09</v>
      </c>
      <c r="I480" t="str">
        <f t="shared" si="105"/>
        <v>Ahemdabad</v>
      </c>
      <c r="J480" t="str">
        <f t="shared" si="106"/>
        <v>Ahemdabad</v>
      </c>
      <c r="K480" t="str">
        <f t="shared" si="107"/>
        <v>Tata Power</v>
      </c>
      <c r="L480" s="4" t="str">
        <f t="shared" si="108"/>
        <v>Tata Power</v>
      </c>
      <c r="M480" s="4" t="str">
        <f t="shared" si="109"/>
        <v>Bharat Dc-001</v>
      </c>
      <c r="N480" s="4" t="str">
        <f t="shared" si="110"/>
        <v>Bharat Dc-001</v>
      </c>
      <c r="O480" s="4" t="str">
        <f t="shared" si="111"/>
        <v>Active</v>
      </c>
      <c r="P480" s="4" t="str">
        <f t="shared" si="112"/>
        <v>Active</v>
      </c>
      <c r="Q480" s="4" t="str">
        <f t="shared" si="113"/>
        <v>Ahemdabad</v>
      </c>
      <c r="R480" s="4" t="b">
        <f t="shared" si="114"/>
        <v>1</v>
      </c>
      <c r="S480" s="5" t="str">
        <f t="shared" si="115"/>
        <v>45792</v>
      </c>
      <c r="T480" s="4" t="str">
        <f t="shared" si="116"/>
        <v>Government</v>
      </c>
      <c r="U480" s="4" t="str">
        <f t="shared" si="117"/>
        <v>fast</v>
      </c>
      <c r="V480" s="4">
        <f t="shared" si="118"/>
        <v>2025</v>
      </c>
      <c r="W480" s="4" t="str">
        <f t="shared" si="119"/>
        <v>India</v>
      </c>
    </row>
    <row r="481" spans="1:23" x14ac:dyDescent="0.25">
      <c r="A481" t="s">
        <v>731</v>
      </c>
      <c r="B481" t="s">
        <v>35</v>
      </c>
      <c r="C481" t="s">
        <v>764</v>
      </c>
      <c r="D481" t="s">
        <v>48</v>
      </c>
      <c r="E481" t="s">
        <v>15</v>
      </c>
      <c r="F481" s="1">
        <v>45549</v>
      </c>
      <c r="G481">
        <v>44.94</v>
      </c>
      <c r="H481">
        <v>603.15</v>
      </c>
      <c r="I481" t="str">
        <f t="shared" si="105"/>
        <v>Chennai</v>
      </c>
      <c r="J481" t="str">
        <f t="shared" si="106"/>
        <v>Chennai</v>
      </c>
      <c r="K481" t="str">
        <f t="shared" si="107"/>
        <v>Bpcl</v>
      </c>
      <c r="L481" s="4" t="str">
        <f t="shared" si="108"/>
        <v>Bpcl</v>
      </c>
      <c r="M481" s="4" t="str">
        <f t="shared" si="109"/>
        <v>Bharat Dc-001</v>
      </c>
      <c r="N481" s="4" t="str">
        <f t="shared" si="110"/>
        <v>Bharat Dc-001</v>
      </c>
      <c r="O481" s="4" t="str">
        <f t="shared" si="111"/>
        <v>Decommissioned</v>
      </c>
      <c r="P481" s="4" t="str">
        <f t="shared" si="112"/>
        <v>Decommissioned</v>
      </c>
      <c r="Q481" s="4" t="str">
        <f t="shared" si="113"/>
        <v>Chennai</v>
      </c>
      <c r="R481" s="4" t="b">
        <f t="shared" si="114"/>
        <v>1</v>
      </c>
      <c r="S481" s="5" t="str">
        <f t="shared" si="115"/>
        <v>45549</v>
      </c>
      <c r="T481" s="4" t="str">
        <f t="shared" si="116"/>
        <v>Government</v>
      </c>
      <c r="U481" s="4" t="str">
        <f t="shared" si="117"/>
        <v>fast</v>
      </c>
      <c r="V481" s="4">
        <f t="shared" si="118"/>
        <v>2024</v>
      </c>
      <c r="W481" s="4" t="str">
        <f t="shared" si="119"/>
        <v>India</v>
      </c>
    </row>
    <row r="482" spans="1:23" x14ac:dyDescent="0.25">
      <c r="A482" t="s">
        <v>732</v>
      </c>
      <c r="B482" t="s">
        <v>35</v>
      </c>
      <c r="C482" t="s">
        <v>764</v>
      </c>
      <c r="D482" t="s">
        <v>48</v>
      </c>
      <c r="E482" t="s">
        <v>24</v>
      </c>
      <c r="F482" s="1">
        <v>46158</v>
      </c>
      <c r="G482">
        <v>10176.17</v>
      </c>
      <c r="H482">
        <v>129769.41</v>
      </c>
      <c r="I482" t="str">
        <f t="shared" si="105"/>
        <v>Chennai</v>
      </c>
      <c r="J482" t="str">
        <f t="shared" si="106"/>
        <v>Chennai</v>
      </c>
      <c r="K482" t="str">
        <f t="shared" si="107"/>
        <v>Bpcl</v>
      </c>
      <c r="L482" s="4" t="str">
        <f t="shared" si="108"/>
        <v>Bpcl</v>
      </c>
      <c r="M482" s="4" t="str">
        <f t="shared" si="109"/>
        <v>Bharat Dc-001</v>
      </c>
      <c r="N482" s="4" t="str">
        <f t="shared" si="110"/>
        <v>Bharat Dc-001</v>
      </c>
      <c r="O482" s="4" t="str">
        <f t="shared" si="111"/>
        <v>Active</v>
      </c>
      <c r="P482" s="4" t="str">
        <f t="shared" si="112"/>
        <v>Active</v>
      </c>
      <c r="Q482" s="4" t="str">
        <f t="shared" si="113"/>
        <v>Chennai</v>
      </c>
      <c r="R482" s="4" t="b">
        <f t="shared" si="114"/>
        <v>1</v>
      </c>
      <c r="S482" s="5" t="str">
        <f t="shared" si="115"/>
        <v>46158</v>
      </c>
      <c r="T482" s="4" t="str">
        <f t="shared" si="116"/>
        <v>Government</v>
      </c>
      <c r="U482" s="4" t="str">
        <f t="shared" si="117"/>
        <v>fast</v>
      </c>
      <c r="V482" s="4">
        <f t="shared" si="118"/>
        <v>2026</v>
      </c>
      <c r="W482" s="4" t="str">
        <f t="shared" si="119"/>
        <v>India</v>
      </c>
    </row>
    <row r="483" spans="1:23" x14ac:dyDescent="0.25">
      <c r="A483" t="s">
        <v>734</v>
      </c>
      <c r="B483" t="s">
        <v>30</v>
      </c>
      <c r="C483" t="s">
        <v>41</v>
      </c>
      <c r="D483" t="s">
        <v>56</v>
      </c>
      <c r="E483" t="s">
        <v>54</v>
      </c>
      <c r="F483" s="1">
        <v>45344</v>
      </c>
      <c r="G483">
        <v>56.73</v>
      </c>
      <c r="H483">
        <v>474.63</v>
      </c>
      <c r="I483" t="str">
        <f t="shared" si="105"/>
        <v>Hyderabad</v>
      </c>
      <c r="J483" t="str">
        <f t="shared" si="106"/>
        <v>Hyderabad</v>
      </c>
      <c r="K483" t="str">
        <f t="shared" si="107"/>
        <v>Ather Grid</v>
      </c>
      <c r="L483" s="4" t="str">
        <f t="shared" si="108"/>
        <v>Ather Grid</v>
      </c>
      <c r="M483" s="4" t="str">
        <f t="shared" si="109"/>
        <v>Ccs2</v>
      </c>
      <c r="N483" s="4" t="str">
        <f t="shared" si="110"/>
        <v>Ccs2</v>
      </c>
      <c r="O483" s="4" t="str">
        <f t="shared" si="111"/>
        <v>Inactive</v>
      </c>
      <c r="P483" s="4" t="str">
        <f t="shared" si="112"/>
        <v>Inactive</v>
      </c>
      <c r="Q483" s="4" t="str">
        <f t="shared" si="113"/>
        <v>Hyderabad</v>
      </c>
      <c r="R483" s="4" t="b">
        <f t="shared" si="114"/>
        <v>1</v>
      </c>
      <c r="S483" s="5" t="str">
        <f t="shared" si="115"/>
        <v>45344</v>
      </c>
      <c r="T483" s="4" t="str">
        <f t="shared" si="116"/>
        <v>Private</v>
      </c>
      <c r="U483" s="4" t="str">
        <f t="shared" si="117"/>
        <v>Ultra Fast</v>
      </c>
      <c r="V483" s="4">
        <f t="shared" si="118"/>
        <v>2024</v>
      </c>
      <c r="W483" s="4" t="str">
        <f t="shared" si="119"/>
        <v>Europe</v>
      </c>
    </row>
    <row r="484" spans="1:23" x14ac:dyDescent="0.25">
      <c r="A484" t="s">
        <v>736</v>
      </c>
      <c r="B484" t="s">
        <v>13</v>
      </c>
      <c r="C484" t="s">
        <v>41</v>
      </c>
      <c r="D484" t="s">
        <v>17</v>
      </c>
      <c r="E484" t="s">
        <v>54</v>
      </c>
      <c r="F484" s="1">
        <v>45386</v>
      </c>
      <c r="G484">
        <v>473.53</v>
      </c>
      <c r="H484">
        <v>5879.45</v>
      </c>
      <c r="I484" t="str">
        <f t="shared" si="105"/>
        <v>Bengaluru</v>
      </c>
      <c r="J484" t="str">
        <f t="shared" si="106"/>
        <v>Bengaluru</v>
      </c>
      <c r="K484" t="str">
        <f t="shared" si="107"/>
        <v>Ather Grid</v>
      </c>
      <c r="L484" s="4" t="str">
        <f t="shared" si="108"/>
        <v>Ather Grid</v>
      </c>
      <c r="M484" s="4" t="str">
        <f t="shared" si="109"/>
        <v>Type2 Ac</v>
      </c>
      <c r="N484" s="4" t="str">
        <f t="shared" si="110"/>
        <v>Type2 Ac</v>
      </c>
      <c r="O484" s="4" t="str">
        <f t="shared" si="111"/>
        <v>Inactive</v>
      </c>
      <c r="P484" s="4" t="str">
        <f t="shared" si="112"/>
        <v>Inactive</v>
      </c>
      <c r="Q484" s="4" t="str">
        <f t="shared" si="113"/>
        <v>Bengaluru</v>
      </c>
      <c r="R484" s="4" t="b">
        <f t="shared" si="114"/>
        <v>1</v>
      </c>
      <c r="S484" s="5" t="str">
        <f t="shared" si="115"/>
        <v>45386</v>
      </c>
      <c r="T484" s="4" t="str">
        <f t="shared" si="116"/>
        <v>Private</v>
      </c>
      <c r="U484" s="4" t="str">
        <f t="shared" si="117"/>
        <v>Slow</v>
      </c>
      <c r="V484" s="4">
        <f t="shared" si="118"/>
        <v>2024</v>
      </c>
      <c r="W484" s="4" t="str">
        <f t="shared" si="119"/>
        <v>Germany</v>
      </c>
    </row>
    <row r="485" spans="1:23" x14ac:dyDescent="0.25">
      <c r="A485" t="s">
        <v>737</v>
      </c>
      <c r="B485" t="s">
        <v>766</v>
      </c>
      <c r="C485" t="s">
        <v>765</v>
      </c>
      <c r="D485" t="s">
        <v>17</v>
      </c>
      <c r="E485" t="s">
        <v>24</v>
      </c>
      <c r="F485" s="1">
        <v>45941</v>
      </c>
      <c r="G485">
        <v>7948.66</v>
      </c>
      <c r="H485">
        <v>82209.38</v>
      </c>
      <c r="I485" t="str">
        <f t="shared" si="105"/>
        <v>Chennai</v>
      </c>
      <c r="J485" t="str">
        <f t="shared" si="106"/>
        <v>Chennai</v>
      </c>
      <c r="K485" t="str">
        <f t="shared" si="107"/>
        <v>Zeon Charging</v>
      </c>
      <c r="L485" s="4" t="str">
        <f t="shared" si="108"/>
        <v>Zeon Charging</v>
      </c>
      <c r="M485" s="4" t="str">
        <f t="shared" si="109"/>
        <v>Type2 Ac</v>
      </c>
      <c r="N485" s="4" t="str">
        <f t="shared" si="110"/>
        <v>Type2 Ac</v>
      </c>
      <c r="O485" s="4" t="str">
        <f t="shared" si="111"/>
        <v>Active</v>
      </c>
      <c r="P485" s="4" t="str">
        <f t="shared" si="112"/>
        <v>Active</v>
      </c>
      <c r="Q485" s="4" t="str">
        <f t="shared" si="113"/>
        <v>Chennai</v>
      </c>
      <c r="R485" s="4" t="b">
        <f t="shared" si="114"/>
        <v>1</v>
      </c>
      <c r="S485" s="5" t="str">
        <f t="shared" si="115"/>
        <v>45941</v>
      </c>
      <c r="T485" s="4" t="str">
        <f t="shared" si="116"/>
        <v>Private</v>
      </c>
      <c r="U485" s="4" t="str">
        <f t="shared" si="117"/>
        <v>Slow</v>
      </c>
      <c r="V485" s="4">
        <f t="shared" si="118"/>
        <v>2025</v>
      </c>
      <c r="W485" s="4" t="str">
        <f t="shared" si="119"/>
        <v>Germany</v>
      </c>
    </row>
    <row r="486" spans="1:23" x14ac:dyDescent="0.25">
      <c r="A486" t="s">
        <v>738</v>
      </c>
      <c r="B486" t="s">
        <v>35</v>
      </c>
      <c r="C486" t="s">
        <v>765</v>
      </c>
      <c r="D486" t="s">
        <v>48</v>
      </c>
      <c r="E486" t="s">
        <v>855</v>
      </c>
      <c r="F486" s="1">
        <v>45725</v>
      </c>
      <c r="G486">
        <v>76.989999999999995</v>
      </c>
      <c r="H486">
        <v>793.6</v>
      </c>
      <c r="I486" t="str">
        <f t="shared" si="105"/>
        <v>Chennai</v>
      </c>
      <c r="J486" t="str">
        <f t="shared" si="106"/>
        <v>Chennai</v>
      </c>
      <c r="K486" t="str">
        <f t="shared" si="107"/>
        <v>Zeon Charging</v>
      </c>
      <c r="L486" s="4" t="str">
        <f t="shared" si="108"/>
        <v>Zeon Charging</v>
      </c>
      <c r="M486" s="4" t="str">
        <f t="shared" si="109"/>
        <v>Bharat Dc-001</v>
      </c>
      <c r="N486" s="4" t="str">
        <f t="shared" si="110"/>
        <v>Bharat Dc-001</v>
      </c>
      <c r="O486" s="4" t="str">
        <f t="shared" si="111"/>
        <v>Inactive</v>
      </c>
      <c r="P486" s="4" t="str">
        <f t="shared" si="112"/>
        <v>Inactive</v>
      </c>
      <c r="Q486" s="4" t="str">
        <f t="shared" si="113"/>
        <v>Chennai</v>
      </c>
      <c r="R486" s="4" t="b">
        <f t="shared" si="114"/>
        <v>1</v>
      </c>
      <c r="S486" s="5" t="str">
        <f t="shared" si="115"/>
        <v>45725</v>
      </c>
      <c r="T486" s="4" t="str">
        <f t="shared" si="116"/>
        <v>Private</v>
      </c>
      <c r="U486" s="4" t="str">
        <f t="shared" si="117"/>
        <v>fast</v>
      </c>
      <c r="V486" s="4">
        <f t="shared" si="118"/>
        <v>2025</v>
      </c>
      <c r="W486" s="4" t="str">
        <f t="shared" si="119"/>
        <v>India</v>
      </c>
    </row>
    <row r="487" spans="1:23" x14ac:dyDescent="0.25">
      <c r="A487" t="s">
        <v>739</v>
      </c>
      <c r="B487" t="s">
        <v>46</v>
      </c>
      <c r="C487" t="s">
        <v>63</v>
      </c>
      <c r="D487" t="s">
        <v>56</v>
      </c>
      <c r="E487" t="s">
        <v>24</v>
      </c>
      <c r="F487" s="1">
        <v>46141</v>
      </c>
      <c r="G487">
        <v>11225.51</v>
      </c>
      <c r="H487">
        <v>133648.03</v>
      </c>
      <c r="I487" t="str">
        <f t="shared" si="105"/>
        <v>Kolkata</v>
      </c>
      <c r="J487" t="str">
        <f t="shared" si="106"/>
        <v>Kolkata</v>
      </c>
      <c r="K487" t="str">
        <f t="shared" si="107"/>
        <v>Tata Power</v>
      </c>
      <c r="L487" s="4" t="str">
        <f t="shared" si="108"/>
        <v>Tata Power</v>
      </c>
      <c r="M487" s="4" t="str">
        <f t="shared" si="109"/>
        <v>Ccs2</v>
      </c>
      <c r="N487" s="4" t="str">
        <f t="shared" si="110"/>
        <v>Ccs2</v>
      </c>
      <c r="O487" s="4" t="str">
        <f t="shared" si="111"/>
        <v>Active</v>
      </c>
      <c r="P487" s="4" t="str">
        <f t="shared" si="112"/>
        <v>Active</v>
      </c>
      <c r="Q487" s="4" t="str">
        <f t="shared" si="113"/>
        <v>Kolkata</v>
      </c>
      <c r="R487" s="4" t="b">
        <f t="shared" si="114"/>
        <v>1</v>
      </c>
      <c r="S487" s="5" t="str">
        <f t="shared" si="115"/>
        <v>46141</v>
      </c>
      <c r="T487" s="4" t="str">
        <f t="shared" si="116"/>
        <v>Government</v>
      </c>
      <c r="U487" s="4" t="str">
        <f t="shared" si="117"/>
        <v>Ultra Fast</v>
      </c>
      <c r="V487" s="4">
        <f t="shared" si="118"/>
        <v>2026</v>
      </c>
      <c r="W487" s="4" t="str">
        <f t="shared" si="119"/>
        <v>Europe</v>
      </c>
    </row>
    <row r="488" spans="1:23" x14ac:dyDescent="0.25">
      <c r="A488" t="s">
        <v>740</v>
      </c>
      <c r="B488" t="s">
        <v>40</v>
      </c>
      <c r="C488" t="s">
        <v>63</v>
      </c>
      <c r="D488" t="s">
        <v>56</v>
      </c>
      <c r="E488" t="s">
        <v>763</v>
      </c>
      <c r="F488" s="1">
        <v>45575</v>
      </c>
      <c r="G488">
        <v>3856.41</v>
      </c>
      <c r="H488">
        <v>41286.53</v>
      </c>
      <c r="I488" t="str">
        <f t="shared" si="105"/>
        <v>Mumbai</v>
      </c>
      <c r="J488" t="str">
        <f t="shared" si="106"/>
        <v>Mumbai</v>
      </c>
      <c r="K488" t="str">
        <f t="shared" si="107"/>
        <v>Tata Power</v>
      </c>
      <c r="L488" s="4" t="str">
        <f t="shared" si="108"/>
        <v>Tata Power</v>
      </c>
      <c r="M488" s="4" t="str">
        <f t="shared" si="109"/>
        <v>Ccs2</v>
      </c>
      <c r="N488" s="4" t="str">
        <f t="shared" si="110"/>
        <v>Ccs2</v>
      </c>
      <c r="O488" s="4" t="str">
        <f t="shared" si="111"/>
        <v>Active</v>
      </c>
      <c r="P488" s="4" t="str">
        <f t="shared" si="112"/>
        <v>Active</v>
      </c>
      <c r="Q488" s="4" t="str">
        <f t="shared" si="113"/>
        <v>Mumbai</v>
      </c>
      <c r="R488" s="4" t="b">
        <f t="shared" si="114"/>
        <v>1</v>
      </c>
      <c r="S488" s="5" t="str">
        <f t="shared" si="115"/>
        <v>45575</v>
      </c>
      <c r="T488" s="4" t="str">
        <f t="shared" si="116"/>
        <v>Government</v>
      </c>
      <c r="U488" s="4" t="str">
        <f t="shared" si="117"/>
        <v>Ultra Fast</v>
      </c>
      <c r="V488" s="4">
        <f t="shared" si="118"/>
        <v>2024</v>
      </c>
      <c r="W488" s="4" t="str">
        <f t="shared" si="119"/>
        <v>Europe</v>
      </c>
    </row>
    <row r="489" spans="1:23" x14ac:dyDescent="0.25">
      <c r="A489" t="s">
        <v>741</v>
      </c>
      <c r="B489" t="s">
        <v>70</v>
      </c>
      <c r="C489" t="s">
        <v>14</v>
      </c>
      <c r="D489" t="s">
        <v>17</v>
      </c>
      <c r="E489" t="s">
        <v>54</v>
      </c>
      <c r="F489" s="1">
        <v>45337</v>
      </c>
      <c r="G489">
        <v>352.71</v>
      </c>
      <c r="H489">
        <v>3443.85</v>
      </c>
      <c r="I489" t="str">
        <f t="shared" si="105"/>
        <v>Delhi</v>
      </c>
      <c r="J489" t="str">
        <f t="shared" si="106"/>
        <v>Delhi</v>
      </c>
      <c r="K489" t="str">
        <f t="shared" si="107"/>
        <v>Charge Point</v>
      </c>
      <c r="L489" s="4" t="str">
        <f t="shared" si="108"/>
        <v>Charge Point</v>
      </c>
      <c r="M489" s="4" t="str">
        <f t="shared" si="109"/>
        <v>Type2 Ac</v>
      </c>
      <c r="N489" s="4" t="str">
        <f t="shared" si="110"/>
        <v>Type2 Ac</v>
      </c>
      <c r="O489" s="4" t="str">
        <f t="shared" si="111"/>
        <v>Inactive</v>
      </c>
      <c r="P489" s="4" t="str">
        <f t="shared" si="112"/>
        <v>Inactive</v>
      </c>
      <c r="Q489" s="4" t="str">
        <f t="shared" si="113"/>
        <v>Delhi</v>
      </c>
      <c r="R489" s="4" t="b">
        <f t="shared" si="114"/>
        <v>1</v>
      </c>
      <c r="S489" s="5" t="str">
        <f t="shared" si="115"/>
        <v>45337</v>
      </c>
      <c r="T489" s="4" t="str">
        <f t="shared" si="116"/>
        <v>Private</v>
      </c>
      <c r="U489" s="4" t="str">
        <f t="shared" si="117"/>
        <v>Slow</v>
      </c>
      <c r="V489" s="4">
        <f t="shared" si="118"/>
        <v>2024</v>
      </c>
      <c r="W489" s="4" t="str">
        <f t="shared" si="119"/>
        <v>Germany</v>
      </c>
    </row>
    <row r="490" spans="1:23" x14ac:dyDescent="0.25">
      <c r="A490" t="s">
        <v>743</v>
      </c>
      <c r="B490" t="s">
        <v>23</v>
      </c>
      <c r="C490" t="s">
        <v>36</v>
      </c>
      <c r="D490" t="s">
        <v>56</v>
      </c>
      <c r="E490" t="s">
        <v>31</v>
      </c>
      <c r="F490" s="1">
        <v>45295</v>
      </c>
      <c r="G490">
        <v>1304.92</v>
      </c>
      <c r="I490" t="str">
        <f t="shared" si="105"/>
        <v>Ahemdabad</v>
      </c>
      <c r="J490" t="str">
        <f t="shared" si="106"/>
        <v>Ahemdabad</v>
      </c>
      <c r="K490" t="str">
        <f t="shared" si="107"/>
        <v>Zeon Charging</v>
      </c>
      <c r="L490" s="4" t="str">
        <f t="shared" si="108"/>
        <v>Zeon Charging</v>
      </c>
      <c r="M490" s="4" t="str">
        <f t="shared" si="109"/>
        <v>Ccs2</v>
      </c>
      <c r="N490" s="4" t="str">
        <f t="shared" si="110"/>
        <v>Ccs2</v>
      </c>
      <c r="O490" s="4" t="str">
        <f t="shared" si="111"/>
        <v>Maintenance</v>
      </c>
      <c r="P490" s="4" t="str">
        <f t="shared" si="112"/>
        <v>Maintenance</v>
      </c>
      <c r="Q490" s="4" t="str">
        <f t="shared" si="113"/>
        <v>Ahemdabad</v>
      </c>
      <c r="R490" s="4" t="b">
        <f t="shared" si="114"/>
        <v>1</v>
      </c>
      <c r="S490" s="5" t="str">
        <f t="shared" si="115"/>
        <v>45295</v>
      </c>
      <c r="T490" s="4" t="str">
        <f t="shared" si="116"/>
        <v>Private</v>
      </c>
      <c r="U490" s="4" t="str">
        <f t="shared" si="117"/>
        <v>Ultra Fast</v>
      </c>
      <c r="V490" s="4">
        <f t="shared" si="118"/>
        <v>2024</v>
      </c>
      <c r="W490" s="4" t="str">
        <f t="shared" si="119"/>
        <v>Europe</v>
      </c>
    </row>
    <row r="491" spans="1:23" x14ac:dyDescent="0.25">
      <c r="A491" t="s">
        <v>744</v>
      </c>
      <c r="B491" t="s">
        <v>46</v>
      </c>
      <c r="C491" t="s">
        <v>764</v>
      </c>
      <c r="D491" t="s">
        <v>56</v>
      </c>
      <c r="E491" t="s">
        <v>24</v>
      </c>
      <c r="F491" s="1">
        <v>45633</v>
      </c>
      <c r="G491">
        <v>6048.75</v>
      </c>
      <c r="H491">
        <v>89224.33</v>
      </c>
      <c r="I491" t="str">
        <f t="shared" si="105"/>
        <v>Kolkata</v>
      </c>
      <c r="J491" t="str">
        <f t="shared" si="106"/>
        <v>Kolkata</v>
      </c>
      <c r="K491" t="str">
        <f t="shared" si="107"/>
        <v>Bpcl</v>
      </c>
      <c r="L491" s="4" t="str">
        <f t="shared" si="108"/>
        <v>Bpcl</v>
      </c>
      <c r="M491" s="4" t="str">
        <f t="shared" si="109"/>
        <v>Ccs2</v>
      </c>
      <c r="N491" s="4" t="str">
        <f t="shared" si="110"/>
        <v>Ccs2</v>
      </c>
      <c r="O491" s="4" t="str">
        <f t="shared" si="111"/>
        <v>Active</v>
      </c>
      <c r="P491" s="4" t="str">
        <f t="shared" si="112"/>
        <v>Active</v>
      </c>
      <c r="Q491" s="4" t="str">
        <f t="shared" si="113"/>
        <v>Kolkata</v>
      </c>
      <c r="R491" s="4" t="b">
        <f t="shared" si="114"/>
        <v>1</v>
      </c>
      <c r="S491" s="5" t="str">
        <f t="shared" si="115"/>
        <v>45633</v>
      </c>
      <c r="T491" s="4" t="str">
        <f t="shared" si="116"/>
        <v>Government</v>
      </c>
      <c r="U491" s="4" t="str">
        <f t="shared" si="117"/>
        <v>Ultra Fast</v>
      </c>
      <c r="V491" s="4">
        <f t="shared" si="118"/>
        <v>2024</v>
      </c>
      <c r="W491" s="4" t="str">
        <f t="shared" si="119"/>
        <v>Europe</v>
      </c>
    </row>
    <row r="492" spans="1:23" x14ac:dyDescent="0.25">
      <c r="A492" t="s">
        <v>745</v>
      </c>
      <c r="B492" t="s">
        <v>13</v>
      </c>
      <c r="C492" t="s">
        <v>36</v>
      </c>
      <c r="D492" t="s">
        <v>56</v>
      </c>
      <c r="E492" t="s">
        <v>24</v>
      </c>
      <c r="F492" s="1">
        <v>46081</v>
      </c>
      <c r="G492">
        <v>5930.53</v>
      </c>
      <c r="H492">
        <v>72464.59</v>
      </c>
      <c r="I492" t="str">
        <f t="shared" si="105"/>
        <v>Bengaluru</v>
      </c>
      <c r="J492" t="str">
        <f t="shared" si="106"/>
        <v>Bengaluru</v>
      </c>
      <c r="K492" t="str">
        <f t="shared" si="107"/>
        <v>Zeon Charging</v>
      </c>
      <c r="L492" s="4" t="str">
        <f t="shared" si="108"/>
        <v>Zeon Charging</v>
      </c>
      <c r="M492" s="4" t="str">
        <f t="shared" si="109"/>
        <v>Ccs2</v>
      </c>
      <c r="N492" s="4" t="str">
        <f t="shared" si="110"/>
        <v>Ccs2</v>
      </c>
      <c r="O492" s="4" t="str">
        <f t="shared" si="111"/>
        <v>Active</v>
      </c>
      <c r="P492" s="4" t="str">
        <f t="shared" si="112"/>
        <v>Active</v>
      </c>
      <c r="Q492" s="4" t="str">
        <f t="shared" si="113"/>
        <v>Bengaluru</v>
      </c>
      <c r="R492" s="4" t="b">
        <f t="shared" si="114"/>
        <v>1</v>
      </c>
      <c r="S492" s="5" t="str">
        <f t="shared" si="115"/>
        <v>46081</v>
      </c>
      <c r="T492" s="4" t="str">
        <f t="shared" si="116"/>
        <v>Private</v>
      </c>
      <c r="U492" s="4" t="str">
        <f t="shared" si="117"/>
        <v>Ultra Fast</v>
      </c>
      <c r="V492" s="4">
        <f t="shared" si="118"/>
        <v>2026</v>
      </c>
      <c r="W492" s="4" t="str">
        <f t="shared" si="119"/>
        <v>Europe</v>
      </c>
    </row>
    <row r="493" spans="1:23" x14ac:dyDescent="0.25">
      <c r="A493" t="s">
        <v>747</v>
      </c>
      <c r="B493" t="s">
        <v>35</v>
      </c>
      <c r="C493" t="s">
        <v>53</v>
      </c>
      <c r="D493" t="s">
        <v>26</v>
      </c>
      <c r="E493" t="s">
        <v>24</v>
      </c>
      <c r="F493" s="1">
        <v>45425</v>
      </c>
      <c r="G493">
        <v>5753.04</v>
      </c>
      <c r="H493">
        <v>52080.05</v>
      </c>
      <c r="I493" t="str">
        <f t="shared" si="105"/>
        <v>Chennai</v>
      </c>
      <c r="J493" t="str">
        <f t="shared" si="106"/>
        <v>Chennai</v>
      </c>
      <c r="K493" t="str">
        <f t="shared" si="107"/>
        <v>Bpcl</v>
      </c>
      <c r="L493" s="4" t="str">
        <f t="shared" si="108"/>
        <v>Bpcl</v>
      </c>
      <c r="M493" s="4" t="str">
        <f t="shared" si="109"/>
        <v>Chademo</v>
      </c>
      <c r="N493" s="4" t="str">
        <f t="shared" si="110"/>
        <v>Chademo</v>
      </c>
      <c r="O493" s="4" t="str">
        <f t="shared" si="111"/>
        <v>Active</v>
      </c>
      <c r="P493" s="4" t="str">
        <f t="shared" si="112"/>
        <v>Active</v>
      </c>
      <c r="Q493" s="4" t="str">
        <f t="shared" si="113"/>
        <v>Chennai</v>
      </c>
      <c r="R493" s="4" t="b">
        <f t="shared" si="114"/>
        <v>1</v>
      </c>
      <c r="S493" s="5" t="str">
        <f t="shared" si="115"/>
        <v>45425</v>
      </c>
      <c r="T493" s="4" t="str">
        <f t="shared" si="116"/>
        <v>Government</v>
      </c>
      <c r="U493" s="4" t="str">
        <f t="shared" si="117"/>
        <v>fast</v>
      </c>
      <c r="V493" s="4">
        <f t="shared" si="118"/>
        <v>2024</v>
      </c>
      <c r="W493" s="4" t="str">
        <f t="shared" si="119"/>
        <v>Japan</v>
      </c>
    </row>
    <row r="494" spans="1:23" x14ac:dyDescent="0.25">
      <c r="A494" t="s">
        <v>749</v>
      </c>
      <c r="B494" t="s">
        <v>70</v>
      </c>
      <c r="C494" t="s">
        <v>41</v>
      </c>
      <c r="D494" t="s">
        <v>48</v>
      </c>
      <c r="E494" t="s">
        <v>24</v>
      </c>
      <c r="F494" s="1">
        <v>45944</v>
      </c>
      <c r="G494">
        <v>2163.38</v>
      </c>
      <c r="I494" t="str">
        <f t="shared" si="105"/>
        <v>Delhi</v>
      </c>
      <c r="J494" t="str">
        <f t="shared" si="106"/>
        <v>Delhi</v>
      </c>
      <c r="K494" t="str">
        <f t="shared" si="107"/>
        <v>Ather Grid</v>
      </c>
      <c r="L494" s="4" t="str">
        <f t="shared" si="108"/>
        <v>Ather Grid</v>
      </c>
      <c r="M494" s="4" t="str">
        <f t="shared" si="109"/>
        <v>Bharat Dc-001</v>
      </c>
      <c r="N494" s="4" t="str">
        <f t="shared" si="110"/>
        <v>Bharat Dc-001</v>
      </c>
      <c r="O494" s="4" t="str">
        <f t="shared" si="111"/>
        <v>Active</v>
      </c>
      <c r="P494" s="4" t="str">
        <f t="shared" si="112"/>
        <v>Active</v>
      </c>
      <c r="Q494" s="4" t="str">
        <f t="shared" si="113"/>
        <v>Delhi</v>
      </c>
      <c r="R494" s="4" t="b">
        <f t="shared" si="114"/>
        <v>1</v>
      </c>
      <c r="S494" s="5" t="str">
        <f t="shared" si="115"/>
        <v>45944</v>
      </c>
      <c r="T494" s="4" t="str">
        <f t="shared" si="116"/>
        <v>Private</v>
      </c>
      <c r="U494" s="4" t="str">
        <f t="shared" si="117"/>
        <v>fast</v>
      </c>
      <c r="V494" s="4">
        <f t="shared" si="118"/>
        <v>2025</v>
      </c>
      <c r="W494" s="4" t="str">
        <f t="shared" si="119"/>
        <v>India</v>
      </c>
    </row>
    <row r="495" spans="1:23" x14ac:dyDescent="0.25">
      <c r="A495" t="s">
        <v>751</v>
      </c>
      <c r="B495" t="s">
        <v>70</v>
      </c>
      <c r="C495" t="s">
        <v>36</v>
      </c>
      <c r="D495" t="s">
        <v>17</v>
      </c>
      <c r="E495" t="s">
        <v>24</v>
      </c>
      <c r="F495" s="1">
        <v>45560</v>
      </c>
      <c r="G495">
        <v>2692.02</v>
      </c>
      <c r="H495">
        <v>34041.360000000001</v>
      </c>
      <c r="I495" t="str">
        <f t="shared" si="105"/>
        <v>Delhi</v>
      </c>
      <c r="J495" t="str">
        <f t="shared" si="106"/>
        <v>Delhi</v>
      </c>
      <c r="K495" t="str">
        <f t="shared" si="107"/>
        <v>Zeon Charging</v>
      </c>
      <c r="L495" s="4" t="str">
        <f t="shared" si="108"/>
        <v>Zeon Charging</v>
      </c>
      <c r="M495" s="4" t="str">
        <f t="shared" si="109"/>
        <v>Type2 Ac</v>
      </c>
      <c r="N495" s="4" t="str">
        <f t="shared" si="110"/>
        <v>Type2 Ac</v>
      </c>
      <c r="O495" s="4" t="str">
        <f t="shared" si="111"/>
        <v>Active</v>
      </c>
      <c r="P495" s="4" t="str">
        <f t="shared" si="112"/>
        <v>Active</v>
      </c>
      <c r="Q495" s="4" t="str">
        <f t="shared" si="113"/>
        <v>Delhi</v>
      </c>
      <c r="R495" s="4" t="b">
        <f t="shared" si="114"/>
        <v>1</v>
      </c>
      <c r="S495" s="5" t="str">
        <f t="shared" si="115"/>
        <v>45560</v>
      </c>
      <c r="T495" s="4" t="str">
        <f t="shared" si="116"/>
        <v>Private</v>
      </c>
      <c r="U495" s="4" t="str">
        <f t="shared" si="117"/>
        <v>Slow</v>
      </c>
      <c r="V495" s="4">
        <f t="shared" si="118"/>
        <v>2024</v>
      </c>
      <c r="W495" s="4" t="str">
        <f t="shared" si="119"/>
        <v>Germany</v>
      </c>
    </row>
    <row r="496" spans="1:23" x14ac:dyDescent="0.25">
      <c r="A496" t="s">
        <v>753</v>
      </c>
      <c r="B496" t="s">
        <v>13</v>
      </c>
      <c r="C496" t="s">
        <v>41</v>
      </c>
      <c r="D496" t="s">
        <v>17</v>
      </c>
      <c r="E496" t="s">
        <v>763</v>
      </c>
      <c r="F496" s="1">
        <v>45457</v>
      </c>
      <c r="G496">
        <v>7392.84</v>
      </c>
      <c r="H496">
        <v>106584.24</v>
      </c>
      <c r="I496" t="str">
        <f t="shared" si="105"/>
        <v>Bengaluru</v>
      </c>
      <c r="J496" t="str">
        <f t="shared" si="106"/>
        <v>Bengaluru</v>
      </c>
      <c r="K496" t="str">
        <f t="shared" si="107"/>
        <v>Ather Grid</v>
      </c>
      <c r="L496" s="4" t="str">
        <f t="shared" si="108"/>
        <v>Ather Grid</v>
      </c>
      <c r="M496" s="4" t="str">
        <f t="shared" si="109"/>
        <v>Type2 Ac</v>
      </c>
      <c r="N496" s="4" t="str">
        <f t="shared" si="110"/>
        <v>Type2 Ac</v>
      </c>
      <c r="O496" s="4" t="str">
        <f t="shared" si="111"/>
        <v>Active</v>
      </c>
      <c r="P496" s="4" t="str">
        <f t="shared" si="112"/>
        <v>Active</v>
      </c>
      <c r="Q496" s="4" t="str">
        <f t="shared" si="113"/>
        <v>Bengaluru</v>
      </c>
      <c r="R496" s="4" t="b">
        <f t="shared" si="114"/>
        <v>1</v>
      </c>
      <c r="S496" s="5" t="str">
        <f t="shared" si="115"/>
        <v>45457</v>
      </c>
      <c r="T496" s="4" t="str">
        <f t="shared" si="116"/>
        <v>Private</v>
      </c>
      <c r="U496" s="4" t="str">
        <f t="shared" si="117"/>
        <v>Slow</v>
      </c>
      <c r="V496" s="4">
        <f t="shared" si="118"/>
        <v>2024</v>
      </c>
      <c r="W496" s="4" t="str">
        <f t="shared" si="119"/>
        <v>Germany</v>
      </c>
    </row>
    <row r="497" spans="1:23" x14ac:dyDescent="0.25">
      <c r="A497" t="s">
        <v>754</v>
      </c>
      <c r="B497" t="s">
        <v>70</v>
      </c>
      <c r="C497" t="s">
        <v>63</v>
      </c>
      <c r="D497" t="s">
        <v>26</v>
      </c>
      <c r="E497" t="s">
        <v>24</v>
      </c>
      <c r="F497" s="1">
        <v>46051</v>
      </c>
      <c r="I497" t="str">
        <f t="shared" si="105"/>
        <v>Delhi</v>
      </c>
      <c r="J497" t="str">
        <f t="shared" si="106"/>
        <v>Delhi</v>
      </c>
      <c r="K497" t="str">
        <f t="shared" si="107"/>
        <v>Tata Power</v>
      </c>
      <c r="L497" s="4" t="str">
        <f t="shared" si="108"/>
        <v>Tata Power</v>
      </c>
      <c r="M497" s="4" t="str">
        <f t="shared" si="109"/>
        <v>Chademo</v>
      </c>
      <c r="N497" s="4" t="str">
        <f t="shared" si="110"/>
        <v>Chademo</v>
      </c>
      <c r="O497" s="4" t="str">
        <f t="shared" si="111"/>
        <v>Active</v>
      </c>
      <c r="P497" s="4" t="str">
        <f t="shared" si="112"/>
        <v>Active</v>
      </c>
      <c r="Q497" s="4" t="str">
        <f t="shared" si="113"/>
        <v>Delhi</v>
      </c>
      <c r="R497" s="4" t="b">
        <f t="shared" si="114"/>
        <v>1</v>
      </c>
      <c r="S497" s="5" t="str">
        <f t="shared" si="115"/>
        <v>46051</v>
      </c>
      <c r="T497" s="4" t="str">
        <f t="shared" si="116"/>
        <v>Government</v>
      </c>
      <c r="U497" s="4" t="str">
        <f t="shared" si="117"/>
        <v>fast</v>
      </c>
      <c r="V497" s="4">
        <f t="shared" si="118"/>
        <v>2026</v>
      </c>
      <c r="W497" s="4" t="str">
        <f t="shared" si="119"/>
        <v>Japan</v>
      </c>
    </row>
    <row r="498" spans="1:23" x14ac:dyDescent="0.25">
      <c r="A498" t="s">
        <v>755</v>
      </c>
      <c r="B498" t="s">
        <v>35</v>
      </c>
      <c r="C498" t="s">
        <v>63</v>
      </c>
      <c r="D498" t="s">
        <v>48</v>
      </c>
      <c r="E498" t="s">
        <v>24</v>
      </c>
      <c r="F498" s="1">
        <v>45744</v>
      </c>
      <c r="G498">
        <v>2069.85</v>
      </c>
      <c r="H498">
        <v>26064.34</v>
      </c>
      <c r="I498" t="str">
        <f t="shared" si="105"/>
        <v>Chennai</v>
      </c>
      <c r="J498" t="str">
        <f t="shared" si="106"/>
        <v>Chennai</v>
      </c>
      <c r="K498" t="str">
        <f t="shared" si="107"/>
        <v>Tata Power</v>
      </c>
      <c r="L498" s="4" t="str">
        <f t="shared" si="108"/>
        <v>Tata Power</v>
      </c>
      <c r="M498" s="4" t="str">
        <f t="shared" si="109"/>
        <v>Bharat Dc-001</v>
      </c>
      <c r="N498" s="4" t="str">
        <f t="shared" si="110"/>
        <v>Bharat Dc-001</v>
      </c>
      <c r="O498" s="4" t="str">
        <f t="shared" si="111"/>
        <v>Active</v>
      </c>
      <c r="P498" s="4" t="str">
        <f t="shared" si="112"/>
        <v>Active</v>
      </c>
      <c r="Q498" s="4" t="str">
        <f t="shared" si="113"/>
        <v>Chennai</v>
      </c>
      <c r="R498" s="4" t="b">
        <f t="shared" si="114"/>
        <v>1</v>
      </c>
      <c r="S498" s="5" t="str">
        <f t="shared" si="115"/>
        <v>45744</v>
      </c>
      <c r="T498" s="4" t="str">
        <f t="shared" si="116"/>
        <v>Government</v>
      </c>
      <c r="U498" s="4" t="str">
        <f t="shared" si="117"/>
        <v>fast</v>
      </c>
      <c r="V498" s="4">
        <f t="shared" si="118"/>
        <v>2025</v>
      </c>
      <c r="W498" s="4" t="str">
        <f t="shared" si="119"/>
        <v>India</v>
      </c>
    </row>
    <row r="499" spans="1:23" x14ac:dyDescent="0.25">
      <c r="A499" t="s">
        <v>757</v>
      </c>
      <c r="B499" t="s">
        <v>40</v>
      </c>
      <c r="C499" t="s">
        <v>14</v>
      </c>
      <c r="D499" t="s">
        <v>17</v>
      </c>
      <c r="E499" t="s">
        <v>24</v>
      </c>
      <c r="F499" s="1">
        <v>45856</v>
      </c>
      <c r="G499">
        <v>1302.82</v>
      </c>
      <c r="H499">
        <v>16461.060000000001</v>
      </c>
      <c r="I499" t="str">
        <f t="shared" si="105"/>
        <v>Mumbai</v>
      </c>
      <c r="J499" t="str">
        <f t="shared" si="106"/>
        <v>Mumbai</v>
      </c>
      <c r="K499" t="str">
        <f t="shared" si="107"/>
        <v>Charge Point</v>
      </c>
      <c r="L499" s="4" t="str">
        <f t="shared" si="108"/>
        <v>Charge Point</v>
      </c>
      <c r="M499" s="4" t="str">
        <f t="shared" si="109"/>
        <v>Type2 Ac</v>
      </c>
      <c r="N499" s="4" t="str">
        <f t="shared" si="110"/>
        <v>Type2 Ac</v>
      </c>
      <c r="O499" s="4" t="str">
        <f t="shared" si="111"/>
        <v>Active</v>
      </c>
      <c r="P499" s="4" t="str">
        <f t="shared" si="112"/>
        <v>Active</v>
      </c>
      <c r="Q499" s="4" t="str">
        <f t="shared" si="113"/>
        <v>Mumbai</v>
      </c>
      <c r="R499" s="4" t="b">
        <f t="shared" si="114"/>
        <v>1</v>
      </c>
      <c r="S499" s="5" t="str">
        <f t="shared" si="115"/>
        <v>45856</v>
      </c>
      <c r="T499" s="4" t="str">
        <f t="shared" si="116"/>
        <v>Private</v>
      </c>
      <c r="U499" s="4" t="str">
        <f t="shared" si="117"/>
        <v>Slow</v>
      </c>
      <c r="V499" s="4">
        <f t="shared" si="118"/>
        <v>2025</v>
      </c>
      <c r="W499" s="4" t="str">
        <f t="shared" si="119"/>
        <v>Germany</v>
      </c>
    </row>
    <row r="500" spans="1:23" x14ac:dyDescent="0.25">
      <c r="A500" t="s">
        <v>759</v>
      </c>
      <c r="B500" t="s">
        <v>23</v>
      </c>
      <c r="C500" t="s">
        <v>36</v>
      </c>
      <c r="D500" t="s">
        <v>56</v>
      </c>
      <c r="E500" t="s">
        <v>24</v>
      </c>
      <c r="F500" s="1">
        <v>46014</v>
      </c>
      <c r="G500">
        <v>9385.76</v>
      </c>
      <c r="H500">
        <v>83558.25</v>
      </c>
      <c r="I500" t="str">
        <f t="shared" si="105"/>
        <v>Ahemdabad</v>
      </c>
      <c r="J500" t="str">
        <f t="shared" si="106"/>
        <v>Ahemdabad</v>
      </c>
      <c r="K500" t="str">
        <f t="shared" si="107"/>
        <v>Zeon Charging</v>
      </c>
      <c r="L500" s="4" t="str">
        <f t="shared" si="108"/>
        <v>Zeon Charging</v>
      </c>
      <c r="M500" s="4" t="str">
        <f t="shared" si="109"/>
        <v>Ccs2</v>
      </c>
      <c r="N500" s="4" t="str">
        <f t="shared" si="110"/>
        <v>Ccs2</v>
      </c>
      <c r="O500" s="4" t="str">
        <f t="shared" si="111"/>
        <v>Active</v>
      </c>
      <c r="P500" s="4" t="str">
        <f t="shared" si="112"/>
        <v>Active</v>
      </c>
      <c r="Q500" s="4" t="str">
        <f t="shared" si="113"/>
        <v>Ahemdabad</v>
      </c>
      <c r="R500" s="4" t="b">
        <f t="shared" si="114"/>
        <v>1</v>
      </c>
      <c r="S500" s="5" t="str">
        <f t="shared" si="115"/>
        <v>46014</v>
      </c>
      <c r="T500" s="4" t="str">
        <f t="shared" si="116"/>
        <v>Private</v>
      </c>
      <c r="U500" s="4" t="str">
        <f t="shared" si="117"/>
        <v>Ultra Fast</v>
      </c>
      <c r="V500" s="4">
        <f t="shared" si="118"/>
        <v>2025</v>
      </c>
      <c r="W500" s="4" t="str">
        <f t="shared" si="119"/>
        <v>Europe</v>
      </c>
    </row>
    <row r="501" spans="1:23" x14ac:dyDescent="0.25">
      <c r="A501" t="s">
        <v>761</v>
      </c>
      <c r="B501" t="s">
        <v>23</v>
      </c>
      <c r="C501" t="s">
        <v>41</v>
      </c>
      <c r="D501" t="s">
        <v>17</v>
      </c>
      <c r="E501" t="s">
        <v>24</v>
      </c>
      <c r="F501" s="1">
        <v>45729</v>
      </c>
      <c r="G501">
        <v>10325.74</v>
      </c>
      <c r="H501">
        <v>133840.57</v>
      </c>
      <c r="I501" t="str">
        <f t="shared" si="105"/>
        <v>Ahemdabad</v>
      </c>
      <c r="J501" t="str">
        <f t="shared" si="106"/>
        <v>Ahemdabad</v>
      </c>
      <c r="K501" t="str">
        <f t="shared" si="107"/>
        <v>Ather Grid</v>
      </c>
      <c r="L501" s="4" t="str">
        <f t="shared" si="108"/>
        <v>Ather Grid</v>
      </c>
      <c r="M501" s="4" t="str">
        <f t="shared" si="109"/>
        <v>Type2 Ac</v>
      </c>
      <c r="N501" s="4" t="str">
        <f t="shared" si="110"/>
        <v>Type2 Ac</v>
      </c>
      <c r="O501" s="4" t="str">
        <f t="shared" si="111"/>
        <v>Active</v>
      </c>
      <c r="P501" s="4" t="str">
        <f t="shared" si="112"/>
        <v>Active</v>
      </c>
      <c r="Q501" s="4" t="str">
        <f t="shared" si="113"/>
        <v>Ahemdabad</v>
      </c>
      <c r="R501" s="4" t="b">
        <f t="shared" si="114"/>
        <v>1</v>
      </c>
      <c r="S501" s="5" t="str">
        <f t="shared" si="115"/>
        <v>45729</v>
      </c>
      <c r="T501" s="4" t="str">
        <f t="shared" si="116"/>
        <v>Private</v>
      </c>
      <c r="U501" s="4" t="str">
        <f t="shared" si="117"/>
        <v>Slow</v>
      </c>
      <c r="V501" s="4">
        <f t="shared" si="118"/>
        <v>2025</v>
      </c>
      <c r="W501" s="4" t="str">
        <f t="shared" si="119"/>
        <v>Germany</v>
      </c>
    </row>
    <row r="505" spans="1:23" x14ac:dyDescent="0.25">
      <c r="F505" t="e">
        <f>DATEVALUE(F9)</f>
        <v>#VALUE!</v>
      </c>
    </row>
  </sheetData>
  <phoneticPr fontId="18"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N27"/>
  <sheetViews>
    <sheetView topLeftCell="G1" workbookViewId="0">
      <selection activeCell="N14" sqref="N14"/>
    </sheetView>
  </sheetViews>
  <sheetFormatPr defaultRowHeight="15" x14ac:dyDescent="0.25"/>
  <cols>
    <col min="1" max="1" width="11.7109375" bestFit="1" customWidth="1"/>
    <col min="2" max="2" width="12.42578125" bestFit="1" customWidth="1"/>
    <col min="3" max="3" width="15.85546875" customWidth="1"/>
    <col min="4" max="4" width="22" bestFit="1" customWidth="1"/>
    <col min="5" max="5" width="16.42578125" bestFit="1" customWidth="1"/>
    <col min="6" max="6" width="14.5703125" bestFit="1" customWidth="1"/>
    <col min="7" max="7" width="20.5703125" bestFit="1" customWidth="1"/>
    <col min="8" max="8" width="23" customWidth="1"/>
    <col min="9" max="9" width="19.28515625" bestFit="1" customWidth="1"/>
    <col min="11" max="11" width="12.140625" bestFit="1" customWidth="1"/>
    <col min="12" max="12" width="15.5703125" bestFit="1" customWidth="1"/>
  </cols>
  <sheetData>
    <row r="1" spans="1:14" x14ac:dyDescent="0.25">
      <c r="A1" s="14" t="s">
        <v>1</v>
      </c>
      <c r="B1" t="s">
        <v>910</v>
      </c>
    </row>
    <row r="2" spans="1:14" x14ac:dyDescent="0.25">
      <c r="A2" s="8"/>
      <c r="B2" s="4">
        <v>15</v>
      </c>
    </row>
    <row r="3" spans="1:14" x14ac:dyDescent="0.25">
      <c r="A3" s="8" t="s">
        <v>23</v>
      </c>
      <c r="B3" s="4">
        <v>39</v>
      </c>
      <c r="E3" s="14" t="s">
        <v>3</v>
      </c>
      <c r="F3" t="s">
        <v>911</v>
      </c>
      <c r="H3" s="14" t="s">
        <v>896</v>
      </c>
      <c r="I3" t="s">
        <v>912</v>
      </c>
    </row>
    <row r="4" spans="1:14" x14ac:dyDescent="0.25">
      <c r="A4" s="8" t="s">
        <v>13</v>
      </c>
      <c r="B4" s="4">
        <v>59</v>
      </c>
      <c r="E4" s="8"/>
      <c r="F4" s="4">
        <v>6</v>
      </c>
      <c r="H4" s="8" t="s">
        <v>901</v>
      </c>
      <c r="I4" s="4">
        <v>107</v>
      </c>
    </row>
    <row r="5" spans="1:14" x14ac:dyDescent="0.25">
      <c r="A5" s="8" t="s">
        <v>35</v>
      </c>
      <c r="B5" s="4">
        <v>61</v>
      </c>
      <c r="E5" s="8" t="s">
        <v>24</v>
      </c>
      <c r="F5" s="4">
        <v>335</v>
      </c>
      <c r="H5" s="8" t="s">
        <v>902</v>
      </c>
      <c r="I5" s="4">
        <v>142</v>
      </c>
    </row>
    <row r="6" spans="1:14" x14ac:dyDescent="0.25">
      <c r="A6" s="8" t="s">
        <v>70</v>
      </c>
      <c r="B6" s="4">
        <v>80</v>
      </c>
      <c r="C6" s="15" t="s">
        <v>915</v>
      </c>
      <c r="E6" s="8" t="s">
        <v>15</v>
      </c>
      <c r="F6" s="4">
        <v>34</v>
      </c>
      <c r="G6" s="15" t="s">
        <v>916</v>
      </c>
      <c r="H6" s="8" t="s">
        <v>903</v>
      </c>
      <c r="I6" s="4">
        <v>128</v>
      </c>
    </row>
    <row r="7" spans="1:14" x14ac:dyDescent="0.25">
      <c r="A7" s="8" t="s">
        <v>30</v>
      </c>
      <c r="B7" s="4">
        <v>58</v>
      </c>
      <c r="E7" s="8" t="s">
        <v>54</v>
      </c>
      <c r="F7" s="4">
        <v>72</v>
      </c>
      <c r="H7" s="8" t="s">
        <v>904</v>
      </c>
      <c r="I7" s="4">
        <v>123</v>
      </c>
    </row>
    <row r="8" spans="1:14" x14ac:dyDescent="0.25">
      <c r="A8" s="8" t="s">
        <v>46</v>
      </c>
      <c r="B8" s="4">
        <v>41</v>
      </c>
      <c r="E8" s="8" t="s">
        <v>31</v>
      </c>
      <c r="F8" s="4">
        <v>53</v>
      </c>
      <c r="H8" s="8" t="s">
        <v>897</v>
      </c>
      <c r="I8" s="4">
        <v>500</v>
      </c>
    </row>
    <row r="9" spans="1:14" x14ac:dyDescent="0.25">
      <c r="A9" s="8" t="s">
        <v>40</v>
      </c>
      <c r="B9" s="4">
        <v>100</v>
      </c>
      <c r="E9" s="8" t="s">
        <v>897</v>
      </c>
      <c r="F9" s="4">
        <v>500</v>
      </c>
    </row>
    <row r="10" spans="1:14" x14ac:dyDescent="0.25">
      <c r="A10" s="8" t="s">
        <v>66</v>
      </c>
      <c r="B10" s="4">
        <v>47</v>
      </c>
    </row>
    <row r="11" spans="1:14" x14ac:dyDescent="0.25">
      <c r="A11" s="8" t="s">
        <v>897</v>
      </c>
      <c r="B11" s="4">
        <v>500</v>
      </c>
    </row>
    <row r="13" spans="1:14" x14ac:dyDescent="0.25">
      <c r="K13" s="14" t="s">
        <v>913</v>
      </c>
      <c r="L13" t="s">
        <v>914</v>
      </c>
    </row>
    <row r="14" spans="1:14" ht="15.75" x14ac:dyDescent="0.25">
      <c r="B14" s="14" t="s">
        <v>896</v>
      </c>
      <c r="D14" s="14" t="s">
        <v>906</v>
      </c>
      <c r="E14" t="s">
        <v>907</v>
      </c>
      <c r="G14" s="14" t="s">
        <v>908</v>
      </c>
      <c r="H14" t="s">
        <v>909</v>
      </c>
      <c r="K14" s="8" t="s">
        <v>57</v>
      </c>
      <c r="L14" s="4">
        <v>186</v>
      </c>
      <c r="N14" s="23" t="s">
        <v>943</v>
      </c>
    </row>
    <row r="15" spans="1:14" x14ac:dyDescent="0.25">
      <c r="B15" s="8"/>
      <c r="D15" s="8" t="s">
        <v>59</v>
      </c>
      <c r="E15" s="4">
        <v>142</v>
      </c>
      <c r="G15" s="8" t="s">
        <v>905</v>
      </c>
      <c r="H15" s="4">
        <v>235</v>
      </c>
      <c r="K15" s="8" t="s">
        <v>18</v>
      </c>
      <c r="L15" s="4">
        <v>314</v>
      </c>
    </row>
    <row r="16" spans="1:14" x14ac:dyDescent="0.25">
      <c r="B16" s="8" t="s">
        <v>41</v>
      </c>
      <c r="D16" s="8" t="s">
        <v>21</v>
      </c>
      <c r="E16" s="4">
        <v>123</v>
      </c>
      <c r="G16" s="8" t="s">
        <v>19</v>
      </c>
      <c r="H16" s="4">
        <v>123</v>
      </c>
      <c r="K16" s="8" t="s">
        <v>897</v>
      </c>
      <c r="L16" s="4">
        <v>500</v>
      </c>
    </row>
    <row r="17" spans="2:8" x14ac:dyDescent="0.25">
      <c r="B17" s="8" t="s">
        <v>898</v>
      </c>
      <c r="D17" s="8" t="s">
        <v>49</v>
      </c>
      <c r="E17" s="4">
        <v>107</v>
      </c>
      <c r="G17" s="8" t="s">
        <v>58</v>
      </c>
      <c r="H17" s="4">
        <v>142</v>
      </c>
    </row>
    <row r="18" spans="2:8" x14ac:dyDescent="0.25">
      <c r="B18" s="8" t="s">
        <v>831</v>
      </c>
      <c r="D18" s="8" t="s">
        <v>28</v>
      </c>
      <c r="E18" s="4">
        <v>128</v>
      </c>
      <c r="G18" s="8" t="s">
        <v>897</v>
      </c>
      <c r="H18" s="4">
        <v>500</v>
      </c>
    </row>
    <row r="19" spans="2:8" x14ac:dyDescent="0.25">
      <c r="B19" s="8" t="s">
        <v>95</v>
      </c>
      <c r="D19" s="8" t="s">
        <v>897</v>
      </c>
      <c r="E19" s="4">
        <v>500</v>
      </c>
    </row>
    <row r="20" spans="2:8" x14ac:dyDescent="0.25">
      <c r="B20" s="8" t="s">
        <v>53</v>
      </c>
    </row>
    <row r="21" spans="2:8" ht="15.75" x14ac:dyDescent="0.25">
      <c r="B21" s="8" t="s">
        <v>14</v>
      </c>
      <c r="D21" s="22" t="s">
        <v>942</v>
      </c>
    </row>
    <row r="22" spans="2:8" x14ac:dyDescent="0.25">
      <c r="B22" s="8" t="s">
        <v>899</v>
      </c>
    </row>
    <row r="23" spans="2:8" x14ac:dyDescent="0.25">
      <c r="B23" s="8" t="s">
        <v>63</v>
      </c>
    </row>
    <row r="24" spans="2:8" x14ac:dyDescent="0.25">
      <c r="B24" s="8" t="s">
        <v>852</v>
      </c>
    </row>
    <row r="25" spans="2:8" x14ac:dyDescent="0.25">
      <c r="B25" s="8" t="s">
        <v>36</v>
      </c>
    </row>
    <row r="26" spans="2:8" x14ac:dyDescent="0.25">
      <c r="B26" s="8" t="s">
        <v>900</v>
      </c>
    </row>
    <row r="27" spans="2:8" x14ac:dyDescent="0.25">
      <c r="B27" s="8" t="s">
        <v>897</v>
      </c>
    </row>
  </sheetData>
  <pageMargins left="0.7" right="0.7" top="0.75" bottom="0.75" header="0.3" footer="0.3"/>
  <pageSetup orientation="portrait"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7561C-1AB8-4B9D-B4DB-94D730A226D5}">
  <sheetPr>
    <tabColor rgb="FFFF0000"/>
  </sheetPr>
  <dimension ref="A3:I79"/>
  <sheetViews>
    <sheetView topLeftCell="A51" workbookViewId="0">
      <selection activeCell="B67" sqref="B67"/>
    </sheetView>
  </sheetViews>
  <sheetFormatPr defaultRowHeight="15" x14ac:dyDescent="0.25"/>
  <cols>
    <col min="1" max="1" width="13.140625" bestFit="1" customWidth="1"/>
    <col min="2" max="2" width="15.5703125" bestFit="1" customWidth="1"/>
    <col min="3" max="3" width="13.42578125" bestFit="1" customWidth="1"/>
    <col min="4" max="4" width="28.42578125" bestFit="1" customWidth="1"/>
    <col min="5" max="5" width="24" bestFit="1" customWidth="1"/>
    <col min="8" max="8" width="13.140625" bestFit="1" customWidth="1"/>
    <col min="9" max="9" width="15.5703125" bestFit="1" customWidth="1"/>
  </cols>
  <sheetData>
    <row r="3" spans="1:5" x14ac:dyDescent="0.25">
      <c r="A3" s="14" t="s">
        <v>896</v>
      </c>
      <c r="B3" t="s">
        <v>944</v>
      </c>
      <c r="D3" s="14" t="s">
        <v>896</v>
      </c>
      <c r="E3" t="s">
        <v>946</v>
      </c>
    </row>
    <row r="4" spans="1:5" x14ac:dyDescent="0.25">
      <c r="A4" s="8" t="s">
        <v>41</v>
      </c>
      <c r="B4" s="4">
        <v>4195397</v>
      </c>
      <c r="D4" s="8">
        <v>2024</v>
      </c>
      <c r="E4" s="4">
        <v>226</v>
      </c>
    </row>
    <row r="5" spans="1:5" x14ac:dyDescent="0.25">
      <c r="A5" s="8" t="s">
        <v>95</v>
      </c>
      <c r="B5" s="4">
        <v>221587</v>
      </c>
      <c r="D5" s="8">
        <v>2025</v>
      </c>
      <c r="E5" s="4">
        <v>202</v>
      </c>
    </row>
    <row r="6" spans="1:5" x14ac:dyDescent="0.25">
      <c r="A6" s="8" t="s">
        <v>53</v>
      </c>
      <c r="B6" s="4">
        <v>5552805</v>
      </c>
      <c r="D6" s="8">
        <v>2026</v>
      </c>
      <c r="E6" s="4">
        <v>73</v>
      </c>
    </row>
    <row r="7" spans="1:5" x14ac:dyDescent="0.25">
      <c r="A7" s="8" t="s">
        <v>14</v>
      </c>
      <c r="B7" s="4">
        <v>5665916</v>
      </c>
      <c r="D7" s="8" t="s">
        <v>897</v>
      </c>
      <c r="E7" s="4">
        <v>501</v>
      </c>
    </row>
    <row r="8" spans="1:5" x14ac:dyDescent="0.25">
      <c r="A8" s="8" t="s">
        <v>63</v>
      </c>
      <c r="B8" s="4">
        <v>4905665</v>
      </c>
    </row>
    <row r="9" spans="1:5" x14ac:dyDescent="0.25">
      <c r="A9" s="8" t="s">
        <v>36</v>
      </c>
      <c r="B9" s="4">
        <v>5882492</v>
      </c>
    </row>
    <row r="10" spans="1:5" x14ac:dyDescent="0.25">
      <c r="A10" s="8" t="s">
        <v>897</v>
      </c>
      <c r="B10" s="4">
        <v>26423862</v>
      </c>
      <c r="C10" s="14" t="s">
        <v>896</v>
      </c>
      <c r="D10" t="s">
        <v>945</v>
      </c>
    </row>
    <row r="11" spans="1:5" x14ac:dyDescent="0.25">
      <c r="C11" s="8" t="s">
        <v>48</v>
      </c>
      <c r="D11" s="4">
        <v>466968.74000000005</v>
      </c>
    </row>
    <row r="12" spans="1:5" x14ac:dyDescent="0.25">
      <c r="C12" s="8" t="s">
        <v>56</v>
      </c>
      <c r="D12" s="4">
        <v>655001.23000000021</v>
      </c>
    </row>
    <row r="13" spans="1:5" x14ac:dyDescent="0.25">
      <c r="A13" s="14" t="s">
        <v>896</v>
      </c>
      <c r="B13" t="s">
        <v>911</v>
      </c>
      <c r="C13" s="8" t="s">
        <v>26</v>
      </c>
      <c r="D13" s="4">
        <v>598906.59000000008</v>
      </c>
    </row>
    <row r="14" spans="1:5" x14ac:dyDescent="0.25">
      <c r="A14" s="8" t="s">
        <v>24</v>
      </c>
      <c r="B14" s="4">
        <v>341</v>
      </c>
      <c r="C14" s="8" t="s">
        <v>17</v>
      </c>
      <c r="D14" s="4">
        <v>525005.22999999986</v>
      </c>
    </row>
    <row r="15" spans="1:5" x14ac:dyDescent="0.25">
      <c r="A15" s="8" t="s">
        <v>15</v>
      </c>
      <c r="B15" s="4">
        <v>34</v>
      </c>
      <c r="C15" s="8" t="s">
        <v>897</v>
      </c>
      <c r="D15" s="4">
        <v>2245881.79</v>
      </c>
    </row>
    <row r="16" spans="1:5" x14ac:dyDescent="0.25">
      <c r="A16" s="8" t="s">
        <v>54</v>
      </c>
      <c r="B16" s="4">
        <v>72</v>
      </c>
    </row>
    <row r="17" spans="1:3" x14ac:dyDescent="0.25">
      <c r="A17" s="8" t="s">
        <v>31</v>
      </c>
      <c r="B17" s="4">
        <v>54</v>
      </c>
    </row>
    <row r="18" spans="1:3" x14ac:dyDescent="0.25">
      <c r="A18" s="8" t="s">
        <v>897</v>
      </c>
      <c r="B18" s="4">
        <v>501</v>
      </c>
    </row>
    <row r="32" spans="1:3" x14ac:dyDescent="0.25">
      <c r="A32" s="24"/>
      <c r="B32" s="25"/>
      <c r="C32" s="26"/>
    </row>
    <row r="33" spans="1:9" x14ac:dyDescent="0.25">
      <c r="A33" s="27"/>
      <c r="B33" s="28"/>
      <c r="C33" s="29"/>
    </row>
    <row r="34" spans="1:9" x14ac:dyDescent="0.25">
      <c r="A34" s="27"/>
      <c r="B34" s="28"/>
      <c r="C34" s="29"/>
    </row>
    <row r="35" spans="1:9" x14ac:dyDescent="0.25">
      <c r="A35" s="27"/>
      <c r="B35" s="28"/>
      <c r="C35" s="29"/>
    </row>
    <row r="36" spans="1:9" x14ac:dyDescent="0.25">
      <c r="A36" s="27"/>
      <c r="B36" s="28"/>
      <c r="C36" s="29"/>
    </row>
    <row r="37" spans="1:9" x14ac:dyDescent="0.25">
      <c r="A37" s="27"/>
      <c r="B37" s="28"/>
      <c r="C37" s="29"/>
      <c r="H37" s="14" t="s">
        <v>896</v>
      </c>
      <c r="I37" t="s">
        <v>944</v>
      </c>
    </row>
    <row r="38" spans="1:9" x14ac:dyDescent="0.25">
      <c r="A38" s="27"/>
      <c r="B38" s="28"/>
      <c r="C38" s="29"/>
      <c r="D38" s="8" t="s">
        <v>27</v>
      </c>
      <c r="E38" s="4">
        <v>12327832</v>
      </c>
      <c r="H38" s="8" t="s">
        <v>27</v>
      </c>
      <c r="I38" s="4">
        <v>12327832</v>
      </c>
    </row>
    <row r="39" spans="1:9" x14ac:dyDescent="0.25">
      <c r="A39" s="27"/>
      <c r="B39" s="28"/>
      <c r="C39" s="29"/>
      <c r="D39" s="8" t="s">
        <v>19</v>
      </c>
      <c r="E39" s="4">
        <v>6184895</v>
      </c>
      <c r="H39" s="8" t="s">
        <v>19</v>
      </c>
      <c r="I39" s="4">
        <v>6184895</v>
      </c>
    </row>
    <row r="40" spans="1:9" x14ac:dyDescent="0.25">
      <c r="A40" s="27"/>
      <c r="B40" s="28"/>
      <c r="C40" s="29"/>
      <c r="D40" s="8" t="s">
        <v>58</v>
      </c>
      <c r="E40" s="4">
        <v>7911135</v>
      </c>
      <c r="H40" s="8" t="s">
        <v>58</v>
      </c>
      <c r="I40" s="4">
        <v>7911135</v>
      </c>
    </row>
    <row r="41" spans="1:9" x14ac:dyDescent="0.25">
      <c r="A41" s="27"/>
      <c r="B41" s="28"/>
      <c r="C41" s="29"/>
      <c r="H41" s="8" t="s">
        <v>897</v>
      </c>
      <c r="I41" s="4">
        <v>26423862</v>
      </c>
    </row>
    <row r="42" spans="1:9" x14ac:dyDescent="0.25">
      <c r="A42" s="27"/>
      <c r="B42" s="28"/>
      <c r="C42" s="29"/>
    </row>
    <row r="43" spans="1:9" x14ac:dyDescent="0.25">
      <c r="A43" s="27"/>
      <c r="B43" s="28"/>
      <c r="C43" s="29"/>
    </row>
    <row r="44" spans="1:9" x14ac:dyDescent="0.25">
      <c r="A44" s="27"/>
      <c r="B44" s="28"/>
      <c r="C44" s="29"/>
    </row>
    <row r="45" spans="1:9" x14ac:dyDescent="0.25">
      <c r="A45" s="27"/>
      <c r="B45" s="28"/>
      <c r="C45" s="29"/>
    </row>
    <row r="46" spans="1:9" x14ac:dyDescent="0.25">
      <c r="A46" s="27"/>
      <c r="B46" s="28"/>
      <c r="C46" s="29"/>
    </row>
    <row r="47" spans="1:9" x14ac:dyDescent="0.25">
      <c r="A47" s="27"/>
      <c r="B47" s="28"/>
      <c r="C47" s="29"/>
    </row>
    <row r="48" spans="1:9" x14ac:dyDescent="0.25">
      <c r="A48" s="27"/>
      <c r="B48" s="28"/>
      <c r="C48" s="29"/>
    </row>
    <row r="49" spans="1:9" x14ac:dyDescent="0.25">
      <c r="A49" s="30"/>
      <c r="B49" s="31"/>
      <c r="C49" s="32"/>
    </row>
    <row r="51" spans="1:9" x14ac:dyDescent="0.25">
      <c r="A51" s="14" t="s">
        <v>896</v>
      </c>
      <c r="B51" t="s">
        <v>944</v>
      </c>
    </row>
    <row r="52" spans="1:9" x14ac:dyDescent="0.25">
      <c r="A52" s="8" t="s">
        <v>13</v>
      </c>
      <c r="B52" s="4">
        <v>3100718</v>
      </c>
      <c r="D52" s="8" t="s">
        <v>13</v>
      </c>
      <c r="E52" s="4">
        <v>3100718</v>
      </c>
    </row>
    <row r="53" spans="1:9" x14ac:dyDescent="0.25">
      <c r="A53" s="8" t="s">
        <v>23</v>
      </c>
      <c r="B53" s="4">
        <v>1938705</v>
      </c>
      <c r="D53" s="8" t="s">
        <v>23</v>
      </c>
      <c r="E53" s="4">
        <v>1938705</v>
      </c>
    </row>
    <row r="54" spans="1:9" x14ac:dyDescent="0.25">
      <c r="A54" s="8" t="s">
        <v>35</v>
      </c>
      <c r="B54" s="4">
        <v>2978248</v>
      </c>
      <c r="D54" s="8" t="s">
        <v>35</v>
      </c>
      <c r="E54" s="4">
        <v>2978248</v>
      </c>
    </row>
    <row r="55" spans="1:9" x14ac:dyDescent="0.25">
      <c r="A55" s="8" t="s">
        <v>70</v>
      </c>
      <c r="B55" s="4">
        <v>5077277</v>
      </c>
      <c r="D55" s="8" t="s">
        <v>70</v>
      </c>
      <c r="E55" s="4">
        <v>5077277</v>
      </c>
      <c r="I55">
        <v>2573162</v>
      </c>
    </row>
    <row r="56" spans="1:9" x14ac:dyDescent="0.25">
      <c r="A56" s="8" t="s">
        <v>30</v>
      </c>
      <c r="B56" s="4">
        <v>2573162</v>
      </c>
      <c r="D56" s="8" t="s">
        <v>30</v>
      </c>
      <c r="E56" s="4">
        <v>2573162</v>
      </c>
      <c r="I56">
        <v>2687744</v>
      </c>
    </row>
    <row r="57" spans="1:9" x14ac:dyDescent="0.25">
      <c r="A57" s="8" t="s">
        <v>46</v>
      </c>
      <c r="B57" s="4">
        <v>2687744</v>
      </c>
      <c r="D57" s="8" t="s">
        <v>46</v>
      </c>
      <c r="E57" s="4">
        <v>2687744</v>
      </c>
      <c r="I57">
        <v>5402578</v>
      </c>
    </row>
    <row r="58" spans="1:9" x14ac:dyDescent="0.25">
      <c r="A58" s="8" t="s">
        <v>40</v>
      </c>
      <c r="B58" s="4">
        <v>5402578</v>
      </c>
      <c r="D58" s="8" t="s">
        <v>40</v>
      </c>
      <c r="E58" s="4">
        <v>5402578</v>
      </c>
      <c r="I58">
        <v>2665430</v>
      </c>
    </row>
    <row r="59" spans="1:9" x14ac:dyDescent="0.25">
      <c r="A59" s="8" t="s">
        <v>66</v>
      </c>
      <c r="B59" s="4">
        <v>2665430</v>
      </c>
      <c r="D59" s="8" t="s">
        <v>66</v>
      </c>
      <c r="E59" s="4">
        <v>2665430</v>
      </c>
    </row>
    <row r="60" spans="1:9" x14ac:dyDescent="0.25">
      <c r="A60" s="8" t="s">
        <v>897</v>
      </c>
      <c r="B60" s="4">
        <v>26423862</v>
      </c>
    </row>
    <row r="66" spans="1:6" x14ac:dyDescent="0.25">
      <c r="A66" s="14" t="s">
        <v>896</v>
      </c>
      <c r="B66" t="s">
        <v>945</v>
      </c>
    </row>
    <row r="67" spans="1:6" x14ac:dyDescent="0.25">
      <c r="A67" s="8" t="s">
        <v>38</v>
      </c>
      <c r="B67" s="4">
        <v>1356960.1399999997</v>
      </c>
      <c r="D67" s="8" t="s">
        <v>38</v>
      </c>
      <c r="E67" s="4">
        <v>1356960.1399999997</v>
      </c>
    </row>
    <row r="68" spans="1:6" x14ac:dyDescent="0.25">
      <c r="A68" s="8" t="s">
        <v>20</v>
      </c>
      <c r="B68" s="4">
        <v>93822.349999999991</v>
      </c>
      <c r="D68" s="8" t="s">
        <v>20</v>
      </c>
      <c r="E68" s="4">
        <v>93822.349999999991</v>
      </c>
    </row>
    <row r="69" spans="1:6" x14ac:dyDescent="0.25">
      <c r="A69" s="8" t="s">
        <v>33</v>
      </c>
      <c r="B69" s="4">
        <v>795099.3</v>
      </c>
      <c r="D69" s="8" t="s">
        <v>33</v>
      </c>
      <c r="E69" s="4">
        <v>795099.3</v>
      </c>
    </row>
    <row r="70" spans="1:6" x14ac:dyDescent="0.25">
      <c r="A70" s="8" t="s">
        <v>897</v>
      </c>
      <c r="B70" s="4">
        <v>2245881.79</v>
      </c>
    </row>
    <row r="75" spans="1:6" x14ac:dyDescent="0.25">
      <c r="A75" s="14" t="s">
        <v>896</v>
      </c>
      <c r="B75" t="s">
        <v>944</v>
      </c>
    </row>
    <row r="76" spans="1:6" x14ac:dyDescent="0.25">
      <c r="A76" s="8">
        <v>2024</v>
      </c>
      <c r="B76" s="4">
        <v>12230746</v>
      </c>
      <c r="D76" s="8" t="s">
        <v>48</v>
      </c>
      <c r="E76" s="4">
        <v>466968.74000000005</v>
      </c>
      <c r="F76" s="4">
        <v>5614616</v>
      </c>
    </row>
    <row r="77" spans="1:6" x14ac:dyDescent="0.25">
      <c r="A77" s="8">
        <v>2025</v>
      </c>
      <c r="B77" s="4">
        <v>10342678</v>
      </c>
      <c r="D77" s="8" t="s">
        <v>56</v>
      </c>
      <c r="E77" s="4">
        <v>655001.23000000021</v>
      </c>
      <c r="F77" s="4">
        <v>7911135</v>
      </c>
    </row>
    <row r="78" spans="1:6" x14ac:dyDescent="0.25">
      <c r="A78" s="8">
        <v>2026</v>
      </c>
      <c r="B78" s="4">
        <v>3850438</v>
      </c>
      <c r="D78" s="8" t="s">
        <v>26</v>
      </c>
      <c r="E78" s="4">
        <v>598906.59000000008</v>
      </c>
      <c r="F78" s="4">
        <v>6713216</v>
      </c>
    </row>
    <row r="79" spans="1:6" x14ac:dyDescent="0.25">
      <c r="A79" s="8" t="s">
        <v>897</v>
      </c>
      <c r="B79" s="4">
        <v>26423862</v>
      </c>
      <c r="D79" s="8" t="s">
        <v>17</v>
      </c>
      <c r="E79" s="4">
        <v>525005.22999999986</v>
      </c>
      <c r="F79" s="4">
        <v>6184895</v>
      </c>
    </row>
  </sheetData>
  <pageMargins left="0.7" right="0.7" top="0.75" bottom="0.75" header="0.3" footer="0.3"/>
  <drawing r:id="rId1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01"/>
  <sheetViews>
    <sheetView zoomScaleNormal="100" workbookViewId="0">
      <selection activeCell="J8" sqref="J8"/>
    </sheetView>
  </sheetViews>
  <sheetFormatPr defaultRowHeight="15" x14ac:dyDescent="0.25"/>
  <cols>
    <col min="1" max="1" width="17.28515625" bestFit="1" customWidth="1"/>
    <col min="2" max="2" width="19.140625" bestFit="1" customWidth="1"/>
    <col min="3" max="3" width="20.28515625" customWidth="1"/>
    <col min="4" max="4" width="27.28515625" customWidth="1"/>
    <col min="5" max="5" width="19.28515625" customWidth="1"/>
    <col min="6" max="6" width="18.28515625" customWidth="1"/>
    <col min="7" max="7" width="13.42578125" customWidth="1"/>
    <col min="8" max="8" width="16" customWidth="1"/>
  </cols>
  <sheetData>
    <row r="1" spans="1:8" x14ac:dyDescent="0.25">
      <c r="A1" t="s">
        <v>791</v>
      </c>
      <c r="B1" t="s">
        <v>894</v>
      </c>
      <c r="C1" t="s">
        <v>895</v>
      </c>
      <c r="D1" t="s">
        <v>5</v>
      </c>
      <c r="E1" t="s">
        <v>917</v>
      </c>
      <c r="F1" t="s">
        <v>918</v>
      </c>
      <c r="G1" t="s">
        <v>7</v>
      </c>
      <c r="H1" t="s">
        <v>940</v>
      </c>
    </row>
    <row r="2" spans="1:8" x14ac:dyDescent="0.25">
      <c r="A2" s="4" t="s">
        <v>17</v>
      </c>
      <c r="B2" s="6">
        <v>3263.73</v>
      </c>
      <c r="C2" s="6">
        <v>35034.370000000003</v>
      </c>
      <c r="D2" s="16" t="s">
        <v>17</v>
      </c>
      <c r="E2" s="16">
        <v>112.18</v>
      </c>
      <c r="F2" s="16">
        <f t="shared" ref="F2:F65" si="0">IF(E2="",VLOOKUP(D2,$A$1:$B$5,2,FALSE),E2)</f>
        <v>112.18</v>
      </c>
      <c r="G2" s="16">
        <v>1164.33</v>
      </c>
      <c r="H2" s="19">
        <f t="shared" ref="H2:H65" si="1">IF(G2="",VLOOKUP(D2,$A$1:$C$5,3,FALSE),G2)</f>
        <v>1164.33</v>
      </c>
    </row>
    <row r="3" spans="1:8" x14ac:dyDescent="0.25">
      <c r="A3" s="4" t="s">
        <v>26</v>
      </c>
      <c r="B3" s="6">
        <v>4205.87</v>
      </c>
      <c r="C3" s="6">
        <v>44766.91</v>
      </c>
      <c r="D3" s="16" t="s">
        <v>26</v>
      </c>
      <c r="E3" s="16">
        <v>1786.55</v>
      </c>
      <c r="F3" s="16">
        <f t="shared" si="0"/>
        <v>1786.55</v>
      </c>
      <c r="G3" s="16">
        <v>24143.48</v>
      </c>
      <c r="H3" s="19">
        <f t="shared" si="1"/>
        <v>24143.48</v>
      </c>
    </row>
    <row r="4" spans="1:8" x14ac:dyDescent="0.25">
      <c r="A4" s="4" t="s">
        <v>48</v>
      </c>
      <c r="B4" s="6">
        <v>3571.15</v>
      </c>
      <c r="C4" s="6">
        <v>43569.509999999995</v>
      </c>
      <c r="D4" s="16" t="s">
        <v>17</v>
      </c>
      <c r="E4" s="16">
        <v>2840.65</v>
      </c>
      <c r="F4" s="16">
        <f t="shared" si="0"/>
        <v>2840.65</v>
      </c>
      <c r="G4" s="16">
        <v>28037.81</v>
      </c>
      <c r="H4" s="19">
        <f t="shared" si="1"/>
        <v>28037.81</v>
      </c>
    </row>
    <row r="5" spans="1:8" x14ac:dyDescent="0.25">
      <c r="A5" s="4" t="s">
        <v>56</v>
      </c>
      <c r="B5" s="6">
        <v>4148.93</v>
      </c>
      <c r="C5" s="6">
        <v>47369.56</v>
      </c>
      <c r="D5" s="16" t="s">
        <v>26</v>
      </c>
      <c r="E5" s="16">
        <v>8446.73</v>
      </c>
      <c r="F5" s="16">
        <f t="shared" si="0"/>
        <v>8446.73</v>
      </c>
      <c r="G5" s="16">
        <v>67725.52</v>
      </c>
      <c r="H5" s="19">
        <f t="shared" si="1"/>
        <v>67725.52</v>
      </c>
    </row>
    <row r="6" spans="1:8" x14ac:dyDescent="0.25">
      <c r="D6" s="16" t="s">
        <v>17</v>
      </c>
      <c r="E6" s="16">
        <v>532.26</v>
      </c>
      <c r="F6" s="16">
        <f t="shared" si="0"/>
        <v>532.26</v>
      </c>
      <c r="G6" s="16">
        <v>6963.22</v>
      </c>
      <c r="H6" s="19">
        <f t="shared" si="1"/>
        <v>6963.22</v>
      </c>
    </row>
    <row r="7" spans="1:8" x14ac:dyDescent="0.25">
      <c r="D7" s="16" t="s">
        <v>17</v>
      </c>
      <c r="E7" s="16">
        <v>914.32</v>
      </c>
      <c r="F7" s="16">
        <f t="shared" si="0"/>
        <v>914.32</v>
      </c>
      <c r="G7" s="16">
        <v>12674.61</v>
      </c>
      <c r="H7" s="19">
        <f t="shared" si="1"/>
        <v>12674.61</v>
      </c>
    </row>
    <row r="8" spans="1:8" x14ac:dyDescent="0.25">
      <c r="D8" s="16" t="s">
        <v>17</v>
      </c>
      <c r="E8" s="16">
        <v>1170.73</v>
      </c>
      <c r="F8" s="16">
        <f t="shared" si="0"/>
        <v>1170.73</v>
      </c>
      <c r="G8" s="16">
        <v>14118.38</v>
      </c>
      <c r="H8" s="19">
        <f t="shared" si="1"/>
        <v>14118.38</v>
      </c>
    </row>
    <row r="9" spans="1:8" x14ac:dyDescent="0.25">
      <c r="D9" s="16" t="s">
        <v>48</v>
      </c>
      <c r="E9" s="16">
        <v>6854.04</v>
      </c>
      <c r="F9" s="16">
        <f t="shared" si="0"/>
        <v>6854.04</v>
      </c>
      <c r="G9" s="16">
        <v>86495.14</v>
      </c>
      <c r="H9" s="19">
        <f t="shared" si="1"/>
        <v>86495.14</v>
      </c>
    </row>
    <row r="10" spans="1:8" x14ac:dyDescent="0.25">
      <c r="D10" s="16" t="s">
        <v>48</v>
      </c>
      <c r="E10" s="16">
        <v>5442.55</v>
      </c>
      <c r="F10" s="16">
        <f t="shared" si="0"/>
        <v>5442.55</v>
      </c>
      <c r="G10" s="16">
        <v>76504.97</v>
      </c>
      <c r="H10" s="19">
        <f t="shared" si="1"/>
        <v>76504.97</v>
      </c>
    </row>
    <row r="11" spans="1:8" x14ac:dyDescent="0.25">
      <c r="D11" s="16" t="s">
        <v>56</v>
      </c>
      <c r="E11" s="16">
        <v>20.91</v>
      </c>
      <c r="F11" s="16">
        <f t="shared" si="0"/>
        <v>20.91</v>
      </c>
      <c r="G11" s="16">
        <v>232.64</v>
      </c>
      <c r="H11" s="19">
        <f t="shared" si="1"/>
        <v>232.64</v>
      </c>
    </row>
    <row r="12" spans="1:8" x14ac:dyDescent="0.25">
      <c r="D12" s="16" t="s">
        <v>56</v>
      </c>
      <c r="E12" s="16">
        <v>4693.49</v>
      </c>
      <c r="F12" s="16">
        <f t="shared" si="0"/>
        <v>4693.49</v>
      </c>
      <c r="G12" s="16">
        <v>53460.68</v>
      </c>
      <c r="H12" s="19">
        <f t="shared" si="1"/>
        <v>53460.68</v>
      </c>
    </row>
    <row r="13" spans="1:8" x14ac:dyDescent="0.25">
      <c r="D13" s="16" t="s">
        <v>26</v>
      </c>
      <c r="E13" s="16">
        <v>11230.51</v>
      </c>
      <c r="F13" s="16">
        <f t="shared" si="0"/>
        <v>11230.51</v>
      </c>
      <c r="G13" s="16">
        <v>115978.37</v>
      </c>
      <c r="H13" s="19">
        <f t="shared" si="1"/>
        <v>115978.37</v>
      </c>
    </row>
    <row r="14" spans="1:8" x14ac:dyDescent="0.25">
      <c r="D14" s="16" t="s">
        <v>48</v>
      </c>
      <c r="E14" s="16">
        <v>11680.26</v>
      </c>
      <c r="F14" s="16">
        <f t="shared" si="0"/>
        <v>11680.26</v>
      </c>
      <c r="G14" s="16">
        <v>155815.94</v>
      </c>
      <c r="H14" s="19">
        <f t="shared" si="1"/>
        <v>155815.94</v>
      </c>
    </row>
    <row r="15" spans="1:8" x14ac:dyDescent="0.25">
      <c r="D15" s="16" t="s">
        <v>26</v>
      </c>
      <c r="E15" s="16">
        <v>958.79</v>
      </c>
      <c r="F15" s="16">
        <f t="shared" si="0"/>
        <v>958.79</v>
      </c>
      <c r="G15" s="16">
        <v>10201.98</v>
      </c>
      <c r="H15" s="19">
        <f t="shared" si="1"/>
        <v>10201.98</v>
      </c>
    </row>
    <row r="16" spans="1:8" x14ac:dyDescent="0.25">
      <c r="D16" s="16" t="s">
        <v>56</v>
      </c>
      <c r="E16" s="16"/>
      <c r="F16" s="16">
        <f t="shared" si="0"/>
        <v>4148.93</v>
      </c>
      <c r="G16" s="16">
        <v>67053.03</v>
      </c>
      <c r="H16" s="19">
        <f t="shared" si="1"/>
        <v>67053.03</v>
      </c>
    </row>
    <row r="17" spans="4:8" x14ac:dyDescent="0.25">
      <c r="D17" s="16" t="s">
        <v>26</v>
      </c>
      <c r="E17" s="16">
        <v>8343.77</v>
      </c>
      <c r="F17" s="16">
        <f t="shared" si="0"/>
        <v>8343.77</v>
      </c>
      <c r="G17" s="16">
        <v>117540.46</v>
      </c>
      <c r="H17" s="19">
        <f t="shared" si="1"/>
        <v>117540.46</v>
      </c>
    </row>
    <row r="18" spans="4:8" x14ac:dyDescent="0.25">
      <c r="D18" s="16" t="s">
        <v>56</v>
      </c>
      <c r="E18" s="16">
        <v>8169.73</v>
      </c>
      <c r="F18" s="16">
        <f t="shared" si="0"/>
        <v>8169.73</v>
      </c>
      <c r="G18" s="16">
        <v>121446.49</v>
      </c>
      <c r="H18" s="19">
        <f t="shared" si="1"/>
        <v>121446.49</v>
      </c>
    </row>
    <row r="19" spans="4:8" x14ac:dyDescent="0.25">
      <c r="D19" s="16" t="s">
        <v>48</v>
      </c>
      <c r="E19" s="16">
        <v>4567.3</v>
      </c>
      <c r="F19" s="16">
        <f t="shared" si="0"/>
        <v>4567.3</v>
      </c>
      <c r="G19" s="16">
        <v>44173.279999999999</v>
      </c>
      <c r="H19" s="19">
        <f t="shared" si="1"/>
        <v>44173.279999999999</v>
      </c>
    </row>
    <row r="20" spans="4:8" x14ac:dyDescent="0.25">
      <c r="D20" s="16" t="s">
        <v>17</v>
      </c>
      <c r="E20" s="16">
        <v>1723.66</v>
      </c>
      <c r="F20" s="16">
        <f t="shared" si="0"/>
        <v>1723.66</v>
      </c>
      <c r="G20" s="16">
        <v>18410.060000000001</v>
      </c>
      <c r="H20" s="19">
        <f t="shared" si="1"/>
        <v>18410.060000000001</v>
      </c>
    </row>
    <row r="21" spans="4:8" x14ac:dyDescent="0.25">
      <c r="D21" s="16" t="s">
        <v>48</v>
      </c>
      <c r="E21" s="16">
        <v>10559.2</v>
      </c>
      <c r="F21" s="16">
        <f t="shared" si="0"/>
        <v>10559.2</v>
      </c>
      <c r="G21" s="16">
        <v>147745.29</v>
      </c>
      <c r="H21" s="19">
        <f t="shared" si="1"/>
        <v>147745.29</v>
      </c>
    </row>
    <row r="22" spans="4:8" x14ac:dyDescent="0.25">
      <c r="D22" s="16" t="s">
        <v>26</v>
      </c>
      <c r="E22" s="16">
        <v>11699.13</v>
      </c>
      <c r="F22" s="16">
        <f t="shared" si="0"/>
        <v>11699.13</v>
      </c>
      <c r="G22" s="16">
        <v>127233.02</v>
      </c>
      <c r="H22" s="19">
        <f t="shared" si="1"/>
        <v>127233.02</v>
      </c>
    </row>
    <row r="23" spans="4:8" x14ac:dyDescent="0.25">
      <c r="D23" s="16" t="s">
        <v>26</v>
      </c>
      <c r="E23" s="16">
        <v>9118.99</v>
      </c>
      <c r="F23" s="16">
        <f t="shared" si="0"/>
        <v>9118.99</v>
      </c>
      <c r="G23" s="16">
        <v>93262.05</v>
      </c>
      <c r="H23" s="19">
        <f t="shared" si="1"/>
        <v>93262.05</v>
      </c>
    </row>
    <row r="24" spans="4:8" x14ac:dyDescent="0.25">
      <c r="D24" s="16" t="s">
        <v>48</v>
      </c>
      <c r="E24" s="16"/>
      <c r="F24" s="16">
        <f t="shared" si="0"/>
        <v>3571.15</v>
      </c>
      <c r="G24" s="16">
        <v>126073.72</v>
      </c>
      <c r="H24" s="19">
        <f t="shared" si="1"/>
        <v>126073.72</v>
      </c>
    </row>
    <row r="25" spans="4:8" x14ac:dyDescent="0.25">
      <c r="D25" s="16" t="s">
        <v>48</v>
      </c>
      <c r="E25" s="16">
        <v>786.54</v>
      </c>
      <c r="F25" s="16">
        <f t="shared" si="0"/>
        <v>786.54</v>
      </c>
      <c r="G25" s="16">
        <v>11321.47</v>
      </c>
      <c r="H25" s="19">
        <f t="shared" si="1"/>
        <v>11321.47</v>
      </c>
    </row>
    <row r="26" spans="4:8" x14ac:dyDescent="0.25">
      <c r="D26" s="16" t="s">
        <v>56</v>
      </c>
      <c r="E26" s="16">
        <v>2368.77</v>
      </c>
      <c r="F26" s="16">
        <f t="shared" si="0"/>
        <v>2368.77</v>
      </c>
      <c r="G26" s="16">
        <v>25271.5</v>
      </c>
      <c r="H26" s="19">
        <f t="shared" si="1"/>
        <v>25271.5</v>
      </c>
    </row>
    <row r="27" spans="4:8" x14ac:dyDescent="0.25">
      <c r="D27" s="16" t="s">
        <v>26</v>
      </c>
      <c r="E27" s="16">
        <v>9698.7000000000007</v>
      </c>
      <c r="F27" s="16">
        <f t="shared" si="0"/>
        <v>9698.7000000000007</v>
      </c>
      <c r="G27" s="16">
        <v>144693.92000000001</v>
      </c>
      <c r="H27" s="19">
        <f t="shared" si="1"/>
        <v>144693.92000000001</v>
      </c>
    </row>
    <row r="28" spans="4:8" x14ac:dyDescent="0.25">
      <c r="D28" s="16" t="s">
        <v>26</v>
      </c>
      <c r="E28" s="16">
        <v>88.53</v>
      </c>
      <c r="F28" s="16">
        <f t="shared" si="0"/>
        <v>88.53</v>
      </c>
      <c r="G28" s="16">
        <v>1199.29</v>
      </c>
      <c r="H28" s="19">
        <f t="shared" si="1"/>
        <v>1199.29</v>
      </c>
    </row>
    <row r="29" spans="4:8" x14ac:dyDescent="0.25">
      <c r="D29" s="16" t="s">
        <v>48</v>
      </c>
      <c r="E29" s="16">
        <v>206.15</v>
      </c>
      <c r="F29" s="16">
        <f t="shared" si="0"/>
        <v>206.15</v>
      </c>
      <c r="G29" s="16">
        <v>2590.1</v>
      </c>
      <c r="H29" s="19">
        <f t="shared" si="1"/>
        <v>2590.1</v>
      </c>
    </row>
    <row r="30" spans="4:8" x14ac:dyDescent="0.25">
      <c r="D30" s="16" t="s">
        <v>17</v>
      </c>
      <c r="E30" s="16">
        <v>2562.65</v>
      </c>
      <c r="F30" s="16">
        <f t="shared" si="0"/>
        <v>2562.65</v>
      </c>
      <c r="G30" s="16">
        <v>23229.75</v>
      </c>
      <c r="H30" s="19">
        <f t="shared" si="1"/>
        <v>23229.75</v>
      </c>
    </row>
    <row r="31" spans="4:8" x14ac:dyDescent="0.25">
      <c r="D31" s="16" t="s">
        <v>26</v>
      </c>
      <c r="E31" s="16">
        <v>462.24</v>
      </c>
      <c r="F31" s="16">
        <f t="shared" si="0"/>
        <v>462.24</v>
      </c>
      <c r="G31" s="16">
        <v>6819.78</v>
      </c>
      <c r="H31" s="19">
        <f t="shared" si="1"/>
        <v>6819.78</v>
      </c>
    </row>
    <row r="32" spans="4:8" x14ac:dyDescent="0.25">
      <c r="D32" s="16" t="s">
        <v>17</v>
      </c>
      <c r="E32" s="16">
        <v>156.47999999999999</v>
      </c>
      <c r="F32" s="16">
        <f t="shared" si="0"/>
        <v>156.47999999999999</v>
      </c>
      <c r="G32" s="16">
        <v>1390.13</v>
      </c>
      <c r="H32" s="19">
        <f t="shared" si="1"/>
        <v>1390.13</v>
      </c>
    </row>
    <row r="33" spans="4:8" x14ac:dyDescent="0.25">
      <c r="D33" s="16" t="s">
        <v>48</v>
      </c>
      <c r="E33" s="16">
        <v>5234.7</v>
      </c>
      <c r="F33" s="16">
        <f t="shared" si="0"/>
        <v>5234.7</v>
      </c>
      <c r="G33" s="16">
        <v>77250.960000000006</v>
      </c>
      <c r="H33" s="19">
        <f t="shared" si="1"/>
        <v>77250.960000000006</v>
      </c>
    </row>
    <row r="34" spans="4:8" x14ac:dyDescent="0.25">
      <c r="D34" s="16" t="s">
        <v>48</v>
      </c>
      <c r="E34" s="16">
        <v>334.95</v>
      </c>
      <c r="F34" s="16">
        <f t="shared" si="0"/>
        <v>334.95</v>
      </c>
      <c r="G34" s="16">
        <v>3458.01</v>
      </c>
      <c r="H34" s="19">
        <f t="shared" si="1"/>
        <v>3458.01</v>
      </c>
    </row>
    <row r="35" spans="4:8" x14ac:dyDescent="0.25">
      <c r="D35" s="16" t="s">
        <v>56</v>
      </c>
      <c r="E35" s="16">
        <v>367.53</v>
      </c>
      <c r="F35" s="16">
        <f t="shared" si="0"/>
        <v>367.53</v>
      </c>
      <c r="G35" s="16">
        <v>3198.45</v>
      </c>
      <c r="H35" s="19">
        <f t="shared" si="1"/>
        <v>3198.45</v>
      </c>
    </row>
    <row r="36" spans="4:8" x14ac:dyDescent="0.25">
      <c r="D36" s="16" t="s">
        <v>26</v>
      </c>
      <c r="E36" s="16">
        <v>3353.92</v>
      </c>
      <c r="F36" s="16">
        <f t="shared" si="0"/>
        <v>3353.92</v>
      </c>
      <c r="G36" s="16">
        <v>46670.720000000001</v>
      </c>
      <c r="H36" s="19">
        <f t="shared" si="1"/>
        <v>46670.720000000001</v>
      </c>
    </row>
    <row r="37" spans="4:8" x14ac:dyDescent="0.25">
      <c r="D37" s="16" t="s">
        <v>17</v>
      </c>
      <c r="E37" s="16">
        <v>2330.7800000000002</v>
      </c>
      <c r="F37" s="16">
        <f t="shared" si="0"/>
        <v>2330.7800000000002</v>
      </c>
      <c r="G37" s="16">
        <v>20273.080000000002</v>
      </c>
      <c r="H37" s="19">
        <f t="shared" si="1"/>
        <v>20273.080000000002</v>
      </c>
    </row>
    <row r="38" spans="4:8" x14ac:dyDescent="0.25">
      <c r="D38" s="16" t="s">
        <v>56</v>
      </c>
      <c r="E38" s="16">
        <v>8564.7000000000007</v>
      </c>
      <c r="F38" s="16">
        <f t="shared" si="0"/>
        <v>8564.7000000000007</v>
      </c>
      <c r="G38" s="16">
        <v>123101.22</v>
      </c>
      <c r="H38" s="19">
        <f t="shared" si="1"/>
        <v>123101.22</v>
      </c>
    </row>
    <row r="39" spans="4:8" x14ac:dyDescent="0.25">
      <c r="D39" s="16" t="s">
        <v>26</v>
      </c>
      <c r="E39" s="16">
        <v>1209.3699999999999</v>
      </c>
      <c r="F39" s="16">
        <f t="shared" si="0"/>
        <v>1209.3699999999999</v>
      </c>
      <c r="G39" s="16">
        <v>9804.89</v>
      </c>
      <c r="H39" s="19">
        <f t="shared" si="1"/>
        <v>9804.89</v>
      </c>
    </row>
    <row r="40" spans="4:8" x14ac:dyDescent="0.25">
      <c r="D40" s="16" t="s">
        <v>56</v>
      </c>
      <c r="E40" s="16">
        <v>7.74</v>
      </c>
      <c r="F40" s="16">
        <f t="shared" si="0"/>
        <v>7.74</v>
      </c>
      <c r="G40" s="16">
        <v>69.73</v>
      </c>
      <c r="H40" s="19">
        <f t="shared" si="1"/>
        <v>69.73</v>
      </c>
    </row>
    <row r="41" spans="4:8" x14ac:dyDescent="0.25">
      <c r="D41" s="16" t="s">
        <v>48</v>
      </c>
      <c r="E41" s="16">
        <v>235.35</v>
      </c>
      <c r="F41" s="16">
        <f t="shared" si="0"/>
        <v>235.35</v>
      </c>
      <c r="G41" s="16">
        <v>3317.62</v>
      </c>
      <c r="H41" s="19">
        <f t="shared" si="1"/>
        <v>3317.62</v>
      </c>
    </row>
    <row r="42" spans="4:8" x14ac:dyDescent="0.25">
      <c r="D42" s="16" t="s">
        <v>26</v>
      </c>
      <c r="E42" s="16">
        <v>2795.09</v>
      </c>
      <c r="F42" s="16">
        <f t="shared" si="0"/>
        <v>2795.09</v>
      </c>
      <c r="G42" s="16">
        <v>41338.54</v>
      </c>
      <c r="H42" s="19">
        <f t="shared" si="1"/>
        <v>41338.54</v>
      </c>
    </row>
    <row r="43" spans="4:8" x14ac:dyDescent="0.25">
      <c r="D43" s="16" t="s">
        <v>56</v>
      </c>
      <c r="E43" s="16">
        <v>11062.2</v>
      </c>
      <c r="F43" s="16">
        <f t="shared" si="0"/>
        <v>11062.2</v>
      </c>
      <c r="G43" s="16">
        <v>94291.96</v>
      </c>
      <c r="H43" s="19">
        <f t="shared" si="1"/>
        <v>94291.96</v>
      </c>
    </row>
    <row r="44" spans="4:8" x14ac:dyDescent="0.25">
      <c r="D44" s="16" t="s">
        <v>56</v>
      </c>
      <c r="E44" s="16">
        <v>4521.07</v>
      </c>
      <c r="F44" s="16">
        <f t="shared" si="0"/>
        <v>4521.07</v>
      </c>
      <c r="G44" s="16">
        <v>60901.87</v>
      </c>
      <c r="H44" s="19">
        <f t="shared" si="1"/>
        <v>60901.87</v>
      </c>
    </row>
    <row r="45" spans="4:8" x14ac:dyDescent="0.25">
      <c r="D45" s="16" t="s">
        <v>17</v>
      </c>
      <c r="E45" s="16">
        <v>9936.17</v>
      </c>
      <c r="F45" s="16">
        <f t="shared" si="0"/>
        <v>9936.17</v>
      </c>
      <c r="G45" s="16">
        <v>97922.54</v>
      </c>
      <c r="H45" s="19">
        <f t="shared" si="1"/>
        <v>97922.54</v>
      </c>
    </row>
    <row r="46" spans="4:8" x14ac:dyDescent="0.25">
      <c r="D46" s="16" t="s">
        <v>56</v>
      </c>
      <c r="E46" s="16">
        <v>10520.21</v>
      </c>
      <c r="F46" s="16">
        <f t="shared" si="0"/>
        <v>10520.21</v>
      </c>
      <c r="G46" s="16">
        <v>130059.42</v>
      </c>
      <c r="H46" s="19">
        <f t="shared" si="1"/>
        <v>130059.42</v>
      </c>
    </row>
    <row r="47" spans="4:8" x14ac:dyDescent="0.25">
      <c r="D47" s="16" t="s">
        <v>26</v>
      </c>
      <c r="E47" s="16"/>
      <c r="F47" s="16">
        <f t="shared" si="0"/>
        <v>4205.87</v>
      </c>
      <c r="G47" s="16"/>
      <c r="H47" s="19">
        <f t="shared" si="1"/>
        <v>44766.91</v>
      </c>
    </row>
    <row r="48" spans="4:8" x14ac:dyDescent="0.25">
      <c r="D48" s="16" t="s">
        <v>26</v>
      </c>
      <c r="E48" s="16">
        <v>8090.38</v>
      </c>
      <c r="F48" s="16">
        <f t="shared" si="0"/>
        <v>8090.38</v>
      </c>
      <c r="G48" s="16">
        <v>69271.509999999995</v>
      </c>
      <c r="H48" s="19">
        <f t="shared" si="1"/>
        <v>69271.509999999995</v>
      </c>
    </row>
    <row r="49" spans="4:8" x14ac:dyDescent="0.25">
      <c r="D49" s="16" t="s">
        <v>17</v>
      </c>
      <c r="E49" s="16">
        <v>1255.55</v>
      </c>
      <c r="F49" s="16">
        <f t="shared" si="0"/>
        <v>1255.55</v>
      </c>
      <c r="G49" s="16">
        <v>12932.11</v>
      </c>
      <c r="H49" s="19">
        <f t="shared" si="1"/>
        <v>12932.11</v>
      </c>
    </row>
    <row r="50" spans="4:8" x14ac:dyDescent="0.25">
      <c r="D50" s="16" t="s">
        <v>26</v>
      </c>
      <c r="E50" s="16">
        <v>3703.94</v>
      </c>
      <c r="F50" s="16">
        <f t="shared" si="0"/>
        <v>3703.94</v>
      </c>
      <c r="G50" s="16"/>
      <c r="H50" s="19">
        <f t="shared" si="1"/>
        <v>44766.91</v>
      </c>
    </row>
    <row r="51" spans="4:8" x14ac:dyDescent="0.25">
      <c r="D51" s="16" t="s">
        <v>48</v>
      </c>
      <c r="E51" s="16">
        <v>1298.3399999999999</v>
      </c>
      <c r="F51" s="16">
        <f t="shared" si="0"/>
        <v>1298.3399999999999</v>
      </c>
      <c r="G51" s="16">
        <v>15236.48</v>
      </c>
      <c r="H51" s="19">
        <f t="shared" si="1"/>
        <v>15236.48</v>
      </c>
    </row>
    <row r="52" spans="4:8" x14ac:dyDescent="0.25">
      <c r="D52" s="16" t="s">
        <v>26</v>
      </c>
      <c r="E52" s="16">
        <v>9393.26</v>
      </c>
      <c r="F52" s="16">
        <f t="shared" si="0"/>
        <v>9393.26</v>
      </c>
      <c r="G52" s="16">
        <v>137883.45000000001</v>
      </c>
      <c r="H52" s="19">
        <f t="shared" si="1"/>
        <v>137883.45000000001</v>
      </c>
    </row>
    <row r="53" spans="4:8" x14ac:dyDescent="0.25">
      <c r="D53" s="16" t="s">
        <v>26</v>
      </c>
      <c r="E53" s="16">
        <v>4538.18</v>
      </c>
      <c r="F53" s="16">
        <f t="shared" si="0"/>
        <v>4538.18</v>
      </c>
      <c r="G53" s="16">
        <v>56217.13</v>
      </c>
      <c r="H53" s="19">
        <f t="shared" si="1"/>
        <v>56217.13</v>
      </c>
    </row>
    <row r="54" spans="4:8" x14ac:dyDescent="0.25">
      <c r="D54" s="16" t="s">
        <v>56</v>
      </c>
      <c r="E54" s="16">
        <v>101.88</v>
      </c>
      <c r="F54" s="16">
        <f t="shared" si="0"/>
        <v>101.88</v>
      </c>
      <c r="G54" s="16">
        <v>1447.93</v>
      </c>
      <c r="H54" s="19">
        <f t="shared" si="1"/>
        <v>1447.93</v>
      </c>
    </row>
    <row r="55" spans="4:8" x14ac:dyDescent="0.25">
      <c r="D55" s="16" t="s">
        <v>56</v>
      </c>
      <c r="E55" s="16">
        <v>8314.4599999999991</v>
      </c>
      <c r="F55" s="16">
        <f t="shared" si="0"/>
        <v>8314.4599999999991</v>
      </c>
      <c r="G55" s="16">
        <v>94914.82</v>
      </c>
      <c r="H55" s="19">
        <f t="shared" si="1"/>
        <v>94914.82</v>
      </c>
    </row>
    <row r="56" spans="4:8" x14ac:dyDescent="0.25">
      <c r="D56" s="16" t="s">
        <v>26</v>
      </c>
      <c r="E56" s="16">
        <v>2546.62</v>
      </c>
      <c r="F56" s="16">
        <f t="shared" si="0"/>
        <v>2546.62</v>
      </c>
      <c r="G56" s="16">
        <v>30017.3</v>
      </c>
      <c r="H56" s="19">
        <f t="shared" si="1"/>
        <v>30017.3</v>
      </c>
    </row>
    <row r="57" spans="4:8" x14ac:dyDescent="0.25">
      <c r="D57" s="16" t="s">
        <v>17</v>
      </c>
      <c r="E57" s="16">
        <v>4308.22</v>
      </c>
      <c r="F57" s="16">
        <f t="shared" si="0"/>
        <v>4308.22</v>
      </c>
      <c r="G57" s="16">
        <v>53086.82</v>
      </c>
      <c r="H57" s="19">
        <f t="shared" si="1"/>
        <v>53086.82</v>
      </c>
    </row>
    <row r="58" spans="4:8" x14ac:dyDescent="0.25">
      <c r="D58" s="16" t="s">
        <v>56</v>
      </c>
      <c r="E58" s="16">
        <v>180.04</v>
      </c>
      <c r="F58" s="16">
        <f t="shared" si="0"/>
        <v>180.04</v>
      </c>
      <c r="G58" s="16">
        <v>1736.2</v>
      </c>
      <c r="H58" s="19">
        <f t="shared" si="1"/>
        <v>1736.2</v>
      </c>
    </row>
    <row r="59" spans="4:8" x14ac:dyDescent="0.25">
      <c r="D59" s="16" t="s">
        <v>17</v>
      </c>
      <c r="E59" s="16">
        <v>10585.94</v>
      </c>
      <c r="F59" s="16">
        <f t="shared" si="0"/>
        <v>10585.94</v>
      </c>
      <c r="G59" s="16">
        <v>135402.60999999999</v>
      </c>
      <c r="H59" s="19">
        <f t="shared" si="1"/>
        <v>135402.60999999999</v>
      </c>
    </row>
    <row r="60" spans="4:8" x14ac:dyDescent="0.25">
      <c r="D60" s="16" t="s">
        <v>26</v>
      </c>
      <c r="E60" s="16">
        <v>857.52</v>
      </c>
      <c r="F60" s="16">
        <f t="shared" si="0"/>
        <v>857.52</v>
      </c>
      <c r="G60" s="16">
        <v>8585.19</v>
      </c>
      <c r="H60" s="19">
        <f t="shared" si="1"/>
        <v>8585.19</v>
      </c>
    </row>
    <row r="61" spans="4:8" x14ac:dyDescent="0.25">
      <c r="D61" s="16" t="s">
        <v>26</v>
      </c>
      <c r="E61" s="16">
        <v>290.29000000000002</v>
      </c>
      <c r="F61" s="16">
        <f t="shared" si="0"/>
        <v>290.29000000000002</v>
      </c>
      <c r="G61" s="16">
        <v>2784.58</v>
      </c>
      <c r="H61" s="19">
        <f t="shared" si="1"/>
        <v>2784.58</v>
      </c>
    </row>
    <row r="62" spans="4:8" x14ac:dyDescent="0.25">
      <c r="D62" s="16" t="s">
        <v>48</v>
      </c>
      <c r="E62" s="16">
        <v>11810.83</v>
      </c>
      <c r="F62" s="16">
        <f t="shared" si="0"/>
        <v>11810.83</v>
      </c>
      <c r="G62" s="16">
        <v>101958.82</v>
      </c>
      <c r="H62" s="19">
        <f t="shared" si="1"/>
        <v>101958.82</v>
      </c>
    </row>
    <row r="63" spans="4:8" x14ac:dyDescent="0.25">
      <c r="D63" s="16" t="s">
        <v>56</v>
      </c>
      <c r="E63" s="16">
        <v>939.96</v>
      </c>
      <c r="F63" s="16">
        <f t="shared" si="0"/>
        <v>939.96</v>
      </c>
      <c r="G63" s="16">
        <v>13956.87</v>
      </c>
      <c r="H63" s="19">
        <f t="shared" si="1"/>
        <v>13956.87</v>
      </c>
    </row>
    <row r="64" spans="4:8" x14ac:dyDescent="0.25">
      <c r="D64" s="16" t="s">
        <v>26</v>
      </c>
      <c r="E64" s="16">
        <v>1830.06</v>
      </c>
      <c r="F64" s="16">
        <f t="shared" si="0"/>
        <v>1830.06</v>
      </c>
      <c r="G64" s="16">
        <v>24381.14</v>
      </c>
      <c r="H64" s="19">
        <f t="shared" si="1"/>
        <v>24381.14</v>
      </c>
    </row>
    <row r="65" spans="4:8" x14ac:dyDescent="0.25">
      <c r="D65" s="16" t="s">
        <v>48</v>
      </c>
      <c r="E65" s="16">
        <v>69.14</v>
      </c>
      <c r="F65" s="16">
        <f t="shared" si="0"/>
        <v>69.14</v>
      </c>
      <c r="G65" s="16">
        <v>893.79</v>
      </c>
      <c r="H65" s="19">
        <f t="shared" si="1"/>
        <v>893.79</v>
      </c>
    </row>
    <row r="66" spans="4:8" x14ac:dyDescent="0.25">
      <c r="D66" s="16" t="s">
        <v>56</v>
      </c>
      <c r="E66" s="16">
        <v>9543.92</v>
      </c>
      <c r="F66" s="16">
        <f t="shared" ref="F66:F129" si="2">IF(E66="",VLOOKUP(D66,$A$1:$B$5,2,FALSE),E66)</f>
        <v>9543.92</v>
      </c>
      <c r="G66" s="16">
        <v>83065.990000000005</v>
      </c>
      <c r="H66" s="19">
        <f t="shared" ref="H66:H129" si="3">IF(G66="",VLOOKUP(D66,$A$1:$C$5,3,FALSE),G66)</f>
        <v>83065.990000000005</v>
      </c>
    </row>
    <row r="67" spans="4:8" x14ac:dyDescent="0.25">
      <c r="D67" s="16" t="s">
        <v>26</v>
      </c>
      <c r="E67" s="16">
        <v>218.2</v>
      </c>
      <c r="F67" s="16">
        <f t="shared" si="2"/>
        <v>218.2</v>
      </c>
      <c r="G67" s="16">
        <v>1999.71</v>
      </c>
      <c r="H67" s="19">
        <f t="shared" si="3"/>
        <v>1999.71</v>
      </c>
    </row>
    <row r="68" spans="4:8" x14ac:dyDescent="0.25">
      <c r="D68" s="16" t="s">
        <v>26</v>
      </c>
      <c r="E68" s="16"/>
      <c r="F68" s="16">
        <f t="shared" si="2"/>
        <v>4205.87</v>
      </c>
      <c r="G68" s="16">
        <v>29827.19</v>
      </c>
      <c r="H68" s="19">
        <f t="shared" si="3"/>
        <v>29827.19</v>
      </c>
    </row>
    <row r="69" spans="4:8" x14ac:dyDescent="0.25">
      <c r="D69" s="16" t="s">
        <v>56</v>
      </c>
      <c r="E69" s="16">
        <v>435.37</v>
      </c>
      <c r="F69" s="16">
        <f t="shared" si="2"/>
        <v>435.37</v>
      </c>
      <c r="G69" s="16">
        <v>3571.18</v>
      </c>
      <c r="H69" s="19">
        <f t="shared" si="3"/>
        <v>3571.18</v>
      </c>
    </row>
    <row r="70" spans="4:8" x14ac:dyDescent="0.25">
      <c r="D70" s="16" t="s">
        <v>56</v>
      </c>
      <c r="E70" s="16">
        <v>179.9</v>
      </c>
      <c r="F70" s="16">
        <f t="shared" si="2"/>
        <v>179.9</v>
      </c>
      <c r="G70" s="16">
        <v>1847.69</v>
      </c>
      <c r="H70" s="19">
        <f t="shared" si="3"/>
        <v>1847.69</v>
      </c>
    </row>
    <row r="71" spans="4:8" x14ac:dyDescent="0.25">
      <c r="D71" s="16" t="s">
        <v>56</v>
      </c>
      <c r="E71" s="16">
        <v>95.04</v>
      </c>
      <c r="F71" s="16">
        <f t="shared" si="2"/>
        <v>95.04</v>
      </c>
      <c r="G71" s="16">
        <v>797.66</v>
      </c>
      <c r="H71" s="19">
        <f t="shared" si="3"/>
        <v>797.66</v>
      </c>
    </row>
    <row r="72" spans="4:8" x14ac:dyDescent="0.25">
      <c r="D72" s="16" t="s">
        <v>26</v>
      </c>
      <c r="E72" s="16">
        <v>1010.45</v>
      </c>
      <c r="F72" s="16">
        <f t="shared" si="2"/>
        <v>1010.45</v>
      </c>
      <c r="G72" s="16">
        <v>10619.06</v>
      </c>
      <c r="H72" s="19">
        <f t="shared" si="3"/>
        <v>10619.06</v>
      </c>
    </row>
    <row r="73" spans="4:8" x14ac:dyDescent="0.25">
      <c r="D73" s="16" t="s">
        <v>26</v>
      </c>
      <c r="E73" s="16">
        <v>5514.66</v>
      </c>
      <c r="F73" s="16">
        <f t="shared" si="2"/>
        <v>5514.66</v>
      </c>
      <c r="G73" s="16">
        <v>60742.92</v>
      </c>
      <c r="H73" s="19">
        <f t="shared" si="3"/>
        <v>60742.92</v>
      </c>
    </row>
    <row r="74" spans="4:8" x14ac:dyDescent="0.25">
      <c r="D74" s="16" t="s">
        <v>48</v>
      </c>
      <c r="E74" s="16">
        <v>6479.08</v>
      </c>
      <c r="F74" s="16">
        <f t="shared" si="2"/>
        <v>6479.08</v>
      </c>
      <c r="G74" s="16">
        <v>62907.86</v>
      </c>
      <c r="H74" s="19">
        <f t="shared" si="3"/>
        <v>62907.86</v>
      </c>
    </row>
    <row r="75" spans="4:8" x14ac:dyDescent="0.25">
      <c r="D75" s="16" t="s">
        <v>17</v>
      </c>
      <c r="E75" s="16">
        <v>403.26</v>
      </c>
      <c r="F75" s="16">
        <f t="shared" si="2"/>
        <v>403.26</v>
      </c>
      <c r="G75" s="16">
        <v>4389.2299999999996</v>
      </c>
      <c r="H75" s="19">
        <f t="shared" si="3"/>
        <v>4389.2299999999996</v>
      </c>
    </row>
    <row r="76" spans="4:8" x14ac:dyDescent="0.25">
      <c r="D76" s="16" t="s">
        <v>56</v>
      </c>
      <c r="E76" s="16">
        <v>343.43</v>
      </c>
      <c r="F76" s="16">
        <f t="shared" si="2"/>
        <v>343.43</v>
      </c>
      <c r="G76" s="16">
        <v>4386.49</v>
      </c>
      <c r="H76" s="19">
        <f t="shared" si="3"/>
        <v>4386.49</v>
      </c>
    </row>
    <row r="77" spans="4:8" x14ac:dyDescent="0.25">
      <c r="D77" s="16" t="s">
        <v>26</v>
      </c>
      <c r="E77" s="16">
        <v>11313.03</v>
      </c>
      <c r="F77" s="16">
        <f t="shared" si="2"/>
        <v>11313.03</v>
      </c>
      <c r="G77" s="16">
        <v>104763.16</v>
      </c>
      <c r="H77" s="19">
        <f t="shared" si="3"/>
        <v>104763.16</v>
      </c>
    </row>
    <row r="78" spans="4:8" x14ac:dyDescent="0.25">
      <c r="D78" s="16" t="s">
        <v>26</v>
      </c>
      <c r="E78" s="16">
        <v>2237.41</v>
      </c>
      <c r="F78" s="16">
        <f t="shared" si="2"/>
        <v>2237.41</v>
      </c>
      <c r="G78" s="16">
        <v>20641.189999999999</v>
      </c>
      <c r="H78" s="19">
        <f t="shared" si="3"/>
        <v>20641.189999999999</v>
      </c>
    </row>
    <row r="79" spans="4:8" x14ac:dyDescent="0.25">
      <c r="D79" s="16" t="s">
        <v>56</v>
      </c>
      <c r="E79" s="16">
        <v>98.52</v>
      </c>
      <c r="F79" s="16">
        <f t="shared" si="2"/>
        <v>98.52</v>
      </c>
      <c r="G79" s="16">
        <v>1208.49</v>
      </c>
      <c r="H79" s="19">
        <f t="shared" si="3"/>
        <v>1208.49</v>
      </c>
    </row>
    <row r="80" spans="4:8" x14ac:dyDescent="0.25">
      <c r="D80" s="16" t="s">
        <v>17</v>
      </c>
      <c r="E80" s="16">
        <v>5459.92</v>
      </c>
      <c r="F80" s="16">
        <f t="shared" si="2"/>
        <v>5459.92</v>
      </c>
      <c r="G80" s="16">
        <v>58299.99</v>
      </c>
      <c r="H80" s="19">
        <f t="shared" si="3"/>
        <v>58299.99</v>
      </c>
    </row>
    <row r="81" spans="4:8" x14ac:dyDescent="0.25">
      <c r="D81" s="16" t="s">
        <v>56</v>
      </c>
      <c r="E81" s="16">
        <v>11412.06</v>
      </c>
      <c r="F81" s="16">
        <f t="shared" si="2"/>
        <v>11412.06</v>
      </c>
      <c r="G81" s="16">
        <v>145868.29</v>
      </c>
      <c r="H81" s="19">
        <f t="shared" si="3"/>
        <v>145868.29</v>
      </c>
    </row>
    <row r="82" spans="4:8" x14ac:dyDescent="0.25">
      <c r="D82" s="16" t="s">
        <v>17</v>
      </c>
      <c r="E82" s="16"/>
      <c r="F82" s="16">
        <f t="shared" si="2"/>
        <v>3263.73</v>
      </c>
      <c r="G82" s="16">
        <v>127340.82</v>
      </c>
      <c r="H82" s="19">
        <f t="shared" si="3"/>
        <v>127340.82</v>
      </c>
    </row>
    <row r="83" spans="4:8" x14ac:dyDescent="0.25">
      <c r="D83" s="16" t="s">
        <v>26</v>
      </c>
      <c r="E83" s="16">
        <v>7666.29</v>
      </c>
      <c r="F83" s="16">
        <f t="shared" si="2"/>
        <v>7666.29</v>
      </c>
      <c r="G83" s="16">
        <v>92624.88</v>
      </c>
      <c r="H83" s="19">
        <f t="shared" si="3"/>
        <v>92624.88</v>
      </c>
    </row>
    <row r="84" spans="4:8" x14ac:dyDescent="0.25">
      <c r="D84" s="16" t="s">
        <v>17</v>
      </c>
      <c r="E84" s="16">
        <v>8128.96</v>
      </c>
      <c r="F84" s="16">
        <f t="shared" si="2"/>
        <v>8128.96</v>
      </c>
      <c r="G84" s="16">
        <v>78243.83</v>
      </c>
      <c r="H84" s="19">
        <f t="shared" si="3"/>
        <v>78243.83</v>
      </c>
    </row>
    <row r="85" spans="4:8" x14ac:dyDescent="0.25">
      <c r="D85" s="16" t="s">
        <v>48</v>
      </c>
      <c r="E85" s="16">
        <v>1933.19</v>
      </c>
      <c r="F85" s="16">
        <f t="shared" si="2"/>
        <v>1933.19</v>
      </c>
      <c r="G85" s="16">
        <v>24097.86</v>
      </c>
      <c r="H85" s="19">
        <f t="shared" si="3"/>
        <v>24097.86</v>
      </c>
    </row>
    <row r="86" spans="4:8" x14ac:dyDescent="0.25">
      <c r="D86" s="16" t="s">
        <v>26</v>
      </c>
      <c r="E86" s="16">
        <v>10850.54</v>
      </c>
      <c r="F86" s="16">
        <f t="shared" si="2"/>
        <v>10850.54</v>
      </c>
      <c r="G86" s="16">
        <v>121710.44</v>
      </c>
      <c r="H86" s="19">
        <f t="shared" si="3"/>
        <v>121710.44</v>
      </c>
    </row>
    <row r="87" spans="4:8" x14ac:dyDescent="0.25">
      <c r="D87" s="16" t="s">
        <v>48</v>
      </c>
      <c r="E87" s="16"/>
      <c r="F87" s="16">
        <f t="shared" si="2"/>
        <v>3571.15</v>
      </c>
      <c r="G87" s="16">
        <v>80211.91</v>
      </c>
      <c r="H87" s="19">
        <f t="shared" si="3"/>
        <v>80211.91</v>
      </c>
    </row>
    <row r="88" spans="4:8" x14ac:dyDescent="0.25">
      <c r="D88" s="16" t="s">
        <v>56</v>
      </c>
      <c r="E88" s="16">
        <v>8169.27</v>
      </c>
      <c r="F88" s="16">
        <f t="shared" si="2"/>
        <v>8169.27</v>
      </c>
      <c r="G88" s="16">
        <v>116758.15</v>
      </c>
      <c r="H88" s="19">
        <f t="shared" si="3"/>
        <v>116758.15</v>
      </c>
    </row>
    <row r="89" spans="4:8" x14ac:dyDescent="0.25">
      <c r="D89" s="16" t="s">
        <v>56</v>
      </c>
      <c r="E89" s="16">
        <v>4251.1000000000004</v>
      </c>
      <c r="F89" s="16">
        <f t="shared" si="2"/>
        <v>4251.1000000000004</v>
      </c>
      <c r="G89" s="16">
        <v>47853.67</v>
      </c>
      <c r="H89" s="19">
        <f t="shared" si="3"/>
        <v>47853.67</v>
      </c>
    </row>
    <row r="90" spans="4:8" x14ac:dyDescent="0.25">
      <c r="D90" s="16" t="s">
        <v>56</v>
      </c>
      <c r="E90" s="16">
        <v>348.6</v>
      </c>
      <c r="F90" s="16">
        <f t="shared" si="2"/>
        <v>348.6</v>
      </c>
      <c r="G90" s="16">
        <v>3490.68</v>
      </c>
      <c r="H90" s="19">
        <f t="shared" si="3"/>
        <v>3490.68</v>
      </c>
    </row>
    <row r="91" spans="4:8" x14ac:dyDescent="0.25">
      <c r="D91" s="16" t="s">
        <v>17</v>
      </c>
      <c r="E91" s="16">
        <v>6875.74</v>
      </c>
      <c r="F91" s="16">
        <f t="shared" si="2"/>
        <v>6875.74</v>
      </c>
      <c r="G91" s="16">
        <v>81313.789999999994</v>
      </c>
      <c r="H91" s="19">
        <f t="shared" si="3"/>
        <v>81313.789999999994</v>
      </c>
    </row>
    <row r="92" spans="4:8" x14ac:dyDescent="0.25">
      <c r="D92" s="16" t="s">
        <v>26</v>
      </c>
      <c r="E92" s="16">
        <v>656.34</v>
      </c>
      <c r="F92" s="16">
        <f t="shared" si="2"/>
        <v>656.34</v>
      </c>
      <c r="G92" s="16">
        <v>5590.07</v>
      </c>
      <c r="H92" s="19">
        <f t="shared" si="3"/>
        <v>5590.07</v>
      </c>
    </row>
    <row r="93" spans="4:8" x14ac:dyDescent="0.25">
      <c r="D93" s="16" t="s">
        <v>56</v>
      </c>
      <c r="E93" s="16">
        <v>132.99</v>
      </c>
      <c r="F93" s="16">
        <f t="shared" si="2"/>
        <v>132.99</v>
      </c>
      <c r="G93" s="16">
        <v>1943.87</v>
      </c>
      <c r="H93" s="19">
        <f t="shared" si="3"/>
        <v>1943.87</v>
      </c>
    </row>
    <row r="94" spans="4:8" x14ac:dyDescent="0.25">
      <c r="D94" s="16" t="s">
        <v>56</v>
      </c>
      <c r="E94" s="16">
        <v>4860.17</v>
      </c>
      <c r="F94" s="16">
        <f t="shared" si="2"/>
        <v>4860.17</v>
      </c>
      <c r="G94" s="16">
        <v>72482.45</v>
      </c>
      <c r="H94" s="19">
        <f t="shared" si="3"/>
        <v>72482.45</v>
      </c>
    </row>
    <row r="95" spans="4:8" x14ac:dyDescent="0.25">
      <c r="D95" s="16" t="s">
        <v>26</v>
      </c>
      <c r="E95" s="16">
        <v>9103.5499999999993</v>
      </c>
      <c r="F95" s="16">
        <f t="shared" si="2"/>
        <v>9103.5499999999993</v>
      </c>
      <c r="G95" s="16">
        <v>91891.96</v>
      </c>
      <c r="H95" s="19">
        <f t="shared" si="3"/>
        <v>91891.96</v>
      </c>
    </row>
    <row r="96" spans="4:8" x14ac:dyDescent="0.25">
      <c r="D96" s="16" t="s">
        <v>56</v>
      </c>
      <c r="E96" s="16">
        <v>2501.31</v>
      </c>
      <c r="F96" s="16">
        <f t="shared" si="2"/>
        <v>2501.31</v>
      </c>
      <c r="G96" s="16">
        <v>36854.81</v>
      </c>
      <c r="H96" s="19">
        <f t="shared" si="3"/>
        <v>36854.81</v>
      </c>
    </row>
    <row r="97" spans="4:8" x14ac:dyDescent="0.25">
      <c r="D97" s="16" t="s">
        <v>48</v>
      </c>
      <c r="E97" s="16">
        <v>7044.71</v>
      </c>
      <c r="F97" s="16">
        <f t="shared" si="2"/>
        <v>7044.71</v>
      </c>
      <c r="G97" s="16">
        <v>90399.09</v>
      </c>
      <c r="H97" s="19">
        <f t="shared" si="3"/>
        <v>90399.09</v>
      </c>
    </row>
    <row r="98" spans="4:8" x14ac:dyDescent="0.25">
      <c r="D98" s="16" t="s">
        <v>26</v>
      </c>
      <c r="E98" s="16"/>
      <c r="F98" s="16">
        <f t="shared" si="2"/>
        <v>4205.87</v>
      </c>
      <c r="G98" s="16">
        <v>57891.32</v>
      </c>
      <c r="H98" s="19">
        <f t="shared" si="3"/>
        <v>57891.32</v>
      </c>
    </row>
    <row r="99" spans="4:8" x14ac:dyDescent="0.25">
      <c r="D99" s="16" t="s">
        <v>26</v>
      </c>
      <c r="E99" s="16">
        <v>10087.84</v>
      </c>
      <c r="F99" s="16">
        <f t="shared" si="2"/>
        <v>10087.84</v>
      </c>
      <c r="G99" s="16">
        <v>102037.01</v>
      </c>
      <c r="H99" s="19">
        <f t="shared" si="3"/>
        <v>102037.01</v>
      </c>
    </row>
    <row r="100" spans="4:8" x14ac:dyDescent="0.25">
      <c r="D100" s="16" t="s">
        <v>26</v>
      </c>
      <c r="E100" s="16">
        <v>3994.56</v>
      </c>
      <c r="F100" s="16">
        <f t="shared" si="2"/>
        <v>3994.56</v>
      </c>
      <c r="G100" s="16">
        <v>59900.88</v>
      </c>
      <c r="H100" s="19">
        <f t="shared" si="3"/>
        <v>59900.88</v>
      </c>
    </row>
    <row r="101" spans="4:8" x14ac:dyDescent="0.25">
      <c r="D101" s="16" t="s">
        <v>48</v>
      </c>
      <c r="E101" s="16">
        <v>2917.1</v>
      </c>
      <c r="F101" s="16">
        <f t="shared" si="2"/>
        <v>2917.1</v>
      </c>
      <c r="G101" s="16">
        <v>40761.65</v>
      </c>
      <c r="H101" s="19">
        <f t="shared" si="3"/>
        <v>40761.65</v>
      </c>
    </row>
    <row r="102" spans="4:8" x14ac:dyDescent="0.25">
      <c r="D102" s="16" t="s">
        <v>26</v>
      </c>
      <c r="E102" s="16">
        <v>9536.23</v>
      </c>
      <c r="F102" s="16">
        <f t="shared" si="2"/>
        <v>9536.23</v>
      </c>
      <c r="G102" s="16">
        <v>83409.33</v>
      </c>
      <c r="H102" s="19">
        <f t="shared" si="3"/>
        <v>83409.33</v>
      </c>
    </row>
    <row r="103" spans="4:8" x14ac:dyDescent="0.25">
      <c r="D103" s="16" t="s">
        <v>48</v>
      </c>
      <c r="E103" s="16">
        <v>303.33</v>
      </c>
      <c r="F103" s="16">
        <f t="shared" si="2"/>
        <v>303.33</v>
      </c>
      <c r="G103" s="16">
        <v>3236.39</v>
      </c>
      <c r="H103" s="19">
        <f t="shared" si="3"/>
        <v>3236.39</v>
      </c>
    </row>
    <row r="104" spans="4:8" x14ac:dyDescent="0.25">
      <c r="D104" s="16" t="s">
        <v>26</v>
      </c>
      <c r="E104" s="16">
        <v>4205.87</v>
      </c>
      <c r="F104" s="16">
        <f t="shared" si="2"/>
        <v>4205.87</v>
      </c>
      <c r="G104" s="16">
        <v>44215.11</v>
      </c>
      <c r="H104" s="19">
        <f t="shared" si="3"/>
        <v>44215.11</v>
      </c>
    </row>
    <row r="105" spans="4:8" x14ac:dyDescent="0.25">
      <c r="D105" s="16" t="s">
        <v>17</v>
      </c>
      <c r="E105" s="16">
        <v>5580.54</v>
      </c>
      <c r="F105" s="16">
        <f t="shared" si="2"/>
        <v>5580.54</v>
      </c>
      <c r="G105" s="16">
        <v>56202.21</v>
      </c>
      <c r="H105" s="19">
        <f t="shared" si="3"/>
        <v>56202.21</v>
      </c>
    </row>
    <row r="106" spans="4:8" x14ac:dyDescent="0.25">
      <c r="D106" s="16" t="s">
        <v>56</v>
      </c>
      <c r="E106" s="16">
        <v>8269.7099999999991</v>
      </c>
      <c r="F106" s="16">
        <f t="shared" si="2"/>
        <v>8269.7099999999991</v>
      </c>
      <c r="G106" s="16">
        <v>106637.53</v>
      </c>
      <c r="H106" s="19">
        <f t="shared" si="3"/>
        <v>106637.53</v>
      </c>
    </row>
    <row r="107" spans="4:8" x14ac:dyDescent="0.25">
      <c r="D107" s="16" t="s">
        <v>17</v>
      </c>
      <c r="E107" s="16">
        <v>102.23</v>
      </c>
      <c r="F107" s="16">
        <f t="shared" si="2"/>
        <v>102.23</v>
      </c>
      <c r="G107" s="16">
        <v>833.54</v>
      </c>
      <c r="H107" s="19">
        <f t="shared" si="3"/>
        <v>833.54</v>
      </c>
    </row>
    <row r="108" spans="4:8" x14ac:dyDescent="0.25">
      <c r="D108" s="16" t="s">
        <v>56</v>
      </c>
      <c r="E108" s="16">
        <v>9627.9599999999991</v>
      </c>
      <c r="F108" s="16">
        <f t="shared" si="2"/>
        <v>9627.9599999999991</v>
      </c>
      <c r="G108" s="16">
        <v>132964.66</v>
      </c>
      <c r="H108" s="19">
        <f t="shared" si="3"/>
        <v>132964.66</v>
      </c>
    </row>
    <row r="109" spans="4:8" x14ac:dyDescent="0.25">
      <c r="D109" s="16" t="s">
        <v>48</v>
      </c>
      <c r="E109" s="16">
        <v>11538.07</v>
      </c>
      <c r="F109" s="16">
        <f t="shared" si="2"/>
        <v>11538.07</v>
      </c>
      <c r="G109" s="16">
        <v>124272.4</v>
      </c>
      <c r="H109" s="19">
        <f t="shared" si="3"/>
        <v>124272.4</v>
      </c>
    </row>
    <row r="110" spans="4:8" x14ac:dyDescent="0.25">
      <c r="D110" s="16" t="s">
        <v>17</v>
      </c>
      <c r="E110" s="16"/>
      <c r="F110" s="16">
        <f t="shared" si="2"/>
        <v>3263.73</v>
      </c>
      <c r="G110" s="16">
        <v>2964.7</v>
      </c>
      <c r="H110" s="19">
        <f t="shared" si="3"/>
        <v>2964.7</v>
      </c>
    </row>
    <row r="111" spans="4:8" x14ac:dyDescent="0.25">
      <c r="D111" s="16" t="s">
        <v>26</v>
      </c>
      <c r="E111" s="16">
        <v>8076.78</v>
      </c>
      <c r="F111" s="16">
        <f t="shared" si="2"/>
        <v>8076.78</v>
      </c>
      <c r="G111" s="16">
        <v>113522.95</v>
      </c>
      <c r="H111" s="19">
        <f t="shared" si="3"/>
        <v>113522.95</v>
      </c>
    </row>
    <row r="112" spans="4:8" x14ac:dyDescent="0.25">
      <c r="D112" s="16" t="s">
        <v>56</v>
      </c>
      <c r="E112" s="16">
        <v>56.76</v>
      </c>
      <c r="F112" s="16">
        <f t="shared" si="2"/>
        <v>56.76</v>
      </c>
      <c r="G112" s="16">
        <v>763.32</v>
      </c>
      <c r="H112" s="19">
        <f t="shared" si="3"/>
        <v>763.32</v>
      </c>
    </row>
    <row r="113" spans="4:8" x14ac:dyDescent="0.25">
      <c r="D113" s="16" t="s">
        <v>56</v>
      </c>
      <c r="E113" s="16">
        <v>331.93</v>
      </c>
      <c r="F113" s="16">
        <f t="shared" si="2"/>
        <v>331.93</v>
      </c>
      <c r="G113" s="16">
        <v>4917.62</v>
      </c>
      <c r="H113" s="19">
        <f t="shared" si="3"/>
        <v>4917.62</v>
      </c>
    </row>
    <row r="114" spans="4:8" x14ac:dyDescent="0.25">
      <c r="D114" s="16" t="s">
        <v>17</v>
      </c>
      <c r="E114" s="16">
        <v>309.63</v>
      </c>
      <c r="F114" s="16">
        <f t="shared" si="2"/>
        <v>309.63</v>
      </c>
      <c r="G114" s="16">
        <v>4450.72</v>
      </c>
      <c r="H114" s="19">
        <f t="shared" si="3"/>
        <v>4450.72</v>
      </c>
    </row>
    <row r="115" spans="4:8" x14ac:dyDescent="0.25">
      <c r="D115" s="16" t="s">
        <v>48</v>
      </c>
      <c r="E115" s="16">
        <v>46.69</v>
      </c>
      <c r="F115" s="16">
        <f t="shared" si="2"/>
        <v>46.69</v>
      </c>
      <c r="G115" s="16">
        <v>617.05999999999995</v>
      </c>
      <c r="H115" s="19">
        <f t="shared" si="3"/>
        <v>617.05999999999995</v>
      </c>
    </row>
    <row r="116" spans="4:8" x14ac:dyDescent="0.25">
      <c r="D116" s="16" t="s">
        <v>17</v>
      </c>
      <c r="E116" s="16">
        <v>190.4</v>
      </c>
      <c r="F116" s="16">
        <f t="shared" si="2"/>
        <v>190.4</v>
      </c>
      <c r="G116" s="16">
        <v>2633.21</v>
      </c>
      <c r="H116" s="19">
        <f t="shared" si="3"/>
        <v>2633.21</v>
      </c>
    </row>
    <row r="117" spans="4:8" x14ac:dyDescent="0.25">
      <c r="D117" s="16" t="s">
        <v>48</v>
      </c>
      <c r="E117" s="16">
        <v>781.12</v>
      </c>
      <c r="F117" s="16">
        <f t="shared" si="2"/>
        <v>781.12</v>
      </c>
      <c r="G117" s="16">
        <v>11186.06</v>
      </c>
      <c r="H117" s="19">
        <f t="shared" si="3"/>
        <v>11186.06</v>
      </c>
    </row>
    <row r="118" spans="4:8" x14ac:dyDescent="0.25">
      <c r="D118" s="16" t="s">
        <v>48</v>
      </c>
      <c r="E118" s="16"/>
      <c r="F118" s="16">
        <f t="shared" si="2"/>
        <v>3571.15</v>
      </c>
      <c r="G118" s="16">
        <v>2084.5</v>
      </c>
      <c r="H118" s="19">
        <f t="shared" si="3"/>
        <v>2084.5</v>
      </c>
    </row>
    <row r="119" spans="4:8" x14ac:dyDescent="0.25">
      <c r="D119" s="16" t="s">
        <v>56</v>
      </c>
      <c r="E119" s="16">
        <v>403.28</v>
      </c>
      <c r="F119" s="16">
        <f t="shared" si="2"/>
        <v>403.28</v>
      </c>
      <c r="G119" s="16">
        <v>3875.86</v>
      </c>
      <c r="H119" s="19">
        <f t="shared" si="3"/>
        <v>3875.86</v>
      </c>
    </row>
    <row r="120" spans="4:8" x14ac:dyDescent="0.25">
      <c r="D120" s="16" t="s">
        <v>17</v>
      </c>
      <c r="E120" s="16">
        <v>2194.5700000000002</v>
      </c>
      <c r="F120" s="16">
        <f t="shared" si="2"/>
        <v>2194.5700000000002</v>
      </c>
      <c r="G120" s="16">
        <v>29875.83</v>
      </c>
      <c r="H120" s="19">
        <f t="shared" si="3"/>
        <v>29875.83</v>
      </c>
    </row>
    <row r="121" spans="4:8" x14ac:dyDescent="0.25">
      <c r="D121" s="16" t="s">
        <v>17</v>
      </c>
      <c r="E121" s="16">
        <v>1031.46</v>
      </c>
      <c r="F121" s="16">
        <f t="shared" si="2"/>
        <v>1031.46</v>
      </c>
      <c r="G121" s="16">
        <v>9832.94</v>
      </c>
      <c r="H121" s="19">
        <f t="shared" si="3"/>
        <v>9832.94</v>
      </c>
    </row>
    <row r="122" spans="4:8" x14ac:dyDescent="0.25">
      <c r="D122" s="16" t="s">
        <v>48</v>
      </c>
      <c r="E122" s="16">
        <v>11815.26</v>
      </c>
      <c r="F122" s="16">
        <f t="shared" si="2"/>
        <v>11815.26</v>
      </c>
      <c r="G122" s="16">
        <v>110247.29</v>
      </c>
      <c r="H122" s="19">
        <f t="shared" si="3"/>
        <v>110247.29</v>
      </c>
    </row>
    <row r="123" spans="4:8" x14ac:dyDescent="0.25">
      <c r="D123" s="16" t="s">
        <v>17</v>
      </c>
      <c r="E123" s="16">
        <v>7529.65</v>
      </c>
      <c r="F123" s="16">
        <f t="shared" si="2"/>
        <v>7529.65</v>
      </c>
      <c r="G123" s="16">
        <v>73447.12</v>
      </c>
      <c r="H123" s="19">
        <f t="shared" si="3"/>
        <v>73447.12</v>
      </c>
    </row>
    <row r="124" spans="4:8" x14ac:dyDescent="0.25">
      <c r="D124" s="16" t="s">
        <v>26</v>
      </c>
      <c r="E124" s="16">
        <v>9337.6299999999992</v>
      </c>
      <c r="F124" s="16">
        <f t="shared" si="2"/>
        <v>9337.6299999999992</v>
      </c>
      <c r="G124" s="16">
        <v>124088.15</v>
      </c>
      <c r="H124" s="19">
        <f t="shared" si="3"/>
        <v>124088.15</v>
      </c>
    </row>
    <row r="125" spans="4:8" x14ac:dyDescent="0.25">
      <c r="D125" s="16" t="s">
        <v>26</v>
      </c>
      <c r="E125" s="16">
        <v>5737.29</v>
      </c>
      <c r="F125" s="16">
        <f t="shared" si="2"/>
        <v>5737.29</v>
      </c>
      <c r="G125" s="16">
        <v>76720.740000000005</v>
      </c>
      <c r="H125" s="19">
        <f t="shared" si="3"/>
        <v>76720.740000000005</v>
      </c>
    </row>
    <row r="126" spans="4:8" x14ac:dyDescent="0.25">
      <c r="D126" s="16" t="s">
        <v>17</v>
      </c>
      <c r="E126" s="16">
        <v>10690.57</v>
      </c>
      <c r="F126" s="16">
        <f t="shared" si="2"/>
        <v>10690.57</v>
      </c>
      <c r="G126" s="16">
        <v>136475.66</v>
      </c>
      <c r="H126" s="19">
        <f t="shared" si="3"/>
        <v>136475.66</v>
      </c>
    </row>
    <row r="127" spans="4:8" x14ac:dyDescent="0.25">
      <c r="D127" s="16" t="s">
        <v>17</v>
      </c>
      <c r="E127" s="16">
        <v>287.83999999999997</v>
      </c>
      <c r="F127" s="16">
        <f t="shared" si="2"/>
        <v>287.83999999999997</v>
      </c>
      <c r="G127" s="16"/>
      <c r="H127" s="19">
        <f t="shared" si="3"/>
        <v>35034.370000000003</v>
      </c>
    </row>
    <row r="128" spans="4:8" x14ac:dyDescent="0.25">
      <c r="D128" s="16" t="s">
        <v>48</v>
      </c>
      <c r="E128" s="16">
        <v>143.66999999999999</v>
      </c>
      <c r="F128" s="16">
        <f t="shared" si="2"/>
        <v>143.66999999999999</v>
      </c>
      <c r="G128" s="16">
        <v>1247.08</v>
      </c>
      <c r="H128" s="19">
        <f t="shared" si="3"/>
        <v>1247.08</v>
      </c>
    </row>
    <row r="129" spans="4:8" x14ac:dyDescent="0.25">
      <c r="D129" s="16" t="s">
        <v>26</v>
      </c>
      <c r="E129" s="16">
        <v>4915.75</v>
      </c>
      <c r="F129" s="16">
        <f t="shared" si="2"/>
        <v>4915.75</v>
      </c>
      <c r="G129" s="16">
        <v>60916.99</v>
      </c>
      <c r="H129" s="19">
        <f t="shared" si="3"/>
        <v>60916.99</v>
      </c>
    </row>
    <row r="130" spans="4:8" x14ac:dyDescent="0.25">
      <c r="D130" s="16" t="s">
        <v>26</v>
      </c>
      <c r="E130" s="16">
        <v>5096.01</v>
      </c>
      <c r="F130" s="16">
        <f t="shared" ref="F130:F193" si="4">IF(E130="",VLOOKUP(D130,$A$1:$B$5,2,FALSE),E130)</f>
        <v>5096.01</v>
      </c>
      <c r="G130" s="16">
        <v>42174.36</v>
      </c>
      <c r="H130" s="19">
        <f t="shared" ref="H130:H193" si="5">IF(G130="",VLOOKUP(D130,$A$1:$C$5,3,FALSE),G130)</f>
        <v>42174.36</v>
      </c>
    </row>
    <row r="131" spans="4:8" x14ac:dyDescent="0.25">
      <c r="D131" s="16" t="s">
        <v>56</v>
      </c>
      <c r="E131" s="16">
        <v>527.96</v>
      </c>
      <c r="F131" s="16">
        <f t="shared" si="4"/>
        <v>527.96</v>
      </c>
      <c r="G131" s="16">
        <v>7138.16</v>
      </c>
      <c r="H131" s="19">
        <f t="shared" si="5"/>
        <v>7138.16</v>
      </c>
    </row>
    <row r="132" spans="4:8" x14ac:dyDescent="0.25">
      <c r="D132" s="16" t="s">
        <v>48</v>
      </c>
      <c r="E132" s="16">
        <v>8407.66</v>
      </c>
      <c r="F132" s="16">
        <f t="shared" si="4"/>
        <v>8407.66</v>
      </c>
      <c r="G132" s="16">
        <v>69224.899999999994</v>
      </c>
      <c r="H132" s="19">
        <f t="shared" si="5"/>
        <v>69224.899999999994</v>
      </c>
    </row>
    <row r="133" spans="4:8" x14ac:dyDescent="0.25">
      <c r="D133" s="16" t="s">
        <v>56</v>
      </c>
      <c r="E133" s="16">
        <v>2688.71</v>
      </c>
      <c r="F133" s="16">
        <f t="shared" si="4"/>
        <v>2688.71</v>
      </c>
      <c r="G133" s="16">
        <v>28376.720000000001</v>
      </c>
      <c r="H133" s="19">
        <f t="shared" si="5"/>
        <v>28376.720000000001</v>
      </c>
    </row>
    <row r="134" spans="4:8" x14ac:dyDescent="0.25">
      <c r="D134" s="16" t="s">
        <v>26</v>
      </c>
      <c r="E134" s="16">
        <v>10395.07</v>
      </c>
      <c r="F134" s="16">
        <f t="shared" si="4"/>
        <v>10395.07</v>
      </c>
      <c r="G134" s="16">
        <v>92722.8</v>
      </c>
      <c r="H134" s="19">
        <f t="shared" si="5"/>
        <v>92722.8</v>
      </c>
    </row>
    <row r="135" spans="4:8" x14ac:dyDescent="0.25">
      <c r="D135" s="16" t="s">
        <v>48</v>
      </c>
      <c r="E135" s="16">
        <v>10682.85</v>
      </c>
      <c r="F135" s="16">
        <f t="shared" si="4"/>
        <v>10682.85</v>
      </c>
      <c r="G135" s="16">
        <v>153484.72</v>
      </c>
      <c r="H135" s="19">
        <f t="shared" si="5"/>
        <v>153484.72</v>
      </c>
    </row>
    <row r="136" spans="4:8" x14ac:dyDescent="0.25">
      <c r="D136" s="16" t="s">
        <v>17</v>
      </c>
      <c r="E136" s="16">
        <v>155.68</v>
      </c>
      <c r="F136" s="16">
        <f t="shared" si="4"/>
        <v>155.68</v>
      </c>
      <c r="G136" s="16">
        <v>1601.49</v>
      </c>
      <c r="H136" s="19">
        <f t="shared" si="5"/>
        <v>1601.49</v>
      </c>
    </row>
    <row r="137" spans="4:8" x14ac:dyDescent="0.25">
      <c r="D137" s="16" t="s">
        <v>48</v>
      </c>
      <c r="E137" s="16"/>
      <c r="F137" s="16">
        <f t="shared" si="4"/>
        <v>3571.15</v>
      </c>
      <c r="G137" s="16"/>
      <c r="H137" s="19">
        <f t="shared" si="5"/>
        <v>43569.509999999995</v>
      </c>
    </row>
    <row r="138" spans="4:8" x14ac:dyDescent="0.25">
      <c r="D138" s="16" t="s">
        <v>17</v>
      </c>
      <c r="E138" s="16"/>
      <c r="F138" s="16">
        <f t="shared" si="4"/>
        <v>3263.73</v>
      </c>
      <c r="G138" s="16"/>
      <c r="H138" s="19">
        <f t="shared" si="5"/>
        <v>35034.370000000003</v>
      </c>
    </row>
    <row r="139" spans="4:8" x14ac:dyDescent="0.25">
      <c r="D139" s="16" t="s">
        <v>17</v>
      </c>
      <c r="E139" s="16">
        <v>2118.14</v>
      </c>
      <c r="F139" s="16">
        <f t="shared" si="4"/>
        <v>2118.14</v>
      </c>
      <c r="G139" s="16">
        <v>28606.73</v>
      </c>
      <c r="H139" s="19">
        <f t="shared" si="5"/>
        <v>28606.73</v>
      </c>
    </row>
    <row r="140" spans="4:8" x14ac:dyDescent="0.25">
      <c r="D140" s="16" t="s">
        <v>48</v>
      </c>
      <c r="E140" s="16">
        <v>5842.32</v>
      </c>
      <c r="F140" s="16">
        <f t="shared" si="4"/>
        <v>5842.32</v>
      </c>
      <c r="G140" s="16">
        <v>82582.5</v>
      </c>
      <c r="H140" s="19">
        <f t="shared" si="5"/>
        <v>82582.5</v>
      </c>
    </row>
    <row r="141" spans="4:8" x14ac:dyDescent="0.25">
      <c r="D141" s="16" t="s">
        <v>17</v>
      </c>
      <c r="E141" s="16">
        <v>278.7</v>
      </c>
      <c r="F141" s="16">
        <f t="shared" si="4"/>
        <v>278.7</v>
      </c>
      <c r="G141" s="16">
        <v>2943.35</v>
      </c>
      <c r="H141" s="19">
        <f t="shared" si="5"/>
        <v>2943.35</v>
      </c>
    </row>
    <row r="142" spans="4:8" x14ac:dyDescent="0.25">
      <c r="D142" s="16" t="s">
        <v>56</v>
      </c>
      <c r="E142" s="16">
        <v>183.49</v>
      </c>
      <c r="F142" s="16">
        <f t="shared" si="4"/>
        <v>183.49</v>
      </c>
      <c r="G142" s="16">
        <v>2112.44</v>
      </c>
      <c r="H142" s="19">
        <f t="shared" si="5"/>
        <v>2112.44</v>
      </c>
    </row>
    <row r="143" spans="4:8" x14ac:dyDescent="0.25">
      <c r="D143" s="16" t="s">
        <v>26</v>
      </c>
      <c r="E143" s="16">
        <v>1895.62</v>
      </c>
      <c r="F143" s="16">
        <f t="shared" si="4"/>
        <v>1895.62</v>
      </c>
      <c r="G143" s="16">
        <v>18781.22</v>
      </c>
      <c r="H143" s="19">
        <f t="shared" si="5"/>
        <v>18781.22</v>
      </c>
    </row>
    <row r="144" spans="4:8" x14ac:dyDescent="0.25">
      <c r="D144" s="16" t="s">
        <v>17</v>
      </c>
      <c r="E144" s="16">
        <v>486.68</v>
      </c>
      <c r="F144" s="16">
        <f t="shared" si="4"/>
        <v>486.68</v>
      </c>
      <c r="G144" s="16">
        <v>4454</v>
      </c>
      <c r="H144" s="19">
        <f t="shared" si="5"/>
        <v>4454</v>
      </c>
    </row>
    <row r="145" spans="4:8" x14ac:dyDescent="0.25">
      <c r="D145" s="16" t="s">
        <v>56</v>
      </c>
      <c r="E145" s="16">
        <v>5843.4</v>
      </c>
      <c r="F145" s="16">
        <f t="shared" si="4"/>
        <v>5843.4</v>
      </c>
      <c r="G145" s="16">
        <v>84135.28</v>
      </c>
      <c r="H145" s="19">
        <f t="shared" si="5"/>
        <v>84135.28</v>
      </c>
    </row>
    <row r="146" spans="4:8" x14ac:dyDescent="0.25">
      <c r="D146" s="16" t="s">
        <v>17</v>
      </c>
      <c r="E146" s="16">
        <v>6608.02</v>
      </c>
      <c r="F146" s="16">
        <f t="shared" si="4"/>
        <v>6608.02</v>
      </c>
      <c r="G146" s="16">
        <v>96538.64</v>
      </c>
      <c r="H146" s="19">
        <f t="shared" si="5"/>
        <v>96538.64</v>
      </c>
    </row>
    <row r="147" spans="4:8" x14ac:dyDescent="0.25">
      <c r="D147" s="16" t="s">
        <v>26</v>
      </c>
      <c r="E147" s="16">
        <v>6927.64</v>
      </c>
      <c r="F147" s="16">
        <f t="shared" si="4"/>
        <v>6927.64</v>
      </c>
      <c r="G147" s="16">
        <v>102332.94</v>
      </c>
      <c r="H147" s="19">
        <f t="shared" si="5"/>
        <v>102332.94</v>
      </c>
    </row>
    <row r="148" spans="4:8" x14ac:dyDescent="0.25">
      <c r="D148" s="16" t="s">
        <v>56</v>
      </c>
      <c r="E148" s="16">
        <v>4148.93</v>
      </c>
      <c r="F148" s="16">
        <f t="shared" si="4"/>
        <v>4148.93</v>
      </c>
      <c r="G148" s="16">
        <v>41763.089999999997</v>
      </c>
      <c r="H148" s="19">
        <f t="shared" si="5"/>
        <v>41763.089999999997</v>
      </c>
    </row>
    <row r="149" spans="4:8" x14ac:dyDescent="0.25">
      <c r="D149" s="16" t="s">
        <v>26</v>
      </c>
      <c r="E149" s="16">
        <v>151.05000000000001</v>
      </c>
      <c r="F149" s="16">
        <f t="shared" si="4"/>
        <v>151.05000000000001</v>
      </c>
      <c r="G149" s="16">
        <v>2128.71</v>
      </c>
      <c r="H149" s="19">
        <f t="shared" si="5"/>
        <v>2128.71</v>
      </c>
    </row>
    <row r="150" spans="4:8" x14ac:dyDescent="0.25">
      <c r="D150" s="16" t="s">
        <v>26</v>
      </c>
      <c r="E150" s="16">
        <v>88.51</v>
      </c>
      <c r="F150" s="16">
        <f t="shared" si="4"/>
        <v>88.51</v>
      </c>
      <c r="G150" s="16">
        <v>1206.3599999999999</v>
      </c>
      <c r="H150" s="19">
        <f t="shared" si="5"/>
        <v>1206.3599999999999</v>
      </c>
    </row>
    <row r="151" spans="4:8" x14ac:dyDescent="0.25">
      <c r="D151" s="16" t="s">
        <v>56</v>
      </c>
      <c r="E151" s="16">
        <v>9872.57</v>
      </c>
      <c r="F151" s="16">
        <f t="shared" si="4"/>
        <v>9872.57</v>
      </c>
      <c r="G151" s="16">
        <v>111346</v>
      </c>
      <c r="H151" s="19">
        <f t="shared" si="5"/>
        <v>111346</v>
      </c>
    </row>
    <row r="152" spans="4:8" x14ac:dyDescent="0.25">
      <c r="D152" s="16" t="s">
        <v>56</v>
      </c>
      <c r="E152" s="16">
        <v>446.01</v>
      </c>
      <c r="F152" s="16">
        <f t="shared" si="4"/>
        <v>446.01</v>
      </c>
      <c r="G152" s="16">
        <v>3803.17</v>
      </c>
      <c r="H152" s="19">
        <f t="shared" si="5"/>
        <v>3803.17</v>
      </c>
    </row>
    <row r="153" spans="4:8" x14ac:dyDescent="0.25">
      <c r="D153" s="16" t="s">
        <v>56</v>
      </c>
      <c r="E153" s="16">
        <v>5407.52</v>
      </c>
      <c r="F153" s="16">
        <f t="shared" si="4"/>
        <v>5407.52</v>
      </c>
      <c r="G153" s="16">
        <v>71806.78</v>
      </c>
      <c r="H153" s="19">
        <f t="shared" si="5"/>
        <v>71806.78</v>
      </c>
    </row>
    <row r="154" spans="4:8" x14ac:dyDescent="0.25">
      <c r="D154" s="16" t="s">
        <v>48</v>
      </c>
      <c r="E154" s="16"/>
      <c r="F154" s="16">
        <f t="shared" si="4"/>
        <v>3571.15</v>
      </c>
      <c r="G154" s="16">
        <v>104690.57</v>
      </c>
      <c r="H154" s="19">
        <f t="shared" si="5"/>
        <v>104690.57</v>
      </c>
    </row>
    <row r="155" spans="4:8" x14ac:dyDescent="0.25">
      <c r="D155" s="16" t="s">
        <v>56</v>
      </c>
      <c r="E155" s="16">
        <v>222.96</v>
      </c>
      <c r="F155" s="16">
        <f t="shared" si="4"/>
        <v>222.96</v>
      </c>
      <c r="G155" s="16">
        <v>2839.23</v>
      </c>
      <c r="H155" s="19">
        <f t="shared" si="5"/>
        <v>2839.23</v>
      </c>
    </row>
    <row r="156" spans="4:8" x14ac:dyDescent="0.25">
      <c r="D156" s="16" t="s">
        <v>56</v>
      </c>
      <c r="E156" s="16">
        <v>2330.3200000000002</v>
      </c>
      <c r="F156" s="16">
        <f t="shared" si="4"/>
        <v>2330.3200000000002</v>
      </c>
      <c r="G156" s="16">
        <v>29643.64</v>
      </c>
      <c r="H156" s="19">
        <f t="shared" si="5"/>
        <v>29643.64</v>
      </c>
    </row>
    <row r="157" spans="4:8" x14ac:dyDescent="0.25">
      <c r="D157" s="16" t="s">
        <v>56</v>
      </c>
      <c r="E157" s="16">
        <v>10407.19</v>
      </c>
      <c r="F157" s="16">
        <f t="shared" si="4"/>
        <v>10407.19</v>
      </c>
      <c r="G157" s="16">
        <v>112209.08</v>
      </c>
      <c r="H157" s="19">
        <f t="shared" si="5"/>
        <v>112209.08</v>
      </c>
    </row>
    <row r="158" spans="4:8" x14ac:dyDescent="0.25">
      <c r="D158" s="16" t="s">
        <v>56</v>
      </c>
      <c r="E158" s="16"/>
      <c r="F158" s="16">
        <f t="shared" si="4"/>
        <v>4148.93</v>
      </c>
      <c r="G158" s="16"/>
      <c r="H158" s="19">
        <f t="shared" si="5"/>
        <v>47369.56</v>
      </c>
    </row>
    <row r="159" spans="4:8" x14ac:dyDescent="0.25">
      <c r="D159" s="16" t="s">
        <v>17</v>
      </c>
      <c r="E159" s="16">
        <v>9145.43</v>
      </c>
      <c r="F159" s="16">
        <f t="shared" si="4"/>
        <v>9145.43</v>
      </c>
      <c r="G159" s="16">
        <v>108841.48</v>
      </c>
      <c r="H159" s="19">
        <f t="shared" si="5"/>
        <v>108841.48</v>
      </c>
    </row>
    <row r="160" spans="4:8" x14ac:dyDescent="0.25">
      <c r="D160" s="16" t="s">
        <v>48</v>
      </c>
      <c r="E160" s="16">
        <v>10158.42</v>
      </c>
      <c r="F160" s="16">
        <f t="shared" si="4"/>
        <v>10158.42</v>
      </c>
      <c r="G160" s="16">
        <v>87688.7</v>
      </c>
      <c r="H160" s="19">
        <f t="shared" si="5"/>
        <v>87688.7</v>
      </c>
    </row>
    <row r="161" spans="4:8" x14ac:dyDescent="0.25">
      <c r="D161" s="16" t="s">
        <v>26</v>
      </c>
      <c r="E161" s="16">
        <v>3689.08</v>
      </c>
      <c r="F161" s="16">
        <f t="shared" si="4"/>
        <v>3689.08</v>
      </c>
      <c r="G161" s="16"/>
      <c r="H161" s="19">
        <f t="shared" si="5"/>
        <v>44766.91</v>
      </c>
    </row>
    <row r="162" spans="4:8" x14ac:dyDescent="0.25">
      <c r="D162" s="16" t="s">
        <v>56</v>
      </c>
      <c r="E162" s="16">
        <v>9443.26</v>
      </c>
      <c r="F162" s="16">
        <f t="shared" si="4"/>
        <v>9443.26</v>
      </c>
      <c r="G162" s="16">
        <v>93027.54</v>
      </c>
      <c r="H162" s="19">
        <f t="shared" si="5"/>
        <v>93027.54</v>
      </c>
    </row>
    <row r="163" spans="4:8" x14ac:dyDescent="0.25">
      <c r="D163" s="16" t="s">
        <v>17</v>
      </c>
      <c r="E163" s="16">
        <v>242.3</v>
      </c>
      <c r="F163" s="16">
        <f t="shared" si="4"/>
        <v>242.3</v>
      </c>
      <c r="G163" s="16">
        <v>2148.02</v>
      </c>
      <c r="H163" s="19">
        <f t="shared" si="5"/>
        <v>2148.02</v>
      </c>
    </row>
    <row r="164" spans="4:8" x14ac:dyDescent="0.25">
      <c r="D164" s="16" t="s">
        <v>17</v>
      </c>
      <c r="E164" s="16">
        <v>3251.33</v>
      </c>
      <c r="F164" s="16">
        <f t="shared" si="4"/>
        <v>3251.33</v>
      </c>
      <c r="G164" s="16">
        <v>34399.4</v>
      </c>
      <c r="H164" s="19">
        <f t="shared" si="5"/>
        <v>34399.4</v>
      </c>
    </row>
    <row r="165" spans="4:8" x14ac:dyDescent="0.25">
      <c r="D165" s="16" t="s">
        <v>17</v>
      </c>
      <c r="E165" s="16">
        <v>219.94</v>
      </c>
      <c r="F165" s="16">
        <f t="shared" si="4"/>
        <v>219.94</v>
      </c>
      <c r="G165" s="16">
        <v>2912.68</v>
      </c>
      <c r="H165" s="19">
        <f t="shared" si="5"/>
        <v>2912.68</v>
      </c>
    </row>
    <row r="166" spans="4:8" x14ac:dyDescent="0.25">
      <c r="D166" s="16" t="s">
        <v>26</v>
      </c>
      <c r="E166" s="16">
        <v>8705.77</v>
      </c>
      <c r="F166" s="16">
        <f t="shared" si="4"/>
        <v>8705.77</v>
      </c>
      <c r="G166" s="16">
        <v>85622.38</v>
      </c>
      <c r="H166" s="19">
        <f t="shared" si="5"/>
        <v>85622.38</v>
      </c>
    </row>
    <row r="167" spans="4:8" x14ac:dyDescent="0.25">
      <c r="D167" s="16" t="s">
        <v>56</v>
      </c>
      <c r="E167" s="16">
        <v>3196.68</v>
      </c>
      <c r="F167" s="16">
        <f t="shared" si="4"/>
        <v>3196.68</v>
      </c>
      <c r="G167" s="16">
        <v>34099.56</v>
      </c>
      <c r="H167" s="19">
        <f t="shared" si="5"/>
        <v>34099.56</v>
      </c>
    </row>
    <row r="168" spans="4:8" x14ac:dyDescent="0.25">
      <c r="D168" s="16" t="s">
        <v>48</v>
      </c>
      <c r="E168" s="16">
        <v>4362.25</v>
      </c>
      <c r="F168" s="16">
        <f t="shared" si="4"/>
        <v>4362.25</v>
      </c>
      <c r="G168" s="16">
        <v>54396.58</v>
      </c>
      <c r="H168" s="19">
        <f t="shared" si="5"/>
        <v>54396.58</v>
      </c>
    </row>
    <row r="169" spans="4:8" x14ac:dyDescent="0.25">
      <c r="D169" s="16" t="s">
        <v>48</v>
      </c>
      <c r="E169" s="16">
        <v>10769.81</v>
      </c>
      <c r="F169" s="16">
        <f t="shared" si="4"/>
        <v>10769.81</v>
      </c>
      <c r="G169" s="16">
        <v>114163.38</v>
      </c>
      <c r="H169" s="19">
        <f t="shared" si="5"/>
        <v>114163.38</v>
      </c>
    </row>
    <row r="170" spans="4:8" x14ac:dyDescent="0.25">
      <c r="D170" s="16" t="s">
        <v>17</v>
      </c>
      <c r="E170" s="16">
        <v>40.29</v>
      </c>
      <c r="F170" s="16">
        <f t="shared" si="4"/>
        <v>40.29</v>
      </c>
      <c r="G170" s="16">
        <v>512.64</v>
      </c>
      <c r="H170" s="19">
        <f t="shared" si="5"/>
        <v>512.64</v>
      </c>
    </row>
    <row r="171" spans="4:8" x14ac:dyDescent="0.25">
      <c r="D171" s="16" t="s">
        <v>26</v>
      </c>
      <c r="E171" s="16">
        <v>537.41</v>
      </c>
      <c r="F171" s="16">
        <f t="shared" si="4"/>
        <v>537.41</v>
      </c>
      <c r="G171" s="16">
        <v>6072.91</v>
      </c>
      <c r="H171" s="19">
        <f t="shared" si="5"/>
        <v>6072.91</v>
      </c>
    </row>
    <row r="172" spans="4:8" x14ac:dyDescent="0.25">
      <c r="D172" s="16" t="s">
        <v>26</v>
      </c>
      <c r="E172" s="16">
        <v>4904.91</v>
      </c>
      <c r="F172" s="16">
        <f t="shared" si="4"/>
        <v>4904.91</v>
      </c>
      <c r="G172" s="16">
        <v>60511.03</v>
      </c>
      <c r="H172" s="19">
        <f t="shared" si="5"/>
        <v>60511.03</v>
      </c>
    </row>
    <row r="173" spans="4:8" x14ac:dyDescent="0.25">
      <c r="D173" s="16" t="s">
        <v>26</v>
      </c>
      <c r="E173" s="16">
        <v>2257.2600000000002</v>
      </c>
      <c r="F173" s="16">
        <f t="shared" si="4"/>
        <v>2257.2600000000002</v>
      </c>
      <c r="G173" s="16">
        <v>32960.93</v>
      </c>
      <c r="H173" s="19">
        <f t="shared" si="5"/>
        <v>32960.93</v>
      </c>
    </row>
    <row r="174" spans="4:8" x14ac:dyDescent="0.25">
      <c r="D174" s="16" t="s">
        <v>48</v>
      </c>
      <c r="E174" s="16">
        <v>2960.46</v>
      </c>
      <c r="F174" s="16">
        <f t="shared" si="4"/>
        <v>2960.46</v>
      </c>
      <c r="G174" s="16">
        <v>30481.03</v>
      </c>
      <c r="H174" s="19">
        <f t="shared" si="5"/>
        <v>30481.03</v>
      </c>
    </row>
    <row r="175" spans="4:8" x14ac:dyDescent="0.25">
      <c r="D175" s="16" t="s">
        <v>17</v>
      </c>
      <c r="E175" s="16">
        <v>5270.98</v>
      </c>
      <c r="F175" s="16">
        <f t="shared" si="4"/>
        <v>5270.98</v>
      </c>
      <c r="G175" s="16">
        <v>64677.96</v>
      </c>
      <c r="H175" s="19">
        <f t="shared" si="5"/>
        <v>64677.96</v>
      </c>
    </row>
    <row r="176" spans="4:8" x14ac:dyDescent="0.25">
      <c r="D176" s="16" t="s">
        <v>56</v>
      </c>
      <c r="E176" s="16">
        <v>165.44</v>
      </c>
      <c r="F176" s="16">
        <f t="shared" si="4"/>
        <v>165.44</v>
      </c>
      <c r="G176" s="16"/>
      <c r="H176" s="19">
        <f t="shared" si="5"/>
        <v>47369.56</v>
      </c>
    </row>
    <row r="177" spans="4:8" x14ac:dyDescent="0.25">
      <c r="D177" s="16" t="s">
        <v>48</v>
      </c>
      <c r="E177" s="16">
        <v>5858.13</v>
      </c>
      <c r="F177" s="16">
        <f t="shared" si="4"/>
        <v>5858.13</v>
      </c>
      <c r="G177" s="16">
        <v>72920.990000000005</v>
      </c>
      <c r="H177" s="19">
        <f t="shared" si="5"/>
        <v>72920.990000000005</v>
      </c>
    </row>
    <row r="178" spans="4:8" x14ac:dyDescent="0.25">
      <c r="D178" s="16" t="s">
        <v>17</v>
      </c>
      <c r="E178" s="16">
        <v>1216.06</v>
      </c>
      <c r="F178" s="16">
        <f t="shared" si="4"/>
        <v>1216.06</v>
      </c>
      <c r="G178" s="16">
        <v>13680.52</v>
      </c>
      <c r="H178" s="19">
        <f t="shared" si="5"/>
        <v>13680.52</v>
      </c>
    </row>
    <row r="179" spans="4:8" x14ac:dyDescent="0.25">
      <c r="D179" s="16" t="s">
        <v>17</v>
      </c>
      <c r="E179" s="16">
        <v>10078.25</v>
      </c>
      <c r="F179" s="16">
        <f t="shared" si="4"/>
        <v>10078.25</v>
      </c>
      <c r="G179" s="16">
        <v>130085.42</v>
      </c>
      <c r="H179" s="19">
        <f t="shared" si="5"/>
        <v>130085.42</v>
      </c>
    </row>
    <row r="180" spans="4:8" x14ac:dyDescent="0.25">
      <c r="D180" s="16" t="s">
        <v>56</v>
      </c>
      <c r="E180" s="16">
        <v>4978.9799999999996</v>
      </c>
      <c r="F180" s="16">
        <f t="shared" si="4"/>
        <v>4978.9799999999996</v>
      </c>
      <c r="G180" s="16">
        <v>62459.69</v>
      </c>
      <c r="H180" s="19">
        <f t="shared" si="5"/>
        <v>62459.69</v>
      </c>
    </row>
    <row r="181" spans="4:8" x14ac:dyDescent="0.25">
      <c r="D181" s="16" t="s">
        <v>56</v>
      </c>
      <c r="E181" s="16">
        <v>9352.65</v>
      </c>
      <c r="F181" s="16">
        <f t="shared" si="4"/>
        <v>9352.65</v>
      </c>
      <c r="G181" s="16">
        <v>82459.8</v>
      </c>
      <c r="H181" s="19">
        <f t="shared" si="5"/>
        <v>82459.8</v>
      </c>
    </row>
    <row r="182" spans="4:8" x14ac:dyDescent="0.25">
      <c r="D182" s="16" t="s">
        <v>56</v>
      </c>
      <c r="E182" s="16">
        <v>11379.71</v>
      </c>
      <c r="F182" s="16">
        <f t="shared" si="4"/>
        <v>11379.71</v>
      </c>
      <c r="G182" s="16">
        <v>94649.91</v>
      </c>
      <c r="H182" s="19">
        <f t="shared" si="5"/>
        <v>94649.91</v>
      </c>
    </row>
    <row r="183" spans="4:8" x14ac:dyDescent="0.25">
      <c r="D183" s="16" t="s">
        <v>26</v>
      </c>
      <c r="E183" s="16">
        <v>724.62</v>
      </c>
      <c r="F183" s="16">
        <f t="shared" si="4"/>
        <v>724.62</v>
      </c>
      <c r="G183" s="16">
        <v>5985.71</v>
      </c>
      <c r="H183" s="19">
        <f t="shared" si="5"/>
        <v>5985.71</v>
      </c>
    </row>
    <row r="184" spans="4:8" x14ac:dyDescent="0.25">
      <c r="D184" s="16" t="s">
        <v>56</v>
      </c>
      <c r="E184" s="16">
        <v>10627.55</v>
      </c>
      <c r="F184" s="16">
        <f t="shared" si="4"/>
        <v>10627.55</v>
      </c>
      <c r="G184" s="16">
        <v>159110.28</v>
      </c>
      <c r="H184" s="19">
        <f t="shared" si="5"/>
        <v>159110.28</v>
      </c>
    </row>
    <row r="185" spans="4:8" x14ac:dyDescent="0.25">
      <c r="D185" s="16" t="s">
        <v>17</v>
      </c>
      <c r="E185" s="16">
        <v>1769.5</v>
      </c>
      <c r="F185" s="16">
        <f t="shared" si="4"/>
        <v>1769.5</v>
      </c>
      <c r="G185" s="16">
        <v>15594.33</v>
      </c>
      <c r="H185" s="19">
        <f t="shared" si="5"/>
        <v>15594.33</v>
      </c>
    </row>
    <row r="186" spans="4:8" x14ac:dyDescent="0.25">
      <c r="D186" s="16" t="s">
        <v>56</v>
      </c>
      <c r="E186" s="16">
        <v>5985.27</v>
      </c>
      <c r="F186" s="16">
        <f t="shared" si="4"/>
        <v>5985.27</v>
      </c>
      <c r="G186" s="16">
        <v>57719.55</v>
      </c>
      <c r="H186" s="19">
        <f t="shared" si="5"/>
        <v>57719.55</v>
      </c>
    </row>
    <row r="187" spans="4:8" x14ac:dyDescent="0.25">
      <c r="D187" s="16" t="s">
        <v>17</v>
      </c>
      <c r="E187" s="16">
        <v>188.55</v>
      </c>
      <c r="F187" s="16">
        <f t="shared" si="4"/>
        <v>188.55</v>
      </c>
      <c r="G187" s="16">
        <v>2217.88</v>
      </c>
      <c r="H187" s="19">
        <f t="shared" si="5"/>
        <v>2217.88</v>
      </c>
    </row>
    <row r="188" spans="4:8" x14ac:dyDescent="0.25">
      <c r="D188" s="16" t="s">
        <v>48</v>
      </c>
      <c r="E188" s="16">
        <v>3934.05</v>
      </c>
      <c r="F188" s="16">
        <f t="shared" si="4"/>
        <v>3934.05</v>
      </c>
      <c r="G188" s="16">
        <v>42175.06</v>
      </c>
      <c r="H188" s="19">
        <f t="shared" si="5"/>
        <v>42175.06</v>
      </c>
    </row>
    <row r="189" spans="4:8" x14ac:dyDescent="0.25">
      <c r="D189" s="16" t="s">
        <v>26</v>
      </c>
      <c r="E189" s="16">
        <v>1230.96</v>
      </c>
      <c r="F189" s="16">
        <f t="shared" si="4"/>
        <v>1230.96</v>
      </c>
      <c r="G189" s="16">
        <v>13044.58</v>
      </c>
      <c r="H189" s="19">
        <f t="shared" si="5"/>
        <v>13044.58</v>
      </c>
    </row>
    <row r="190" spans="4:8" x14ac:dyDescent="0.25">
      <c r="D190" s="16" t="s">
        <v>48</v>
      </c>
      <c r="E190" s="16">
        <v>10753.88</v>
      </c>
      <c r="F190" s="16">
        <f t="shared" si="4"/>
        <v>10753.88</v>
      </c>
      <c r="G190" s="16">
        <v>157497.73000000001</v>
      </c>
      <c r="H190" s="19">
        <f t="shared" si="5"/>
        <v>157497.73000000001</v>
      </c>
    </row>
    <row r="191" spans="4:8" x14ac:dyDescent="0.25">
      <c r="D191" s="16" t="s">
        <v>48</v>
      </c>
      <c r="E191" s="16">
        <v>417.86</v>
      </c>
      <c r="F191" s="16">
        <f t="shared" si="4"/>
        <v>417.86</v>
      </c>
      <c r="G191" s="16">
        <v>5380.11</v>
      </c>
      <c r="H191" s="19">
        <f t="shared" si="5"/>
        <v>5380.11</v>
      </c>
    </row>
    <row r="192" spans="4:8" x14ac:dyDescent="0.25">
      <c r="D192" s="16" t="s">
        <v>17</v>
      </c>
      <c r="E192" s="16">
        <v>269.11</v>
      </c>
      <c r="F192" s="16">
        <f t="shared" si="4"/>
        <v>269.11</v>
      </c>
      <c r="G192" s="16">
        <v>3170.48</v>
      </c>
      <c r="H192" s="19">
        <f t="shared" si="5"/>
        <v>3170.48</v>
      </c>
    </row>
    <row r="193" spans="4:8" x14ac:dyDescent="0.25">
      <c r="D193" s="16" t="s">
        <v>48</v>
      </c>
      <c r="E193" s="16">
        <v>8948.2900000000009</v>
      </c>
      <c r="F193" s="16">
        <f t="shared" si="4"/>
        <v>8948.2900000000009</v>
      </c>
      <c r="G193" s="16">
        <v>108376.16</v>
      </c>
      <c r="H193" s="19">
        <f t="shared" si="5"/>
        <v>108376.16</v>
      </c>
    </row>
    <row r="194" spans="4:8" x14ac:dyDescent="0.25">
      <c r="D194" s="16" t="s">
        <v>17</v>
      </c>
      <c r="E194" s="16">
        <v>9698.48</v>
      </c>
      <c r="F194" s="16">
        <f t="shared" ref="F194:F257" si="6">IF(E194="",VLOOKUP(D194,$A$1:$B$5,2,FALSE),E194)</f>
        <v>9698.48</v>
      </c>
      <c r="G194" s="16">
        <v>126916.19</v>
      </c>
      <c r="H194" s="19">
        <f t="shared" ref="H194:H257" si="7">IF(G194="",VLOOKUP(D194,$A$1:$C$5,3,FALSE),G194)</f>
        <v>126916.19</v>
      </c>
    </row>
    <row r="195" spans="4:8" x14ac:dyDescent="0.25">
      <c r="D195" s="16" t="s">
        <v>56</v>
      </c>
      <c r="E195" s="16">
        <v>10824.83</v>
      </c>
      <c r="F195" s="16">
        <f t="shared" si="6"/>
        <v>10824.83</v>
      </c>
      <c r="G195" s="16">
        <v>153689.82</v>
      </c>
      <c r="H195" s="19">
        <f t="shared" si="7"/>
        <v>153689.82</v>
      </c>
    </row>
    <row r="196" spans="4:8" x14ac:dyDescent="0.25">
      <c r="D196" s="16" t="s">
        <v>56</v>
      </c>
      <c r="E196" s="16">
        <v>6114.64</v>
      </c>
      <c r="F196" s="16">
        <f t="shared" si="6"/>
        <v>6114.64</v>
      </c>
      <c r="G196" s="16">
        <v>76949.399999999994</v>
      </c>
      <c r="H196" s="19">
        <f t="shared" si="7"/>
        <v>76949.399999999994</v>
      </c>
    </row>
    <row r="197" spans="4:8" x14ac:dyDescent="0.25">
      <c r="D197" s="16" t="s">
        <v>17</v>
      </c>
      <c r="E197" s="16">
        <v>3638.76</v>
      </c>
      <c r="F197" s="16">
        <f t="shared" si="6"/>
        <v>3638.76</v>
      </c>
      <c r="G197" s="16">
        <v>50345.34</v>
      </c>
      <c r="H197" s="19">
        <f t="shared" si="7"/>
        <v>50345.34</v>
      </c>
    </row>
    <row r="198" spans="4:8" x14ac:dyDescent="0.25">
      <c r="D198" s="16" t="s">
        <v>56</v>
      </c>
      <c r="E198" s="16">
        <v>6084.88</v>
      </c>
      <c r="F198" s="16">
        <f t="shared" si="6"/>
        <v>6084.88</v>
      </c>
      <c r="G198" s="16">
        <v>74902.23</v>
      </c>
      <c r="H198" s="19">
        <f t="shared" si="7"/>
        <v>74902.23</v>
      </c>
    </row>
    <row r="199" spans="4:8" x14ac:dyDescent="0.25">
      <c r="D199" s="16" t="s">
        <v>26</v>
      </c>
      <c r="E199" s="16">
        <v>4971.8599999999997</v>
      </c>
      <c r="F199" s="16">
        <f t="shared" si="6"/>
        <v>4971.8599999999997</v>
      </c>
      <c r="G199" s="16">
        <v>72456.759999999995</v>
      </c>
      <c r="H199" s="19">
        <f t="shared" si="7"/>
        <v>72456.759999999995</v>
      </c>
    </row>
    <row r="200" spans="4:8" x14ac:dyDescent="0.25">
      <c r="D200" s="16" t="s">
        <v>48</v>
      </c>
      <c r="E200" s="16"/>
      <c r="F200" s="16">
        <f t="shared" si="6"/>
        <v>3571.15</v>
      </c>
      <c r="G200" s="16">
        <v>81577.919999999998</v>
      </c>
      <c r="H200" s="19">
        <f t="shared" si="7"/>
        <v>81577.919999999998</v>
      </c>
    </row>
    <row r="201" spans="4:8" x14ac:dyDescent="0.25">
      <c r="D201" s="16" t="s">
        <v>26</v>
      </c>
      <c r="E201" s="16">
        <v>399.07</v>
      </c>
      <c r="F201" s="16">
        <f t="shared" si="6"/>
        <v>399.07</v>
      </c>
      <c r="G201" s="16">
        <v>5120.8500000000004</v>
      </c>
      <c r="H201" s="19">
        <f t="shared" si="7"/>
        <v>5120.8500000000004</v>
      </c>
    </row>
    <row r="202" spans="4:8" x14ac:dyDescent="0.25">
      <c r="D202" s="16" t="s">
        <v>48</v>
      </c>
      <c r="E202" s="16">
        <v>362.09</v>
      </c>
      <c r="F202" s="16">
        <f t="shared" si="6"/>
        <v>362.09</v>
      </c>
      <c r="G202" s="16">
        <v>3447.42</v>
      </c>
      <c r="H202" s="19">
        <f t="shared" si="7"/>
        <v>3447.42</v>
      </c>
    </row>
    <row r="203" spans="4:8" x14ac:dyDescent="0.25">
      <c r="D203" s="16" t="s">
        <v>56</v>
      </c>
      <c r="E203" s="16">
        <v>168.1</v>
      </c>
      <c r="F203" s="16">
        <f t="shared" si="6"/>
        <v>168.1</v>
      </c>
      <c r="G203" s="16">
        <v>1868.07</v>
      </c>
      <c r="H203" s="19">
        <f t="shared" si="7"/>
        <v>1868.07</v>
      </c>
    </row>
    <row r="204" spans="4:8" x14ac:dyDescent="0.25">
      <c r="D204" s="16" t="s">
        <v>26</v>
      </c>
      <c r="E204" s="16">
        <v>11074.73</v>
      </c>
      <c r="F204" s="16">
        <f t="shared" si="6"/>
        <v>11074.73</v>
      </c>
      <c r="G204" s="16">
        <v>106902.03</v>
      </c>
      <c r="H204" s="19">
        <f t="shared" si="7"/>
        <v>106902.03</v>
      </c>
    </row>
    <row r="205" spans="4:8" x14ac:dyDescent="0.25">
      <c r="D205" s="16" t="s">
        <v>56</v>
      </c>
      <c r="E205" s="16">
        <v>11778.3</v>
      </c>
      <c r="F205" s="16">
        <f t="shared" si="6"/>
        <v>11778.3</v>
      </c>
      <c r="G205" s="16">
        <v>124129.17</v>
      </c>
      <c r="H205" s="19">
        <f t="shared" si="7"/>
        <v>124129.17</v>
      </c>
    </row>
    <row r="206" spans="4:8" x14ac:dyDescent="0.25">
      <c r="D206" s="16" t="s">
        <v>48</v>
      </c>
      <c r="E206" s="16">
        <v>6642.42</v>
      </c>
      <c r="F206" s="16">
        <f t="shared" si="6"/>
        <v>6642.42</v>
      </c>
      <c r="G206" s="16">
        <v>98749.5</v>
      </c>
      <c r="H206" s="19">
        <f t="shared" si="7"/>
        <v>98749.5</v>
      </c>
    </row>
    <row r="207" spans="4:8" x14ac:dyDescent="0.25">
      <c r="D207" s="16" t="s">
        <v>17</v>
      </c>
      <c r="E207" s="16">
        <v>10929.68</v>
      </c>
      <c r="F207" s="16">
        <f t="shared" si="6"/>
        <v>10929.68</v>
      </c>
      <c r="G207" s="16">
        <v>115541.41</v>
      </c>
      <c r="H207" s="19">
        <f t="shared" si="7"/>
        <v>115541.41</v>
      </c>
    </row>
    <row r="208" spans="4:8" x14ac:dyDescent="0.25">
      <c r="D208" s="16" t="s">
        <v>17</v>
      </c>
      <c r="E208" s="16"/>
      <c r="F208" s="16">
        <f t="shared" si="6"/>
        <v>3263.73</v>
      </c>
      <c r="G208" s="16">
        <v>25997.38</v>
      </c>
      <c r="H208" s="19">
        <f t="shared" si="7"/>
        <v>25997.38</v>
      </c>
    </row>
    <row r="209" spans="4:8" x14ac:dyDescent="0.25">
      <c r="D209" s="16" t="s">
        <v>26</v>
      </c>
      <c r="E209" s="16">
        <v>8124.5</v>
      </c>
      <c r="F209" s="16">
        <f t="shared" si="6"/>
        <v>8124.5</v>
      </c>
      <c r="G209" s="16">
        <v>101668.27</v>
      </c>
      <c r="H209" s="19">
        <f t="shared" si="7"/>
        <v>101668.27</v>
      </c>
    </row>
    <row r="210" spans="4:8" x14ac:dyDescent="0.25">
      <c r="D210" s="16" t="s">
        <v>56</v>
      </c>
      <c r="E210" s="16">
        <v>41.97</v>
      </c>
      <c r="F210" s="16">
        <f t="shared" si="6"/>
        <v>41.97</v>
      </c>
      <c r="G210" s="16">
        <v>353.55</v>
      </c>
      <c r="H210" s="19">
        <f t="shared" si="7"/>
        <v>353.55</v>
      </c>
    </row>
    <row r="211" spans="4:8" x14ac:dyDescent="0.25">
      <c r="D211" s="16" t="s">
        <v>56</v>
      </c>
      <c r="E211" s="16">
        <v>5429.05</v>
      </c>
      <c r="F211" s="16">
        <f t="shared" si="6"/>
        <v>5429.05</v>
      </c>
      <c r="G211" s="16">
        <v>53916.82</v>
      </c>
      <c r="H211" s="19">
        <f t="shared" si="7"/>
        <v>53916.82</v>
      </c>
    </row>
    <row r="212" spans="4:8" x14ac:dyDescent="0.25">
      <c r="D212" s="16" t="s">
        <v>26</v>
      </c>
      <c r="E212" s="16">
        <v>10468.790000000001</v>
      </c>
      <c r="F212" s="16">
        <f t="shared" si="6"/>
        <v>10468.790000000001</v>
      </c>
      <c r="G212" s="16">
        <v>154702</v>
      </c>
      <c r="H212" s="19">
        <f t="shared" si="7"/>
        <v>154702</v>
      </c>
    </row>
    <row r="213" spans="4:8" x14ac:dyDescent="0.25">
      <c r="D213" s="16" t="s">
        <v>17</v>
      </c>
      <c r="E213" s="16">
        <v>2589.88</v>
      </c>
      <c r="F213" s="16">
        <f t="shared" si="6"/>
        <v>2589.88</v>
      </c>
      <c r="G213" s="16">
        <v>37923.81</v>
      </c>
      <c r="H213" s="19">
        <f t="shared" si="7"/>
        <v>37923.81</v>
      </c>
    </row>
    <row r="214" spans="4:8" x14ac:dyDescent="0.25">
      <c r="D214" s="16" t="s">
        <v>48</v>
      </c>
      <c r="E214" s="16">
        <v>3491.8</v>
      </c>
      <c r="F214" s="16">
        <f t="shared" si="6"/>
        <v>3491.8</v>
      </c>
      <c r="G214" s="16">
        <v>48079.77</v>
      </c>
      <c r="H214" s="19">
        <f t="shared" si="7"/>
        <v>48079.77</v>
      </c>
    </row>
    <row r="215" spans="4:8" x14ac:dyDescent="0.25">
      <c r="D215" s="16" t="s">
        <v>26</v>
      </c>
      <c r="E215" s="16">
        <v>4264.5600000000004</v>
      </c>
      <c r="F215" s="16">
        <f t="shared" si="6"/>
        <v>4264.5600000000004</v>
      </c>
      <c r="G215" s="16">
        <v>36853.11</v>
      </c>
      <c r="H215" s="19">
        <f t="shared" si="7"/>
        <v>36853.11</v>
      </c>
    </row>
    <row r="216" spans="4:8" x14ac:dyDescent="0.25">
      <c r="D216" s="16" t="s">
        <v>48</v>
      </c>
      <c r="E216" s="16">
        <v>5729.04</v>
      </c>
      <c r="F216" s="16">
        <f t="shared" si="6"/>
        <v>5729.04</v>
      </c>
      <c r="G216" s="16">
        <v>54338.46</v>
      </c>
      <c r="H216" s="19">
        <f t="shared" si="7"/>
        <v>54338.46</v>
      </c>
    </row>
    <row r="217" spans="4:8" x14ac:dyDescent="0.25">
      <c r="D217" s="16" t="s">
        <v>17</v>
      </c>
      <c r="E217" s="16">
        <v>4381.26</v>
      </c>
      <c r="F217" s="16">
        <f t="shared" si="6"/>
        <v>4381.26</v>
      </c>
      <c r="G217" s="16">
        <v>54662.57</v>
      </c>
      <c r="H217" s="19">
        <f t="shared" si="7"/>
        <v>54662.57</v>
      </c>
    </row>
    <row r="218" spans="4:8" x14ac:dyDescent="0.25">
      <c r="D218" s="16" t="s">
        <v>56</v>
      </c>
      <c r="E218" s="16">
        <v>10615.86</v>
      </c>
      <c r="F218" s="16">
        <f t="shared" si="6"/>
        <v>10615.86</v>
      </c>
      <c r="G218" s="16">
        <v>157089.81</v>
      </c>
      <c r="H218" s="19">
        <f t="shared" si="7"/>
        <v>157089.81</v>
      </c>
    </row>
    <row r="219" spans="4:8" x14ac:dyDescent="0.25">
      <c r="D219" s="16" t="s">
        <v>17</v>
      </c>
      <c r="E219" s="16">
        <v>3699.95</v>
      </c>
      <c r="F219" s="16">
        <f t="shared" si="6"/>
        <v>3699.95</v>
      </c>
      <c r="G219" s="16">
        <v>30909.57</v>
      </c>
      <c r="H219" s="19">
        <f t="shared" si="7"/>
        <v>30909.57</v>
      </c>
    </row>
    <row r="220" spans="4:8" x14ac:dyDescent="0.25">
      <c r="D220" s="16" t="s">
        <v>26</v>
      </c>
      <c r="E220" s="16">
        <v>11438.85</v>
      </c>
      <c r="F220" s="16">
        <f t="shared" si="6"/>
        <v>11438.85</v>
      </c>
      <c r="G220" s="16">
        <v>118215.53</v>
      </c>
      <c r="H220" s="19">
        <f t="shared" si="7"/>
        <v>118215.53</v>
      </c>
    </row>
    <row r="221" spans="4:8" x14ac:dyDescent="0.25">
      <c r="D221" s="16" t="s">
        <v>56</v>
      </c>
      <c r="E221" s="16">
        <v>5348</v>
      </c>
      <c r="F221" s="16">
        <f t="shared" si="6"/>
        <v>5348</v>
      </c>
      <c r="G221" s="16">
        <v>79801.5</v>
      </c>
      <c r="H221" s="19">
        <f t="shared" si="7"/>
        <v>79801.5</v>
      </c>
    </row>
    <row r="222" spans="4:8" x14ac:dyDescent="0.25">
      <c r="D222" s="16" t="s">
        <v>26</v>
      </c>
      <c r="E222" s="16">
        <v>10101.48</v>
      </c>
      <c r="F222" s="16">
        <f t="shared" si="6"/>
        <v>10101.48</v>
      </c>
      <c r="G222" s="16">
        <v>136459.34</v>
      </c>
      <c r="H222" s="19">
        <f t="shared" si="7"/>
        <v>136459.34</v>
      </c>
    </row>
    <row r="223" spans="4:8" x14ac:dyDescent="0.25">
      <c r="D223" s="16" t="s">
        <v>26</v>
      </c>
      <c r="E223" s="16">
        <v>235.15</v>
      </c>
      <c r="F223" s="16">
        <f t="shared" si="6"/>
        <v>235.15</v>
      </c>
      <c r="G223" s="16"/>
      <c r="H223" s="19">
        <f t="shared" si="7"/>
        <v>44766.91</v>
      </c>
    </row>
    <row r="224" spans="4:8" x14ac:dyDescent="0.25">
      <c r="D224" s="16" t="s">
        <v>17</v>
      </c>
      <c r="E224" s="16">
        <v>9113.7800000000007</v>
      </c>
      <c r="F224" s="16">
        <f t="shared" si="6"/>
        <v>9113.7800000000007</v>
      </c>
      <c r="G224" s="16">
        <v>125849.68</v>
      </c>
      <c r="H224" s="19">
        <f t="shared" si="7"/>
        <v>125849.68</v>
      </c>
    </row>
    <row r="225" spans="4:8" x14ac:dyDescent="0.25">
      <c r="D225" s="16" t="s">
        <v>26</v>
      </c>
      <c r="E225" s="16">
        <v>26.04</v>
      </c>
      <c r="F225" s="16">
        <f t="shared" si="6"/>
        <v>26.04</v>
      </c>
      <c r="G225" s="16">
        <v>309.33999999999997</v>
      </c>
      <c r="H225" s="19">
        <f t="shared" si="7"/>
        <v>309.33999999999997</v>
      </c>
    </row>
    <row r="226" spans="4:8" x14ac:dyDescent="0.25">
      <c r="D226" s="16" t="s">
        <v>17</v>
      </c>
      <c r="E226" s="16">
        <v>11447.08</v>
      </c>
      <c r="F226" s="16">
        <f t="shared" si="6"/>
        <v>11447.08</v>
      </c>
      <c r="G226" s="16">
        <v>138563.26</v>
      </c>
      <c r="H226" s="19">
        <f t="shared" si="7"/>
        <v>138563.26</v>
      </c>
    </row>
    <row r="227" spans="4:8" x14ac:dyDescent="0.25">
      <c r="D227" s="16" t="s">
        <v>56</v>
      </c>
      <c r="E227" s="16">
        <v>3078.55</v>
      </c>
      <c r="F227" s="16">
        <f t="shared" si="6"/>
        <v>3078.55</v>
      </c>
      <c r="G227" s="16">
        <v>42149.57</v>
      </c>
      <c r="H227" s="19">
        <f t="shared" si="7"/>
        <v>42149.57</v>
      </c>
    </row>
    <row r="228" spans="4:8" x14ac:dyDescent="0.25">
      <c r="D228" s="16" t="s">
        <v>17</v>
      </c>
      <c r="E228" s="16">
        <v>298.99</v>
      </c>
      <c r="F228" s="16">
        <f t="shared" si="6"/>
        <v>298.99</v>
      </c>
      <c r="G228" s="16">
        <v>2879.57</v>
      </c>
      <c r="H228" s="19">
        <f t="shared" si="7"/>
        <v>2879.57</v>
      </c>
    </row>
    <row r="229" spans="4:8" x14ac:dyDescent="0.25">
      <c r="D229" s="16" t="s">
        <v>56</v>
      </c>
      <c r="E229" s="16">
        <v>11508.78</v>
      </c>
      <c r="F229" s="16">
        <f t="shared" si="6"/>
        <v>11508.78</v>
      </c>
      <c r="G229" s="16">
        <v>154454.5</v>
      </c>
      <c r="H229" s="19">
        <f t="shared" si="7"/>
        <v>154454.5</v>
      </c>
    </row>
    <row r="230" spans="4:8" x14ac:dyDescent="0.25">
      <c r="D230" s="16" t="s">
        <v>17</v>
      </c>
      <c r="E230" s="16">
        <v>962.97</v>
      </c>
      <c r="F230" s="16">
        <f t="shared" si="6"/>
        <v>962.97</v>
      </c>
      <c r="G230" s="16">
        <v>13019.84</v>
      </c>
      <c r="H230" s="19">
        <f t="shared" si="7"/>
        <v>13019.84</v>
      </c>
    </row>
    <row r="231" spans="4:8" x14ac:dyDescent="0.25">
      <c r="D231" s="16" t="s">
        <v>48</v>
      </c>
      <c r="E231" s="16">
        <v>856.84</v>
      </c>
      <c r="F231" s="16">
        <f t="shared" si="6"/>
        <v>856.84</v>
      </c>
      <c r="G231" s="16">
        <v>10429.35</v>
      </c>
      <c r="H231" s="19">
        <f t="shared" si="7"/>
        <v>10429.35</v>
      </c>
    </row>
    <row r="232" spans="4:8" x14ac:dyDescent="0.25">
      <c r="D232" s="16" t="s">
        <v>48</v>
      </c>
      <c r="E232" s="16">
        <v>3343.76</v>
      </c>
      <c r="F232" s="16">
        <f t="shared" si="6"/>
        <v>3343.76</v>
      </c>
      <c r="G232" s="16">
        <v>33240.06</v>
      </c>
      <c r="H232" s="19">
        <f t="shared" si="7"/>
        <v>33240.06</v>
      </c>
    </row>
    <row r="233" spans="4:8" x14ac:dyDescent="0.25">
      <c r="D233" s="16" t="s">
        <v>26</v>
      </c>
      <c r="E233" s="16">
        <v>10151.129999999999</v>
      </c>
      <c r="F233" s="16">
        <f t="shared" si="6"/>
        <v>10151.129999999999</v>
      </c>
      <c r="G233" s="16">
        <v>151132.01999999999</v>
      </c>
      <c r="H233" s="19">
        <f t="shared" si="7"/>
        <v>151132.01999999999</v>
      </c>
    </row>
    <row r="234" spans="4:8" x14ac:dyDescent="0.25">
      <c r="D234" s="16" t="s">
        <v>17</v>
      </c>
      <c r="E234" s="16">
        <v>7645.36</v>
      </c>
      <c r="F234" s="16">
        <f t="shared" si="6"/>
        <v>7645.36</v>
      </c>
      <c r="G234" s="16">
        <v>114012.89</v>
      </c>
      <c r="H234" s="19">
        <f t="shared" si="7"/>
        <v>114012.89</v>
      </c>
    </row>
    <row r="235" spans="4:8" x14ac:dyDescent="0.25">
      <c r="D235" s="16" t="s">
        <v>17</v>
      </c>
      <c r="E235" s="16">
        <v>791.78</v>
      </c>
      <c r="F235" s="16">
        <f t="shared" si="6"/>
        <v>791.78</v>
      </c>
      <c r="G235" s="16">
        <v>9328.36</v>
      </c>
      <c r="H235" s="19">
        <f t="shared" si="7"/>
        <v>9328.36</v>
      </c>
    </row>
    <row r="236" spans="4:8" x14ac:dyDescent="0.25">
      <c r="D236" s="16" t="s">
        <v>56</v>
      </c>
      <c r="E236" s="16">
        <v>5945.95</v>
      </c>
      <c r="F236" s="16">
        <f t="shared" si="6"/>
        <v>5945.95</v>
      </c>
      <c r="G236" s="16">
        <v>80803.06</v>
      </c>
      <c r="H236" s="19">
        <f t="shared" si="7"/>
        <v>80803.06</v>
      </c>
    </row>
    <row r="237" spans="4:8" x14ac:dyDescent="0.25">
      <c r="D237" s="16" t="s">
        <v>26</v>
      </c>
      <c r="E237" s="16"/>
      <c r="F237" s="16">
        <f t="shared" si="6"/>
        <v>4205.87</v>
      </c>
      <c r="G237" s="16">
        <v>15920.82</v>
      </c>
      <c r="H237" s="19">
        <f t="shared" si="7"/>
        <v>15920.82</v>
      </c>
    </row>
    <row r="238" spans="4:8" x14ac:dyDescent="0.25">
      <c r="D238" s="16" t="s">
        <v>17</v>
      </c>
      <c r="E238" s="16">
        <v>11399.21</v>
      </c>
      <c r="F238" s="16">
        <f t="shared" si="6"/>
        <v>11399.21</v>
      </c>
      <c r="G238" s="16"/>
      <c r="H238" s="19">
        <f t="shared" si="7"/>
        <v>35034.370000000003</v>
      </c>
    </row>
    <row r="239" spans="4:8" x14ac:dyDescent="0.25">
      <c r="D239" s="16" t="s">
        <v>26</v>
      </c>
      <c r="E239" s="16"/>
      <c r="F239" s="16">
        <f t="shared" si="6"/>
        <v>4205.87</v>
      </c>
      <c r="G239" s="16"/>
      <c r="H239" s="19">
        <f t="shared" si="7"/>
        <v>44766.91</v>
      </c>
    </row>
    <row r="240" spans="4:8" x14ac:dyDescent="0.25">
      <c r="D240" s="16" t="s">
        <v>48</v>
      </c>
      <c r="E240" s="16">
        <v>3446.8</v>
      </c>
      <c r="F240" s="16">
        <f t="shared" si="6"/>
        <v>3446.8</v>
      </c>
      <c r="G240" s="16">
        <v>36217.93</v>
      </c>
      <c r="H240" s="19">
        <f t="shared" si="7"/>
        <v>36217.93</v>
      </c>
    </row>
    <row r="241" spans="4:8" x14ac:dyDescent="0.25">
      <c r="D241" s="16" t="s">
        <v>17</v>
      </c>
      <c r="E241" s="16">
        <v>4742.29</v>
      </c>
      <c r="F241" s="16">
        <f t="shared" si="6"/>
        <v>4742.29</v>
      </c>
      <c r="G241" s="16">
        <v>64111.12</v>
      </c>
      <c r="H241" s="19">
        <f t="shared" si="7"/>
        <v>64111.12</v>
      </c>
    </row>
    <row r="242" spans="4:8" x14ac:dyDescent="0.25">
      <c r="D242" s="16" t="s">
        <v>17</v>
      </c>
      <c r="E242" s="16">
        <v>7467.77</v>
      </c>
      <c r="F242" s="16">
        <f t="shared" si="6"/>
        <v>7467.77</v>
      </c>
      <c r="G242" s="16">
        <v>90524.09</v>
      </c>
      <c r="H242" s="19">
        <f t="shared" si="7"/>
        <v>90524.09</v>
      </c>
    </row>
    <row r="243" spans="4:8" x14ac:dyDescent="0.25">
      <c r="D243" s="16" t="s">
        <v>26</v>
      </c>
      <c r="E243" s="16">
        <v>192.75</v>
      </c>
      <c r="F243" s="16">
        <f t="shared" si="6"/>
        <v>192.75</v>
      </c>
      <c r="G243" s="16">
        <v>1563.29</v>
      </c>
      <c r="H243" s="19">
        <f t="shared" si="7"/>
        <v>1563.29</v>
      </c>
    </row>
    <row r="244" spans="4:8" x14ac:dyDescent="0.25">
      <c r="D244" s="16" t="s">
        <v>17</v>
      </c>
      <c r="E244" s="16">
        <v>8761.11</v>
      </c>
      <c r="F244" s="16">
        <f t="shared" si="6"/>
        <v>8761.11</v>
      </c>
      <c r="G244" s="16">
        <v>86363.28</v>
      </c>
      <c r="H244" s="19">
        <f t="shared" si="7"/>
        <v>86363.28</v>
      </c>
    </row>
    <row r="245" spans="4:8" x14ac:dyDescent="0.25">
      <c r="D245" s="16" t="s">
        <v>26</v>
      </c>
      <c r="E245" s="16">
        <v>9444.61</v>
      </c>
      <c r="F245" s="16">
        <f t="shared" si="6"/>
        <v>9444.61</v>
      </c>
      <c r="G245" s="16">
        <v>83937.18</v>
      </c>
      <c r="H245" s="19">
        <f t="shared" si="7"/>
        <v>83937.18</v>
      </c>
    </row>
    <row r="246" spans="4:8" x14ac:dyDescent="0.25">
      <c r="D246" s="16" t="s">
        <v>17</v>
      </c>
      <c r="E246" s="16">
        <v>2383.31</v>
      </c>
      <c r="F246" s="16">
        <f t="shared" si="6"/>
        <v>2383.31</v>
      </c>
      <c r="G246" s="16">
        <v>26089.439999999999</v>
      </c>
      <c r="H246" s="19">
        <f t="shared" si="7"/>
        <v>26089.439999999999</v>
      </c>
    </row>
    <row r="247" spans="4:8" x14ac:dyDescent="0.25">
      <c r="D247" s="16" t="s">
        <v>56</v>
      </c>
      <c r="E247" s="16">
        <v>4076.95</v>
      </c>
      <c r="F247" s="16">
        <f t="shared" si="6"/>
        <v>4076.95</v>
      </c>
      <c r="G247" s="16">
        <v>35859</v>
      </c>
      <c r="H247" s="19">
        <f t="shared" si="7"/>
        <v>35859</v>
      </c>
    </row>
    <row r="248" spans="4:8" x14ac:dyDescent="0.25">
      <c r="D248" s="16" t="s">
        <v>26</v>
      </c>
      <c r="E248" s="16">
        <v>7154.87</v>
      </c>
      <c r="F248" s="16">
        <f t="shared" si="6"/>
        <v>7154.87</v>
      </c>
      <c r="G248" s="16">
        <v>60422.21</v>
      </c>
      <c r="H248" s="19">
        <f t="shared" si="7"/>
        <v>60422.21</v>
      </c>
    </row>
    <row r="249" spans="4:8" x14ac:dyDescent="0.25">
      <c r="D249" s="16" t="s">
        <v>17</v>
      </c>
      <c r="E249" s="16">
        <v>11182.2</v>
      </c>
      <c r="F249" s="16">
        <f t="shared" si="6"/>
        <v>11182.2</v>
      </c>
      <c r="G249" s="16">
        <v>124546.52</v>
      </c>
      <c r="H249" s="19">
        <f t="shared" si="7"/>
        <v>124546.52</v>
      </c>
    </row>
    <row r="250" spans="4:8" x14ac:dyDescent="0.25">
      <c r="D250" s="16" t="s">
        <v>48</v>
      </c>
      <c r="E250" s="16">
        <v>287.89999999999998</v>
      </c>
      <c r="F250" s="16">
        <f t="shared" si="6"/>
        <v>287.89999999999998</v>
      </c>
      <c r="G250" s="16">
        <v>3032.82</v>
      </c>
      <c r="H250" s="19">
        <f t="shared" si="7"/>
        <v>3032.82</v>
      </c>
    </row>
    <row r="251" spans="4:8" x14ac:dyDescent="0.25">
      <c r="D251" s="16" t="s">
        <v>17</v>
      </c>
      <c r="E251" s="16">
        <v>454.01</v>
      </c>
      <c r="F251" s="16">
        <f t="shared" si="6"/>
        <v>454.01</v>
      </c>
      <c r="G251" s="16">
        <v>5518.79</v>
      </c>
      <c r="H251" s="19">
        <f t="shared" si="7"/>
        <v>5518.79</v>
      </c>
    </row>
    <row r="252" spans="4:8" x14ac:dyDescent="0.25">
      <c r="D252" s="16" t="s">
        <v>48</v>
      </c>
      <c r="E252" s="16">
        <v>4816.03</v>
      </c>
      <c r="F252" s="16">
        <f t="shared" si="6"/>
        <v>4816.03</v>
      </c>
      <c r="G252" s="16">
        <v>53766.34</v>
      </c>
      <c r="H252" s="19">
        <f t="shared" si="7"/>
        <v>53766.34</v>
      </c>
    </row>
    <row r="253" spans="4:8" x14ac:dyDescent="0.25">
      <c r="D253" s="16" t="s">
        <v>48</v>
      </c>
      <c r="E253" s="16">
        <v>2830.26</v>
      </c>
      <c r="F253" s="16">
        <f t="shared" si="6"/>
        <v>2830.26</v>
      </c>
      <c r="G253" s="16">
        <v>27031.38</v>
      </c>
      <c r="H253" s="19">
        <f t="shared" si="7"/>
        <v>27031.38</v>
      </c>
    </row>
    <row r="254" spans="4:8" x14ac:dyDescent="0.25">
      <c r="D254" s="16" t="s">
        <v>56</v>
      </c>
      <c r="E254" s="16">
        <v>2780.79</v>
      </c>
      <c r="F254" s="16">
        <f t="shared" si="6"/>
        <v>2780.79</v>
      </c>
      <c r="G254" s="16">
        <v>34219.699999999997</v>
      </c>
      <c r="H254" s="19">
        <f t="shared" si="7"/>
        <v>34219.699999999997</v>
      </c>
    </row>
    <row r="255" spans="4:8" x14ac:dyDescent="0.25">
      <c r="D255" s="16" t="s">
        <v>26</v>
      </c>
      <c r="E255" s="16">
        <v>7309.13</v>
      </c>
      <c r="F255" s="16">
        <f t="shared" si="6"/>
        <v>7309.13</v>
      </c>
      <c r="G255" s="16">
        <v>95681.64</v>
      </c>
      <c r="H255" s="19">
        <f t="shared" si="7"/>
        <v>95681.64</v>
      </c>
    </row>
    <row r="256" spans="4:8" x14ac:dyDescent="0.25">
      <c r="D256" s="16" t="s">
        <v>17</v>
      </c>
      <c r="E256" s="16">
        <v>10051.57</v>
      </c>
      <c r="F256" s="16">
        <f t="shared" si="6"/>
        <v>10051.57</v>
      </c>
      <c r="G256" s="16">
        <v>144353.23000000001</v>
      </c>
      <c r="H256" s="19">
        <f t="shared" si="7"/>
        <v>144353.23000000001</v>
      </c>
    </row>
    <row r="257" spans="4:8" x14ac:dyDescent="0.25">
      <c r="D257" s="16" t="s">
        <v>56</v>
      </c>
      <c r="E257" s="16">
        <v>48.57</v>
      </c>
      <c r="F257" s="16">
        <f t="shared" si="6"/>
        <v>48.57</v>
      </c>
      <c r="G257" s="16">
        <v>612.58000000000004</v>
      </c>
      <c r="H257" s="19">
        <f t="shared" si="7"/>
        <v>612.58000000000004</v>
      </c>
    </row>
    <row r="258" spans="4:8" x14ac:dyDescent="0.25">
      <c r="D258" s="16" t="s">
        <v>17</v>
      </c>
      <c r="E258" s="16">
        <v>8517.7199999999993</v>
      </c>
      <c r="F258" s="16">
        <f t="shared" ref="F258:F321" si="8">IF(E258="",VLOOKUP(D258,$A$1:$B$5,2,FALSE),E258)</f>
        <v>8517.7199999999993</v>
      </c>
      <c r="G258" s="16">
        <v>86126.18</v>
      </c>
      <c r="H258" s="19">
        <f t="shared" ref="H258:H321" si="9">IF(G258="",VLOOKUP(D258,$A$1:$C$5,3,FALSE),G258)</f>
        <v>86126.18</v>
      </c>
    </row>
    <row r="259" spans="4:8" x14ac:dyDescent="0.25">
      <c r="D259" s="16" t="s">
        <v>48</v>
      </c>
      <c r="E259" s="16">
        <v>3968.2</v>
      </c>
      <c r="F259" s="16">
        <f t="shared" si="8"/>
        <v>3968.2</v>
      </c>
      <c r="G259" s="16">
        <v>49615.93</v>
      </c>
      <c r="H259" s="19">
        <f t="shared" si="9"/>
        <v>49615.93</v>
      </c>
    </row>
    <row r="260" spans="4:8" x14ac:dyDescent="0.25">
      <c r="D260" s="16" t="s">
        <v>26</v>
      </c>
      <c r="E260" s="16">
        <v>8368.98</v>
      </c>
      <c r="F260" s="16">
        <f t="shared" si="8"/>
        <v>8368.98</v>
      </c>
      <c r="G260" s="16">
        <v>68776.73</v>
      </c>
      <c r="H260" s="19">
        <f t="shared" si="9"/>
        <v>68776.73</v>
      </c>
    </row>
    <row r="261" spans="4:8" x14ac:dyDescent="0.25">
      <c r="D261" s="16" t="s">
        <v>17</v>
      </c>
      <c r="E261" s="16">
        <v>9763.57</v>
      </c>
      <c r="F261" s="16">
        <f t="shared" si="8"/>
        <v>9763.57</v>
      </c>
      <c r="G261" s="16">
        <v>146356.96</v>
      </c>
      <c r="H261" s="19">
        <f t="shared" si="9"/>
        <v>146356.96</v>
      </c>
    </row>
    <row r="262" spans="4:8" x14ac:dyDescent="0.25">
      <c r="D262" s="16" t="s">
        <v>17</v>
      </c>
      <c r="E262" s="16">
        <v>9656.61</v>
      </c>
      <c r="F262" s="16">
        <f t="shared" si="8"/>
        <v>9656.61</v>
      </c>
      <c r="G262" s="16">
        <v>134527.1</v>
      </c>
      <c r="H262" s="19">
        <f t="shared" si="9"/>
        <v>134527.1</v>
      </c>
    </row>
    <row r="263" spans="4:8" x14ac:dyDescent="0.25">
      <c r="D263" s="16" t="s">
        <v>48</v>
      </c>
      <c r="E263" s="16">
        <v>7008.22</v>
      </c>
      <c r="F263" s="16">
        <f t="shared" si="8"/>
        <v>7008.22</v>
      </c>
      <c r="G263" s="16">
        <v>76977.7</v>
      </c>
      <c r="H263" s="19">
        <f t="shared" si="9"/>
        <v>76977.7</v>
      </c>
    </row>
    <row r="264" spans="4:8" x14ac:dyDescent="0.25">
      <c r="D264" s="16" t="s">
        <v>17</v>
      </c>
      <c r="E264" s="16">
        <v>972.29</v>
      </c>
      <c r="F264" s="16">
        <f t="shared" si="8"/>
        <v>972.29</v>
      </c>
      <c r="G264" s="16">
        <v>8513.11</v>
      </c>
      <c r="H264" s="19">
        <f t="shared" si="9"/>
        <v>8513.11</v>
      </c>
    </row>
    <row r="265" spans="4:8" x14ac:dyDescent="0.25">
      <c r="D265" s="16" t="s">
        <v>17</v>
      </c>
      <c r="E265" s="16">
        <v>6626.57</v>
      </c>
      <c r="F265" s="16">
        <f t="shared" si="8"/>
        <v>6626.57</v>
      </c>
      <c r="G265" s="16">
        <v>86058</v>
      </c>
      <c r="H265" s="19">
        <f t="shared" si="9"/>
        <v>86058</v>
      </c>
    </row>
    <row r="266" spans="4:8" x14ac:dyDescent="0.25">
      <c r="D266" s="16" t="s">
        <v>48</v>
      </c>
      <c r="E266" s="16">
        <v>8107.5</v>
      </c>
      <c r="F266" s="16">
        <f t="shared" si="8"/>
        <v>8107.5</v>
      </c>
      <c r="G266" s="16">
        <v>90033.27</v>
      </c>
      <c r="H266" s="19">
        <f t="shared" si="9"/>
        <v>90033.27</v>
      </c>
    </row>
    <row r="267" spans="4:8" x14ac:dyDescent="0.25">
      <c r="D267" s="16" t="s">
        <v>56</v>
      </c>
      <c r="E267" s="16">
        <v>34.479999999999997</v>
      </c>
      <c r="F267" s="16">
        <f t="shared" si="8"/>
        <v>34.479999999999997</v>
      </c>
      <c r="G267" s="16">
        <v>492.89</v>
      </c>
      <c r="H267" s="19">
        <f t="shared" si="9"/>
        <v>492.89</v>
      </c>
    </row>
    <row r="268" spans="4:8" x14ac:dyDescent="0.25">
      <c r="D268" s="16" t="s">
        <v>48</v>
      </c>
      <c r="E268" s="16">
        <v>7946.75</v>
      </c>
      <c r="F268" s="16">
        <f t="shared" si="8"/>
        <v>7946.75</v>
      </c>
      <c r="G268" s="16">
        <v>81492.19</v>
      </c>
      <c r="H268" s="19">
        <f t="shared" si="9"/>
        <v>81492.19</v>
      </c>
    </row>
    <row r="269" spans="4:8" x14ac:dyDescent="0.25">
      <c r="D269" s="16" t="s">
        <v>56</v>
      </c>
      <c r="E269" s="16">
        <v>645.5</v>
      </c>
      <c r="F269" s="16">
        <f t="shared" si="8"/>
        <v>645.5</v>
      </c>
      <c r="G269" s="16">
        <v>5834.25</v>
      </c>
      <c r="H269" s="19">
        <f t="shared" si="9"/>
        <v>5834.25</v>
      </c>
    </row>
    <row r="270" spans="4:8" x14ac:dyDescent="0.25">
      <c r="D270" s="16" t="s">
        <v>26</v>
      </c>
      <c r="E270" s="16">
        <v>210.03</v>
      </c>
      <c r="F270" s="16">
        <f t="shared" si="8"/>
        <v>210.03</v>
      </c>
      <c r="G270" s="16">
        <v>1865.77</v>
      </c>
      <c r="H270" s="19">
        <f t="shared" si="9"/>
        <v>1865.77</v>
      </c>
    </row>
    <row r="271" spans="4:8" x14ac:dyDescent="0.25">
      <c r="D271" s="16" t="s">
        <v>56</v>
      </c>
      <c r="E271" s="16">
        <v>6137.32</v>
      </c>
      <c r="F271" s="16">
        <f t="shared" si="8"/>
        <v>6137.32</v>
      </c>
      <c r="G271" s="16">
        <v>75920.009999999995</v>
      </c>
      <c r="H271" s="19">
        <f t="shared" si="9"/>
        <v>75920.009999999995</v>
      </c>
    </row>
    <row r="272" spans="4:8" x14ac:dyDescent="0.25">
      <c r="D272" s="16" t="s">
        <v>56</v>
      </c>
      <c r="E272" s="16">
        <v>5485.52</v>
      </c>
      <c r="F272" s="16">
        <f t="shared" si="8"/>
        <v>5485.52</v>
      </c>
      <c r="G272" s="16"/>
      <c r="H272" s="19">
        <f t="shared" si="9"/>
        <v>47369.56</v>
      </c>
    </row>
    <row r="273" spans="4:8" x14ac:dyDescent="0.25">
      <c r="D273" s="16" t="s">
        <v>26</v>
      </c>
      <c r="E273" s="16">
        <v>72.44</v>
      </c>
      <c r="F273" s="16">
        <f t="shared" si="8"/>
        <v>72.44</v>
      </c>
      <c r="G273" s="16">
        <v>940.64</v>
      </c>
      <c r="H273" s="19">
        <f t="shared" si="9"/>
        <v>940.64</v>
      </c>
    </row>
    <row r="274" spans="4:8" x14ac:dyDescent="0.25">
      <c r="D274" s="16" t="s">
        <v>56</v>
      </c>
      <c r="E274" s="16">
        <v>10753.11</v>
      </c>
      <c r="F274" s="16">
        <f t="shared" si="8"/>
        <v>10753.11</v>
      </c>
      <c r="G274" s="16">
        <v>114696.23</v>
      </c>
      <c r="H274" s="19">
        <f t="shared" si="9"/>
        <v>114696.23</v>
      </c>
    </row>
    <row r="275" spans="4:8" x14ac:dyDescent="0.25">
      <c r="D275" s="16" t="s">
        <v>48</v>
      </c>
      <c r="E275" s="16">
        <v>5787</v>
      </c>
      <c r="F275" s="16">
        <f t="shared" si="8"/>
        <v>5787</v>
      </c>
      <c r="G275" s="16">
        <v>70495.75</v>
      </c>
      <c r="H275" s="19">
        <f t="shared" si="9"/>
        <v>70495.75</v>
      </c>
    </row>
    <row r="276" spans="4:8" x14ac:dyDescent="0.25">
      <c r="D276" s="16" t="s">
        <v>56</v>
      </c>
      <c r="E276" s="16">
        <v>2259.4</v>
      </c>
      <c r="F276" s="16">
        <f t="shared" si="8"/>
        <v>2259.4</v>
      </c>
      <c r="G276" s="16">
        <v>22739.24</v>
      </c>
      <c r="H276" s="19">
        <f t="shared" si="9"/>
        <v>22739.24</v>
      </c>
    </row>
    <row r="277" spans="4:8" x14ac:dyDescent="0.25">
      <c r="D277" s="16" t="s">
        <v>26</v>
      </c>
      <c r="E277" s="16">
        <v>2525.58</v>
      </c>
      <c r="F277" s="16">
        <f t="shared" si="8"/>
        <v>2525.58</v>
      </c>
      <c r="G277" s="16">
        <v>29142.31</v>
      </c>
      <c r="H277" s="19">
        <f t="shared" si="9"/>
        <v>29142.31</v>
      </c>
    </row>
    <row r="278" spans="4:8" x14ac:dyDescent="0.25">
      <c r="D278" s="16" t="s">
        <v>48</v>
      </c>
      <c r="E278" s="16">
        <v>6500.09</v>
      </c>
      <c r="F278" s="16">
        <f t="shared" si="8"/>
        <v>6500.09</v>
      </c>
      <c r="G278" s="16">
        <v>71575.06</v>
      </c>
      <c r="H278" s="19">
        <f t="shared" si="9"/>
        <v>71575.06</v>
      </c>
    </row>
    <row r="279" spans="4:8" x14ac:dyDescent="0.25">
      <c r="D279" s="16" t="s">
        <v>26</v>
      </c>
      <c r="E279" s="16">
        <v>7980.26</v>
      </c>
      <c r="F279" s="16">
        <f t="shared" si="8"/>
        <v>7980.26</v>
      </c>
      <c r="G279" s="16">
        <v>108145.87</v>
      </c>
      <c r="H279" s="19">
        <f t="shared" si="9"/>
        <v>108145.87</v>
      </c>
    </row>
    <row r="280" spans="4:8" x14ac:dyDescent="0.25">
      <c r="D280" s="16" t="s">
        <v>26</v>
      </c>
      <c r="E280" s="16">
        <v>7582.99</v>
      </c>
      <c r="F280" s="16">
        <f t="shared" si="8"/>
        <v>7582.99</v>
      </c>
      <c r="G280" s="16">
        <v>66737.13</v>
      </c>
      <c r="H280" s="19">
        <f t="shared" si="9"/>
        <v>66737.13</v>
      </c>
    </row>
    <row r="281" spans="4:8" x14ac:dyDescent="0.25">
      <c r="D281" s="16" t="s">
        <v>17</v>
      </c>
      <c r="E281" s="16">
        <v>11075.6</v>
      </c>
      <c r="F281" s="16">
        <f t="shared" si="8"/>
        <v>11075.6</v>
      </c>
      <c r="G281" s="16">
        <v>139364.17000000001</v>
      </c>
      <c r="H281" s="19">
        <f t="shared" si="9"/>
        <v>139364.17000000001</v>
      </c>
    </row>
    <row r="282" spans="4:8" x14ac:dyDescent="0.25">
      <c r="D282" s="16" t="s">
        <v>17</v>
      </c>
      <c r="E282" s="16">
        <v>154.93</v>
      </c>
      <c r="F282" s="16">
        <f t="shared" si="8"/>
        <v>154.93</v>
      </c>
      <c r="G282" s="16">
        <v>2191.3200000000002</v>
      </c>
      <c r="H282" s="19">
        <f t="shared" si="9"/>
        <v>2191.3200000000002</v>
      </c>
    </row>
    <row r="283" spans="4:8" x14ac:dyDescent="0.25">
      <c r="D283" s="16" t="s">
        <v>26</v>
      </c>
      <c r="E283" s="16"/>
      <c r="F283" s="16">
        <f t="shared" si="8"/>
        <v>4205.87</v>
      </c>
      <c r="G283" s="16">
        <v>2756.59</v>
      </c>
      <c r="H283" s="19">
        <f t="shared" si="9"/>
        <v>2756.59</v>
      </c>
    </row>
    <row r="284" spans="4:8" x14ac:dyDescent="0.25">
      <c r="D284" s="16" t="s">
        <v>26</v>
      </c>
      <c r="E284" s="16">
        <v>9995.9500000000007</v>
      </c>
      <c r="F284" s="16">
        <f t="shared" si="8"/>
        <v>9995.9500000000007</v>
      </c>
      <c r="G284" s="16">
        <v>140527.53</v>
      </c>
      <c r="H284" s="19">
        <f t="shared" si="9"/>
        <v>140527.53</v>
      </c>
    </row>
    <row r="285" spans="4:8" x14ac:dyDescent="0.25">
      <c r="D285" s="16" t="s">
        <v>26</v>
      </c>
      <c r="E285" s="16">
        <v>7313.46</v>
      </c>
      <c r="F285" s="16">
        <f t="shared" si="8"/>
        <v>7313.46</v>
      </c>
      <c r="G285" s="16"/>
      <c r="H285" s="19">
        <f t="shared" si="9"/>
        <v>44766.91</v>
      </c>
    </row>
    <row r="286" spans="4:8" x14ac:dyDescent="0.25">
      <c r="D286" s="16" t="s">
        <v>17</v>
      </c>
      <c r="E286" s="16">
        <v>161.15</v>
      </c>
      <c r="F286" s="16">
        <f t="shared" si="8"/>
        <v>161.15</v>
      </c>
      <c r="G286" s="16">
        <v>2291.0100000000002</v>
      </c>
      <c r="H286" s="19">
        <f t="shared" si="9"/>
        <v>2291.0100000000002</v>
      </c>
    </row>
    <row r="287" spans="4:8" x14ac:dyDescent="0.25">
      <c r="D287" s="16" t="s">
        <v>17</v>
      </c>
      <c r="E287" s="16">
        <v>3323.19</v>
      </c>
      <c r="F287" s="16">
        <f t="shared" si="8"/>
        <v>3323.19</v>
      </c>
      <c r="G287" s="16">
        <v>36211.79</v>
      </c>
      <c r="H287" s="19">
        <f t="shared" si="9"/>
        <v>36211.79</v>
      </c>
    </row>
    <row r="288" spans="4:8" x14ac:dyDescent="0.25">
      <c r="D288" s="16" t="s">
        <v>56</v>
      </c>
      <c r="E288" s="16">
        <v>11248.15</v>
      </c>
      <c r="F288" s="16">
        <f t="shared" si="8"/>
        <v>11248.15</v>
      </c>
      <c r="G288" s="16">
        <v>155133.75</v>
      </c>
      <c r="H288" s="19">
        <f t="shared" si="9"/>
        <v>155133.75</v>
      </c>
    </row>
    <row r="289" spans="4:8" x14ac:dyDescent="0.25">
      <c r="D289" s="16" t="s">
        <v>56</v>
      </c>
      <c r="E289" s="16">
        <v>55.79</v>
      </c>
      <c r="F289" s="16">
        <f t="shared" si="8"/>
        <v>55.79</v>
      </c>
      <c r="G289" s="16">
        <v>602.04</v>
      </c>
      <c r="H289" s="19">
        <f t="shared" si="9"/>
        <v>602.04</v>
      </c>
    </row>
    <row r="290" spans="4:8" x14ac:dyDescent="0.25">
      <c r="D290" s="16" t="s">
        <v>26</v>
      </c>
      <c r="E290" s="16">
        <v>5684.22</v>
      </c>
      <c r="F290" s="16">
        <f t="shared" si="8"/>
        <v>5684.22</v>
      </c>
      <c r="G290" s="16">
        <v>74504.710000000006</v>
      </c>
      <c r="H290" s="19">
        <f t="shared" si="9"/>
        <v>74504.710000000006</v>
      </c>
    </row>
    <row r="291" spans="4:8" x14ac:dyDescent="0.25">
      <c r="D291" s="16" t="s">
        <v>48</v>
      </c>
      <c r="E291" s="16">
        <v>375.24</v>
      </c>
      <c r="F291" s="16">
        <f t="shared" si="8"/>
        <v>375.24</v>
      </c>
      <c r="G291" s="16">
        <v>3822.88</v>
      </c>
      <c r="H291" s="19">
        <f t="shared" si="9"/>
        <v>3822.88</v>
      </c>
    </row>
    <row r="292" spans="4:8" x14ac:dyDescent="0.25">
      <c r="D292" s="16" t="s">
        <v>48</v>
      </c>
      <c r="E292" s="16">
        <v>113.97</v>
      </c>
      <c r="F292" s="16">
        <f t="shared" si="8"/>
        <v>113.97</v>
      </c>
      <c r="G292" s="16">
        <v>1161.0899999999999</v>
      </c>
      <c r="H292" s="19">
        <f t="shared" si="9"/>
        <v>1161.0899999999999</v>
      </c>
    </row>
    <row r="293" spans="4:8" x14ac:dyDescent="0.25">
      <c r="D293" s="16" t="s">
        <v>17</v>
      </c>
      <c r="E293" s="16">
        <v>8184.17</v>
      </c>
      <c r="F293" s="16">
        <f t="shared" si="8"/>
        <v>8184.17</v>
      </c>
      <c r="G293" s="16">
        <v>80075.789999999994</v>
      </c>
      <c r="H293" s="19">
        <f t="shared" si="9"/>
        <v>80075.789999999994</v>
      </c>
    </row>
    <row r="294" spans="4:8" x14ac:dyDescent="0.25">
      <c r="D294" s="16" t="s">
        <v>17</v>
      </c>
      <c r="E294" s="16">
        <v>4368.5600000000004</v>
      </c>
      <c r="F294" s="16">
        <f t="shared" si="8"/>
        <v>4368.5600000000004</v>
      </c>
      <c r="G294" s="16">
        <v>64109.26</v>
      </c>
      <c r="H294" s="19">
        <f t="shared" si="9"/>
        <v>64109.26</v>
      </c>
    </row>
    <row r="295" spans="4:8" x14ac:dyDescent="0.25">
      <c r="D295" s="16" t="s">
        <v>17</v>
      </c>
      <c r="E295" s="16">
        <v>6184.52</v>
      </c>
      <c r="F295" s="16">
        <f t="shared" si="8"/>
        <v>6184.52</v>
      </c>
      <c r="G295" s="16">
        <v>79209.77</v>
      </c>
      <c r="H295" s="19">
        <f t="shared" si="9"/>
        <v>79209.77</v>
      </c>
    </row>
    <row r="296" spans="4:8" x14ac:dyDescent="0.25">
      <c r="D296" s="16" t="s">
        <v>26</v>
      </c>
      <c r="E296" s="16">
        <v>1042.54</v>
      </c>
      <c r="F296" s="16">
        <f t="shared" si="8"/>
        <v>1042.54</v>
      </c>
      <c r="G296" s="16">
        <v>11801.42</v>
      </c>
      <c r="H296" s="19">
        <f t="shared" si="9"/>
        <v>11801.42</v>
      </c>
    </row>
    <row r="297" spans="4:8" x14ac:dyDescent="0.25">
      <c r="D297" s="16" t="s">
        <v>48</v>
      </c>
      <c r="E297" s="16">
        <v>1513.89</v>
      </c>
      <c r="F297" s="16">
        <f t="shared" si="8"/>
        <v>1513.89</v>
      </c>
      <c r="G297" s="16">
        <v>13077.85</v>
      </c>
      <c r="H297" s="19">
        <f t="shared" si="9"/>
        <v>13077.85</v>
      </c>
    </row>
    <row r="298" spans="4:8" x14ac:dyDescent="0.25">
      <c r="D298" s="16" t="s">
        <v>56</v>
      </c>
      <c r="E298" s="16">
        <v>177.41</v>
      </c>
      <c r="F298" s="16">
        <f t="shared" si="8"/>
        <v>177.41</v>
      </c>
      <c r="G298" s="16">
        <v>1525.29</v>
      </c>
      <c r="H298" s="19">
        <f t="shared" si="9"/>
        <v>1525.29</v>
      </c>
    </row>
    <row r="299" spans="4:8" x14ac:dyDescent="0.25">
      <c r="D299" s="16" t="s">
        <v>26</v>
      </c>
      <c r="E299" s="16">
        <v>3471.05</v>
      </c>
      <c r="F299" s="16">
        <f t="shared" si="8"/>
        <v>3471.05</v>
      </c>
      <c r="G299" s="16">
        <v>38261.85</v>
      </c>
      <c r="H299" s="19">
        <f t="shared" si="9"/>
        <v>38261.85</v>
      </c>
    </row>
    <row r="300" spans="4:8" x14ac:dyDescent="0.25">
      <c r="D300" s="16" t="s">
        <v>56</v>
      </c>
      <c r="E300" s="16">
        <v>139.83000000000001</v>
      </c>
      <c r="F300" s="16">
        <f t="shared" si="8"/>
        <v>139.83000000000001</v>
      </c>
      <c r="G300" s="16">
        <v>1847.45</v>
      </c>
      <c r="H300" s="19">
        <f t="shared" si="9"/>
        <v>1847.45</v>
      </c>
    </row>
    <row r="301" spans="4:8" x14ac:dyDescent="0.25">
      <c r="D301" s="16" t="s">
        <v>56</v>
      </c>
      <c r="E301" s="16">
        <v>1828.85</v>
      </c>
      <c r="F301" s="16">
        <f t="shared" si="8"/>
        <v>1828.85</v>
      </c>
      <c r="G301" s="16">
        <v>19401.41</v>
      </c>
      <c r="H301" s="19">
        <f t="shared" si="9"/>
        <v>19401.41</v>
      </c>
    </row>
    <row r="302" spans="4:8" x14ac:dyDescent="0.25">
      <c r="D302" s="16" t="s">
        <v>26</v>
      </c>
      <c r="E302" s="16">
        <v>10621.23</v>
      </c>
      <c r="F302" s="16">
        <f t="shared" si="8"/>
        <v>10621.23</v>
      </c>
      <c r="G302" s="16">
        <v>94643.74</v>
      </c>
      <c r="H302" s="19">
        <f t="shared" si="9"/>
        <v>94643.74</v>
      </c>
    </row>
    <row r="303" spans="4:8" x14ac:dyDescent="0.25">
      <c r="D303" s="16" t="s">
        <v>56</v>
      </c>
      <c r="E303" s="16">
        <v>111.16</v>
      </c>
      <c r="F303" s="16">
        <f t="shared" si="8"/>
        <v>111.16</v>
      </c>
      <c r="G303" s="16">
        <v>935.95</v>
      </c>
      <c r="H303" s="19">
        <f t="shared" si="9"/>
        <v>935.95</v>
      </c>
    </row>
    <row r="304" spans="4:8" x14ac:dyDescent="0.25">
      <c r="D304" s="16" t="s">
        <v>48</v>
      </c>
      <c r="E304" s="16">
        <v>1598.22</v>
      </c>
      <c r="F304" s="16">
        <f t="shared" si="8"/>
        <v>1598.22</v>
      </c>
      <c r="G304" s="16">
        <v>23488.04</v>
      </c>
      <c r="H304" s="19">
        <f t="shared" si="9"/>
        <v>23488.04</v>
      </c>
    </row>
    <row r="305" spans="4:8" x14ac:dyDescent="0.25">
      <c r="D305" s="16" t="s">
        <v>56</v>
      </c>
      <c r="E305" s="16">
        <v>95.53</v>
      </c>
      <c r="F305" s="16">
        <f t="shared" si="8"/>
        <v>95.53</v>
      </c>
      <c r="G305" s="16">
        <v>1139.8399999999999</v>
      </c>
      <c r="H305" s="19">
        <f t="shared" si="9"/>
        <v>1139.8399999999999</v>
      </c>
    </row>
    <row r="306" spans="4:8" x14ac:dyDescent="0.25">
      <c r="D306" s="16" t="s">
        <v>48</v>
      </c>
      <c r="E306" s="16">
        <v>3275.59</v>
      </c>
      <c r="F306" s="16">
        <f t="shared" si="8"/>
        <v>3275.59</v>
      </c>
      <c r="G306" s="16">
        <v>41567.54</v>
      </c>
      <c r="H306" s="19">
        <f t="shared" si="9"/>
        <v>41567.54</v>
      </c>
    </row>
    <row r="307" spans="4:8" x14ac:dyDescent="0.25">
      <c r="D307" s="16" t="s">
        <v>48</v>
      </c>
      <c r="E307" s="16">
        <v>5173.92</v>
      </c>
      <c r="F307" s="16">
        <f t="shared" si="8"/>
        <v>5173.92</v>
      </c>
      <c r="G307" s="16">
        <v>56269.8</v>
      </c>
      <c r="H307" s="19">
        <f t="shared" si="9"/>
        <v>56269.8</v>
      </c>
    </row>
    <row r="308" spans="4:8" x14ac:dyDescent="0.25">
      <c r="D308" s="16" t="s">
        <v>48</v>
      </c>
      <c r="E308" s="16">
        <v>6884.53</v>
      </c>
      <c r="F308" s="16">
        <f t="shared" si="8"/>
        <v>6884.53</v>
      </c>
      <c r="G308" s="16">
        <v>97176.87</v>
      </c>
      <c r="H308" s="19">
        <f t="shared" si="9"/>
        <v>97176.87</v>
      </c>
    </row>
    <row r="309" spans="4:8" x14ac:dyDescent="0.25">
      <c r="D309" s="16" t="s">
        <v>17</v>
      </c>
      <c r="E309" s="16">
        <v>3263.73</v>
      </c>
      <c r="F309" s="16">
        <f t="shared" si="8"/>
        <v>3263.73</v>
      </c>
      <c r="G309" s="16">
        <v>47611</v>
      </c>
      <c r="H309" s="19">
        <f t="shared" si="9"/>
        <v>47611</v>
      </c>
    </row>
    <row r="310" spans="4:8" x14ac:dyDescent="0.25">
      <c r="D310" s="16" t="s">
        <v>56</v>
      </c>
      <c r="E310" s="16">
        <v>5975.07</v>
      </c>
      <c r="F310" s="16">
        <f t="shared" si="8"/>
        <v>5975.07</v>
      </c>
      <c r="G310" s="16">
        <v>65490.1</v>
      </c>
      <c r="H310" s="19">
        <f t="shared" si="9"/>
        <v>65490.1</v>
      </c>
    </row>
    <row r="311" spans="4:8" x14ac:dyDescent="0.25">
      <c r="D311" s="16" t="s">
        <v>26</v>
      </c>
      <c r="E311" s="16">
        <v>2164.34</v>
      </c>
      <c r="F311" s="16">
        <f t="shared" si="8"/>
        <v>2164.34</v>
      </c>
      <c r="G311" s="16">
        <v>31190.1</v>
      </c>
      <c r="H311" s="19">
        <f t="shared" si="9"/>
        <v>31190.1</v>
      </c>
    </row>
    <row r="312" spans="4:8" x14ac:dyDescent="0.25">
      <c r="D312" s="16" t="s">
        <v>26</v>
      </c>
      <c r="E312" s="16">
        <v>89.63</v>
      </c>
      <c r="F312" s="16">
        <f t="shared" si="8"/>
        <v>89.63</v>
      </c>
      <c r="G312" s="16">
        <v>749.32</v>
      </c>
      <c r="H312" s="19">
        <f t="shared" si="9"/>
        <v>749.32</v>
      </c>
    </row>
    <row r="313" spans="4:8" x14ac:dyDescent="0.25">
      <c r="D313" s="16" t="s">
        <v>56</v>
      </c>
      <c r="E313" s="16">
        <v>8.6199999999999992</v>
      </c>
      <c r="F313" s="16">
        <f t="shared" si="8"/>
        <v>8.6199999999999992</v>
      </c>
      <c r="G313" s="16">
        <v>86.32</v>
      </c>
      <c r="H313" s="19">
        <f t="shared" si="9"/>
        <v>86.32</v>
      </c>
    </row>
    <row r="314" spans="4:8" x14ac:dyDescent="0.25">
      <c r="D314" s="16" t="s">
        <v>17</v>
      </c>
      <c r="E314" s="16">
        <v>3883.71</v>
      </c>
      <c r="F314" s="16">
        <f t="shared" si="8"/>
        <v>3883.71</v>
      </c>
      <c r="G314" s="16">
        <v>39563.910000000003</v>
      </c>
      <c r="H314" s="19">
        <f t="shared" si="9"/>
        <v>39563.910000000003</v>
      </c>
    </row>
    <row r="315" spans="4:8" x14ac:dyDescent="0.25">
      <c r="D315" s="16" t="s">
        <v>17</v>
      </c>
      <c r="E315" s="16">
        <v>5150.6099999999997</v>
      </c>
      <c r="F315" s="16">
        <f t="shared" si="8"/>
        <v>5150.6099999999997</v>
      </c>
      <c r="G315" s="16">
        <v>44940.12</v>
      </c>
      <c r="H315" s="19">
        <f t="shared" si="9"/>
        <v>44940.12</v>
      </c>
    </row>
    <row r="316" spans="4:8" x14ac:dyDescent="0.25">
      <c r="D316" s="16" t="s">
        <v>48</v>
      </c>
      <c r="E316" s="16">
        <v>3298.01</v>
      </c>
      <c r="F316" s="16">
        <f t="shared" si="8"/>
        <v>3298.01</v>
      </c>
      <c r="G316" s="16">
        <v>38098.239999999998</v>
      </c>
      <c r="H316" s="19">
        <f t="shared" si="9"/>
        <v>38098.239999999998</v>
      </c>
    </row>
    <row r="317" spans="4:8" x14ac:dyDescent="0.25">
      <c r="D317" s="16" t="s">
        <v>56</v>
      </c>
      <c r="E317" s="16">
        <v>331.98</v>
      </c>
      <c r="F317" s="16">
        <f t="shared" si="8"/>
        <v>331.98</v>
      </c>
      <c r="G317" s="16">
        <v>3015.41</v>
      </c>
      <c r="H317" s="19">
        <f t="shared" si="9"/>
        <v>3015.41</v>
      </c>
    </row>
    <row r="318" spans="4:8" x14ac:dyDescent="0.25">
      <c r="D318" s="16" t="s">
        <v>56</v>
      </c>
      <c r="E318" s="16">
        <v>184.51</v>
      </c>
      <c r="F318" s="16">
        <f t="shared" si="8"/>
        <v>184.51</v>
      </c>
      <c r="G318" s="16">
        <v>2098.86</v>
      </c>
      <c r="H318" s="19">
        <f t="shared" si="9"/>
        <v>2098.86</v>
      </c>
    </row>
    <row r="319" spans="4:8" x14ac:dyDescent="0.25">
      <c r="D319" s="16" t="s">
        <v>26</v>
      </c>
      <c r="E319" s="16">
        <v>110.69</v>
      </c>
      <c r="F319" s="16">
        <f t="shared" si="8"/>
        <v>110.69</v>
      </c>
      <c r="G319" s="16">
        <v>1542.01</v>
      </c>
      <c r="H319" s="19">
        <f t="shared" si="9"/>
        <v>1542.01</v>
      </c>
    </row>
    <row r="320" spans="4:8" x14ac:dyDescent="0.25">
      <c r="D320" s="16" t="s">
        <v>56</v>
      </c>
      <c r="E320" s="16">
        <v>4453.21</v>
      </c>
      <c r="F320" s="16">
        <f t="shared" si="8"/>
        <v>4453.21</v>
      </c>
      <c r="G320" s="16">
        <v>46539.6</v>
      </c>
      <c r="H320" s="19">
        <f t="shared" si="9"/>
        <v>46539.6</v>
      </c>
    </row>
    <row r="321" spans="4:8" x14ac:dyDescent="0.25">
      <c r="D321" s="16" t="s">
        <v>17</v>
      </c>
      <c r="E321" s="16">
        <v>2990.23</v>
      </c>
      <c r="F321" s="16">
        <f t="shared" si="8"/>
        <v>2990.23</v>
      </c>
      <c r="G321" s="16">
        <v>35565.370000000003</v>
      </c>
      <c r="H321" s="19">
        <f t="shared" si="9"/>
        <v>35565.370000000003</v>
      </c>
    </row>
    <row r="322" spans="4:8" x14ac:dyDescent="0.25">
      <c r="D322" s="16" t="s">
        <v>56</v>
      </c>
      <c r="E322" s="16">
        <v>1696.13</v>
      </c>
      <c r="F322" s="16">
        <f t="shared" ref="F322:F385" si="10">IF(E322="",VLOOKUP(D322,$A$1:$B$5,2,FALSE),E322)</f>
        <v>1696.13</v>
      </c>
      <c r="G322" s="16">
        <v>14933.06</v>
      </c>
      <c r="H322" s="19">
        <f t="shared" ref="H322:H385" si="11">IF(G322="",VLOOKUP(D322,$A$1:$C$5,3,FALSE),G322)</f>
        <v>14933.06</v>
      </c>
    </row>
    <row r="323" spans="4:8" x14ac:dyDescent="0.25">
      <c r="D323" s="16" t="s">
        <v>26</v>
      </c>
      <c r="E323" s="16">
        <v>4545.82</v>
      </c>
      <c r="F323" s="16">
        <f t="shared" si="10"/>
        <v>4545.82</v>
      </c>
      <c r="G323" s="16">
        <v>45230.81</v>
      </c>
      <c r="H323" s="19">
        <f t="shared" si="11"/>
        <v>45230.81</v>
      </c>
    </row>
    <row r="324" spans="4:8" x14ac:dyDescent="0.25">
      <c r="D324" s="16" t="s">
        <v>48</v>
      </c>
      <c r="E324" s="16">
        <v>1415.86</v>
      </c>
      <c r="F324" s="16">
        <f t="shared" si="10"/>
        <v>1415.86</v>
      </c>
      <c r="G324" s="16">
        <v>13568.35</v>
      </c>
      <c r="H324" s="19">
        <f t="shared" si="11"/>
        <v>13568.35</v>
      </c>
    </row>
    <row r="325" spans="4:8" x14ac:dyDescent="0.25">
      <c r="D325" s="16" t="s">
        <v>26</v>
      </c>
      <c r="E325" s="16">
        <v>4026.16</v>
      </c>
      <c r="F325" s="16">
        <f t="shared" si="10"/>
        <v>4026.16</v>
      </c>
      <c r="G325" s="16">
        <v>44303.01</v>
      </c>
      <c r="H325" s="19">
        <f t="shared" si="11"/>
        <v>44303.01</v>
      </c>
    </row>
    <row r="326" spans="4:8" x14ac:dyDescent="0.25">
      <c r="D326" s="16" t="s">
        <v>26</v>
      </c>
      <c r="E326" s="16">
        <v>3151.19</v>
      </c>
      <c r="F326" s="16">
        <f t="shared" si="10"/>
        <v>3151.19</v>
      </c>
      <c r="G326" s="16">
        <v>37583.49</v>
      </c>
      <c r="H326" s="19">
        <f t="shared" si="11"/>
        <v>37583.49</v>
      </c>
    </row>
    <row r="327" spans="4:8" x14ac:dyDescent="0.25">
      <c r="D327" s="16" t="s">
        <v>48</v>
      </c>
      <c r="E327" s="16">
        <v>8794.77</v>
      </c>
      <c r="F327" s="16">
        <f t="shared" si="10"/>
        <v>8794.77</v>
      </c>
      <c r="G327" s="16">
        <v>117603.91</v>
      </c>
      <c r="H327" s="19">
        <f t="shared" si="11"/>
        <v>117603.91</v>
      </c>
    </row>
    <row r="328" spans="4:8" x14ac:dyDescent="0.25">
      <c r="D328" s="16" t="s">
        <v>26</v>
      </c>
      <c r="E328" s="16">
        <v>4128.8</v>
      </c>
      <c r="F328" s="16">
        <f t="shared" si="10"/>
        <v>4128.8</v>
      </c>
      <c r="G328" s="16">
        <v>50999.21</v>
      </c>
      <c r="H328" s="19">
        <f t="shared" si="11"/>
        <v>50999.21</v>
      </c>
    </row>
    <row r="329" spans="4:8" x14ac:dyDescent="0.25">
      <c r="D329" s="16" t="s">
        <v>26</v>
      </c>
      <c r="E329" s="16">
        <v>9043.1299999999992</v>
      </c>
      <c r="F329" s="16">
        <f t="shared" si="10"/>
        <v>9043.1299999999992</v>
      </c>
      <c r="G329" s="16">
        <v>115072.36</v>
      </c>
      <c r="H329" s="19">
        <f t="shared" si="11"/>
        <v>115072.36</v>
      </c>
    </row>
    <row r="330" spans="4:8" x14ac:dyDescent="0.25">
      <c r="D330" s="16" t="s">
        <v>56</v>
      </c>
      <c r="E330" s="16">
        <v>11435.09</v>
      </c>
      <c r="F330" s="16">
        <f t="shared" si="10"/>
        <v>11435.09</v>
      </c>
      <c r="G330" s="16">
        <v>136045.29999999999</v>
      </c>
      <c r="H330" s="19">
        <f t="shared" si="11"/>
        <v>136045.29999999999</v>
      </c>
    </row>
    <row r="331" spans="4:8" x14ac:dyDescent="0.25">
      <c r="D331" s="16" t="s">
        <v>56</v>
      </c>
      <c r="E331" s="16">
        <v>8436.8799999999992</v>
      </c>
      <c r="F331" s="16">
        <f t="shared" si="10"/>
        <v>8436.8799999999992</v>
      </c>
      <c r="G331" s="16">
        <v>103461.16</v>
      </c>
      <c r="H331" s="19">
        <f t="shared" si="11"/>
        <v>103461.16</v>
      </c>
    </row>
    <row r="332" spans="4:8" x14ac:dyDescent="0.25">
      <c r="D332" s="16" t="s">
        <v>48</v>
      </c>
      <c r="E332" s="16">
        <v>2702.72</v>
      </c>
      <c r="F332" s="16">
        <f t="shared" si="10"/>
        <v>2702.72</v>
      </c>
      <c r="G332" s="16">
        <v>34067.300000000003</v>
      </c>
      <c r="H332" s="19">
        <f t="shared" si="11"/>
        <v>34067.300000000003</v>
      </c>
    </row>
    <row r="333" spans="4:8" x14ac:dyDescent="0.25">
      <c r="D333" s="16" t="s">
        <v>56</v>
      </c>
      <c r="E333" s="16">
        <v>8993.9500000000007</v>
      </c>
      <c r="F333" s="16">
        <f t="shared" si="10"/>
        <v>8993.9500000000007</v>
      </c>
      <c r="G333" s="16">
        <v>115610.92</v>
      </c>
      <c r="H333" s="19">
        <f t="shared" si="11"/>
        <v>115610.92</v>
      </c>
    </row>
    <row r="334" spans="4:8" x14ac:dyDescent="0.25">
      <c r="D334" s="16" t="s">
        <v>56</v>
      </c>
      <c r="E334" s="16"/>
      <c r="F334" s="16">
        <f t="shared" si="10"/>
        <v>4148.93</v>
      </c>
      <c r="G334" s="16">
        <v>30183.78</v>
      </c>
      <c r="H334" s="19">
        <f t="shared" si="11"/>
        <v>30183.78</v>
      </c>
    </row>
    <row r="335" spans="4:8" x14ac:dyDescent="0.25">
      <c r="D335" s="16" t="s">
        <v>26</v>
      </c>
      <c r="E335" s="16">
        <v>7280.25</v>
      </c>
      <c r="F335" s="16">
        <f t="shared" si="10"/>
        <v>7280.25</v>
      </c>
      <c r="G335" s="16">
        <v>72168.34</v>
      </c>
      <c r="H335" s="19">
        <f t="shared" si="11"/>
        <v>72168.34</v>
      </c>
    </row>
    <row r="336" spans="4:8" x14ac:dyDescent="0.25">
      <c r="D336" s="16" t="s">
        <v>17</v>
      </c>
      <c r="E336" s="16">
        <v>9242.39</v>
      </c>
      <c r="F336" s="16">
        <f t="shared" si="10"/>
        <v>9242.39</v>
      </c>
      <c r="G336" s="16">
        <v>123264.52</v>
      </c>
      <c r="H336" s="19">
        <f t="shared" si="11"/>
        <v>123264.52</v>
      </c>
    </row>
    <row r="337" spans="4:8" x14ac:dyDescent="0.25">
      <c r="D337" s="16" t="s">
        <v>56</v>
      </c>
      <c r="E337" s="16">
        <v>7363.09</v>
      </c>
      <c r="F337" s="16">
        <f t="shared" si="10"/>
        <v>7363.09</v>
      </c>
      <c r="G337" s="16">
        <v>106402.27</v>
      </c>
      <c r="H337" s="19">
        <f t="shared" si="11"/>
        <v>106402.27</v>
      </c>
    </row>
    <row r="338" spans="4:8" x14ac:dyDescent="0.25">
      <c r="D338" s="16" t="s">
        <v>17</v>
      </c>
      <c r="E338" s="16">
        <v>11775.87</v>
      </c>
      <c r="F338" s="16">
        <f t="shared" si="10"/>
        <v>11775.87</v>
      </c>
      <c r="G338" s="16">
        <v>123142.2</v>
      </c>
      <c r="H338" s="19">
        <f t="shared" si="11"/>
        <v>123142.2</v>
      </c>
    </row>
    <row r="339" spans="4:8" x14ac:dyDescent="0.25">
      <c r="D339" s="16" t="s">
        <v>56</v>
      </c>
      <c r="E339" s="16">
        <v>10075.23</v>
      </c>
      <c r="F339" s="16">
        <f t="shared" si="10"/>
        <v>10075.23</v>
      </c>
      <c r="G339" s="16">
        <v>93395.76</v>
      </c>
      <c r="H339" s="19">
        <f t="shared" si="11"/>
        <v>93395.76</v>
      </c>
    </row>
    <row r="340" spans="4:8" x14ac:dyDescent="0.25">
      <c r="D340" s="16" t="s">
        <v>56</v>
      </c>
      <c r="E340" s="16">
        <v>3906.83</v>
      </c>
      <c r="F340" s="16">
        <f t="shared" si="10"/>
        <v>3906.83</v>
      </c>
      <c r="G340" s="16">
        <v>35172.25</v>
      </c>
      <c r="H340" s="19">
        <f t="shared" si="11"/>
        <v>35172.25</v>
      </c>
    </row>
    <row r="341" spans="4:8" x14ac:dyDescent="0.25">
      <c r="D341" s="16" t="s">
        <v>48</v>
      </c>
      <c r="E341" s="16">
        <v>180.44</v>
      </c>
      <c r="F341" s="16">
        <f t="shared" si="10"/>
        <v>180.44</v>
      </c>
      <c r="G341" s="16">
        <v>2273.8000000000002</v>
      </c>
      <c r="H341" s="19">
        <f t="shared" si="11"/>
        <v>2273.8000000000002</v>
      </c>
    </row>
    <row r="342" spans="4:8" x14ac:dyDescent="0.25">
      <c r="D342" s="16" t="s">
        <v>48</v>
      </c>
      <c r="E342" s="16">
        <v>3976.08</v>
      </c>
      <c r="F342" s="16">
        <f t="shared" si="10"/>
        <v>3976.08</v>
      </c>
      <c r="G342" s="16">
        <v>33745.379999999997</v>
      </c>
      <c r="H342" s="19">
        <f t="shared" si="11"/>
        <v>33745.379999999997</v>
      </c>
    </row>
    <row r="343" spans="4:8" x14ac:dyDescent="0.25">
      <c r="D343" s="16" t="s">
        <v>48</v>
      </c>
      <c r="E343" s="16">
        <v>8642.2099999999991</v>
      </c>
      <c r="F343" s="16">
        <f t="shared" si="10"/>
        <v>8642.2099999999991</v>
      </c>
      <c r="G343" s="16">
        <v>113962.95</v>
      </c>
      <c r="H343" s="19">
        <f t="shared" si="11"/>
        <v>113962.95</v>
      </c>
    </row>
    <row r="344" spans="4:8" x14ac:dyDescent="0.25">
      <c r="D344" s="16" t="s">
        <v>17</v>
      </c>
      <c r="E344" s="16">
        <v>25.32</v>
      </c>
      <c r="F344" s="16">
        <f t="shared" si="10"/>
        <v>25.32</v>
      </c>
      <c r="G344" s="16">
        <v>374.8</v>
      </c>
      <c r="H344" s="19">
        <f t="shared" si="11"/>
        <v>374.8</v>
      </c>
    </row>
    <row r="345" spans="4:8" x14ac:dyDescent="0.25">
      <c r="D345" s="16" t="s">
        <v>26</v>
      </c>
      <c r="E345" s="16">
        <v>232</v>
      </c>
      <c r="F345" s="16">
        <f t="shared" si="10"/>
        <v>232</v>
      </c>
      <c r="G345" s="16">
        <v>2005.01</v>
      </c>
      <c r="H345" s="19">
        <f t="shared" si="11"/>
        <v>2005.01</v>
      </c>
    </row>
    <row r="346" spans="4:8" x14ac:dyDescent="0.25">
      <c r="D346" s="16" t="s">
        <v>56</v>
      </c>
      <c r="E346" s="16">
        <v>258.13</v>
      </c>
      <c r="F346" s="16">
        <f t="shared" si="10"/>
        <v>258.13</v>
      </c>
      <c r="G346" s="16">
        <v>3023.57</v>
      </c>
      <c r="H346" s="19">
        <f t="shared" si="11"/>
        <v>3023.57</v>
      </c>
    </row>
    <row r="347" spans="4:8" x14ac:dyDescent="0.25">
      <c r="D347" s="16" t="s">
        <v>56</v>
      </c>
      <c r="E347" s="16">
        <v>947.2</v>
      </c>
      <c r="F347" s="16">
        <f t="shared" si="10"/>
        <v>947.2</v>
      </c>
      <c r="G347" s="16">
        <v>10071.92</v>
      </c>
      <c r="H347" s="19">
        <f t="shared" si="11"/>
        <v>10071.92</v>
      </c>
    </row>
    <row r="348" spans="4:8" x14ac:dyDescent="0.25">
      <c r="D348" s="16" t="s">
        <v>56</v>
      </c>
      <c r="E348" s="16">
        <v>11357.03</v>
      </c>
      <c r="F348" s="16">
        <f t="shared" si="10"/>
        <v>11357.03</v>
      </c>
      <c r="G348" s="16">
        <v>126920.72</v>
      </c>
      <c r="H348" s="19">
        <f t="shared" si="11"/>
        <v>126920.72</v>
      </c>
    </row>
    <row r="349" spans="4:8" x14ac:dyDescent="0.25">
      <c r="D349" s="16" t="s">
        <v>17</v>
      </c>
      <c r="E349" s="16">
        <v>7835.5</v>
      </c>
      <c r="F349" s="16">
        <f t="shared" si="10"/>
        <v>7835.5</v>
      </c>
      <c r="G349" s="16">
        <v>71317.66</v>
      </c>
      <c r="H349" s="19">
        <f t="shared" si="11"/>
        <v>71317.66</v>
      </c>
    </row>
    <row r="350" spans="4:8" x14ac:dyDescent="0.25">
      <c r="D350" s="16" t="s">
        <v>48</v>
      </c>
      <c r="E350" s="16">
        <v>9157.11</v>
      </c>
      <c r="F350" s="16">
        <f t="shared" si="10"/>
        <v>9157.11</v>
      </c>
      <c r="G350" s="16">
        <v>93232.76</v>
      </c>
      <c r="H350" s="19">
        <f t="shared" si="11"/>
        <v>93232.76</v>
      </c>
    </row>
    <row r="351" spans="4:8" x14ac:dyDescent="0.25">
      <c r="D351" s="16" t="s">
        <v>26</v>
      </c>
      <c r="E351" s="16">
        <v>1679.76</v>
      </c>
      <c r="F351" s="16">
        <f t="shared" si="10"/>
        <v>1679.76</v>
      </c>
      <c r="G351" s="16">
        <v>17252.28</v>
      </c>
      <c r="H351" s="19">
        <f t="shared" si="11"/>
        <v>17252.28</v>
      </c>
    </row>
    <row r="352" spans="4:8" x14ac:dyDescent="0.25">
      <c r="D352" s="16" t="s">
        <v>17</v>
      </c>
      <c r="E352" s="16">
        <v>641.04999999999995</v>
      </c>
      <c r="F352" s="16">
        <f t="shared" si="10"/>
        <v>641.04999999999995</v>
      </c>
      <c r="G352" s="16">
        <v>9352.82</v>
      </c>
      <c r="H352" s="19">
        <f t="shared" si="11"/>
        <v>9352.82</v>
      </c>
    </row>
    <row r="353" spans="4:8" x14ac:dyDescent="0.25">
      <c r="D353" s="16" t="s">
        <v>48</v>
      </c>
      <c r="E353" s="16">
        <v>3769.9</v>
      </c>
      <c r="F353" s="16">
        <f t="shared" si="10"/>
        <v>3769.9</v>
      </c>
      <c r="G353" s="16">
        <v>45893.13</v>
      </c>
      <c r="H353" s="19">
        <f t="shared" si="11"/>
        <v>45893.13</v>
      </c>
    </row>
    <row r="354" spans="4:8" x14ac:dyDescent="0.25">
      <c r="D354" s="16" t="s">
        <v>17</v>
      </c>
      <c r="E354" s="16">
        <v>6005.21</v>
      </c>
      <c r="F354" s="16">
        <f t="shared" si="10"/>
        <v>6005.21</v>
      </c>
      <c r="G354" s="16">
        <v>85174.27</v>
      </c>
      <c r="H354" s="19">
        <f t="shared" si="11"/>
        <v>85174.27</v>
      </c>
    </row>
    <row r="355" spans="4:8" x14ac:dyDescent="0.25">
      <c r="D355" s="16" t="s">
        <v>26</v>
      </c>
      <c r="E355" s="16">
        <v>170.35</v>
      </c>
      <c r="F355" s="16">
        <f t="shared" si="10"/>
        <v>170.35</v>
      </c>
      <c r="G355" s="16">
        <v>1548.32</v>
      </c>
      <c r="H355" s="19">
        <f t="shared" si="11"/>
        <v>1548.32</v>
      </c>
    </row>
    <row r="356" spans="4:8" x14ac:dyDescent="0.25">
      <c r="D356" s="16" t="s">
        <v>48</v>
      </c>
      <c r="E356" s="16"/>
      <c r="F356" s="16">
        <f t="shared" si="10"/>
        <v>3571.15</v>
      </c>
      <c r="G356" s="16">
        <v>6411.43</v>
      </c>
      <c r="H356" s="19">
        <f t="shared" si="11"/>
        <v>6411.43</v>
      </c>
    </row>
    <row r="357" spans="4:8" x14ac:dyDescent="0.25">
      <c r="D357" s="16" t="s">
        <v>17</v>
      </c>
      <c r="E357" s="16">
        <v>3403.5</v>
      </c>
      <c r="F357" s="16">
        <f t="shared" si="10"/>
        <v>3403.5</v>
      </c>
      <c r="G357" s="16">
        <v>28413.57</v>
      </c>
      <c r="H357" s="19">
        <f t="shared" si="11"/>
        <v>28413.57</v>
      </c>
    </row>
    <row r="358" spans="4:8" x14ac:dyDescent="0.25">
      <c r="D358" s="16" t="s">
        <v>26</v>
      </c>
      <c r="E358" s="16">
        <v>2599</v>
      </c>
      <c r="F358" s="16">
        <f t="shared" si="10"/>
        <v>2599</v>
      </c>
      <c r="G358" s="16">
        <v>22276.21</v>
      </c>
      <c r="H358" s="19">
        <f t="shared" si="11"/>
        <v>22276.21</v>
      </c>
    </row>
    <row r="359" spans="4:8" x14ac:dyDescent="0.25">
      <c r="D359" s="16" t="s">
        <v>56</v>
      </c>
      <c r="E359" s="16">
        <v>1812</v>
      </c>
      <c r="F359" s="16">
        <f t="shared" si="10"/>
        <v>1812</v>
      </c>
      <c r="G359" s="16">
        <v>20116.439999999999</v>
      </c>
      <c r="H359" s="19">
        <f t="shared" si="11"/>
        <v>20116.439999999999</v>
      </c>
    </row>
    <row r="360" spans="4:8" x14ac:dyDescent="0.25">
      <c r="D360" s="16" t="s">
        <v>26</v>
      </c>
      <c r="E360" s="16">
        <v>289.5</v>
      </c>
      <c r="F360" s="16">
        <f t="shared" si="10"/>
        <v>289.5</v>
      </c>
      <c r="G360" s="16">
        <v>3175.27</v>
      </c>
      <c r="H360" s="19">
        <f t="shared" si="11"/>
        <v>3175.27</v>
      </c>
    </row>
    <row r="361" spans="4:8" x14ac:dyDescent="0.25">
      <c r="D361" s="16" t="s">
        <v>56</v>
      </c>
      <c r="E361" s="16">
        <v>6155.09</v>
      </c>
      <c r="F361" s="16">
        <f t="shared" si="10"/>
        <v>6155.09</v>
      </c>
      <c r="G361" s="16">
        <v>75396.97</v>
      </c>
      <c r="H361" s="19">
        <f t="shared" si="11"/>
        <v>75396.97</v>
      </c>
    </row>
    <row r="362" spans="4:8" x14ac:dyDescent="0.25">
      <c r="D362" s="16" t="s">
        <v>17</v>
      </c>
      <c r="E362" s="16">
        <v>115.4</v>
      </c>
      <c r="F362" s="16">
        <f t="shared" si="10"/>
        <v>115.4</v>
      </c>
      <c r="G362" s="16">
        <v>1257.78</v>
      </c>
      <c r="H362" s="19">
        <f t="shared" si="11"/>
        <v>1257.78</v>
      </c>
    </row>
    <row r="363" spans="4:8" x14ac:dyDescent="0.25">
      <c r="D363" s="16" t="s">
        <v>48</v>
      </c>
      <c r="E363" s="16">
        <v>343.23</v>
      </c>
      <c r="F363" s="16">
        <f t="shared" si="10"/>
        <v>343.23</v>
      </c>
      <c r="G363" s="16">
        <v>3263.77</v>
      </c>
      <c r="H363" s="19">
        <f t="shared" si="11"/>
        <v>3263.77</v>
      </c>
    </row>
    <row r="364" spans="4:8" x14ac:dyDescent="0.25">
      <c r="D364" s="16" t="s">
        <v>48</v>
      </c>
      <c r="E364" s="16">
        <v>2244.86</v>
      </c>
      <c r="F364" s="16">
        <f t="shared" si="10"/>
        <v>2244.86</v>
      </c>
      <c r="G364" s="16">
        <v>26009.9</v>
      </c>
      <c r="H364" s="19">
        <f t="shared" si="11"/>
        <v>26009.9</v>
      </c>
    </row>
    <row r="365" spans="4:8" x14ac:dyDescent="0.25">
      <c r="D365" s="16" t="s">
        <v>17</v>
      </c>
      <c r="E365" s="16"/>
      <c r="F365" s="16">
        <f t="shared" si="10"/>
        <v>3263.73</v>
      </c>
      <c r="G365" s="16"/>
      <c r="H365" s="19">
        <f t="shared" si="11"/>
        <v>35034.370000000003</v>
      </c>
    </row>
    <row r="366" spans="4:8" x14ac:dyDescent="0.25">
      <c r="D366" s="16" t="s">
        <v>48</v>
      </c>
      <c r="E366" s="16">
        <v>11414.94</v>
      </c>
      <c r="F366" s="16">
        <f t="shared" si="10"/>
        <v>11414.94</v>
      </c>
      <c r="G366" s="16">
        <v>100180.12</v>
      </c>
      <c r="H366" s="19">
        <f t="shared" si="11"/>
        <v>100180.12</v>
      </c>
    </row>
    <row r="367" spans="4:8" x14ac:dyDescent="0.25">
      <c r="D367" s="16" t="s">
        <v>48</v>
      </c>
      <c r="E367" s="16">
        <v>1479.58</v>
      </c>
      <c r="F367" s="16">
        <f t="shared" si="10"/>
        <v>1479.58</v>
      </c>
      <c r="G367" s="16">
        <v>18860.98</v>
      </c>
      <c r="H367" s="19">
        <f t="shared" si="11"/>
        <v>18860.98</v>
      </c>
    </row>
    <row r="368" spans="4:8" x14ac:dyDescent="0.25">
      <c r="D368" s="16" t="s">
        <v>56</v>
      </c>
      <c r="E368" s="16">
        <v>3354.2</v>
      </c>
      <c r="F368" s="16">
        <f t="shared" si="10"/>
        <v>3354.2</v>
      </c>
      <c r="G368" s="16">
        <v>40760.04</v>
      </c>
      <c r="H368" s="19">
        <f t="shared" si="11"/>
        <v>40760.04</v>
      </c>
    </row>
    <row r="369" spans="4:8" x14ac:dyDescent="0.25">
      <c r="D369" s="16" t="s">
        <v>17</v>
      </c>
      <c r="E369" s="16">
        <v>6917.84</v>
      </c>
      <c r="F369" s="16">
        <f t="shared" si="10"/>
        <v>6917.84</v>
      </c>
      <c r="G369" s="16">
        <v>80859.44</v>
      </c>
      <c r="H369" s="19">
        <f t="shared" si="11"/>
        <v>80859.44</v>
      </c>
    </row>
    <row r="370" spans="4:8" x14ac:dyDescent="0.25">
      <c r="D370" s="16" t="s">
        <v>26</v>
      </c>
      <c r="E370" s="16">
        <v>5286</v>
      </c>
      <c r="F370" s="16">
        <f t="shared" si="10"/>
        <v>5286</v>
      </c>
      <c r="G370" s="16">
        <v>53700.13</v>
      </c>
      <c r="H370" s="19">
        <f t="shared" si="11"/>
        <v>53700.13</v>
      </c>
    </row>
    <row r="371" spans="4:8" x14ac:dyDescent="0.25">
      <c r="D371" s="16" t="s">
        <v>56</v>
      </c>
      <c r="E371" s="16">
        <v>298.06</v>
      </c>
      <c r="F371" s="16">
        <f t="shared" si="10"/>
        <v>298.06</v>
      </c>
      <c r="G371" s="16">
        <v>2844.57</v>
      </c>
      <c r="H371" s="19">
        <f t="shared" si="11"/>
        <v>2844.57</v>
      </c>
    </row>
    <row r="372" spans="4:8" x14ac:dyDescent="0.25">
      <c r="D372" s="16" t="s">
        <v>17</v>
      </c>
      <c r="E372" s="16">
        <v>123.68</v>
      </c>
      <c r="F372" s="16">
        <f t="shared" si="10"/>
        <v>123.68</v>
      </c>
      <c r="G372" s="16">
        <v>1841.73</v>
      </c>
      <c r="H372" s="19">
        <f t="shared" si="11"/>
        <v>1841.73</v>
      </c>
    </row>
    <row r="373" spans="4:8" x14ac:dyDescent="0.25">
      <c r="D373" s="16" t="s">
        <v>56</v>
      </c>
      <c r="E373" s="16">
        <v>9420.48</v>
      </c>
      <c r="F373" s="16">
        <f t="shared" si="10"/>
        <v>9420.48</v>
      </c>
      <c r="G373" s="16">
        <v>78976.350000000006</v>
      </c>
      <c r="H373" s="19">
        <f t="shared" si="11"/>
        <v>78976.350000000006</v>
      </c>
    </row>
    <row r="374" spans="4:8" x14ac:dyDescent="0.25">
      <c r="D374" s="16" t="s">
        <v>26</v>
      </c>
      <c r="E374" s="16">
        <v>4874.3500000000004</v>
      </c>
      <c r="F374" s="16">
        <f t="shared" si="10"/>
        <v>4874.3500000000004</v>
      </c>
      <c r="G374" s="16">
        <v>45969.81</v>
      </c>
      <c r="H374" s="19">
        <f t="shared" si="11"/>
        <v>45969.81</v>
      </c>
    </row>
    <row r="375" spans="4:8" x14ac:dyDescent="0.25">
      <c r="D375" s="16" t="s">
        <v>26</v>
      </c>
      <c r="E375" s="16">
        <v>10947.8</v>
      </c>
      <c r="F375" s="16">
        <f t="shared" si="10"/>
        <v>10947.8</v>
      </c>
      <c r="G375" s="16">
        <v>160026.93</v>
      </c>
      <c r="H375" s="19">
        <f t="shared" si="11"/>
        <v>160026.93</v>
      </c>
    </row>
    <row r="376" spans="4:8" x14ac:dyDescent="0.25">
      <c r="D376" s="16" t="s">
        <v>17</v>
      </c>
      <c r="E376" s="16">
        <v>148.68</v>
      </c>
      <c r="F376" s="16">
        <f t="shared" si="10"/>
        <v>148.68</v>
      </c>
      <c r="G376" s="16">
        <v>1988.07</v>
      </c>
      <c r="H376" s="19">
        <f t="shared" si="11"/>
        <v>1988.07</v>
      </c>
    </row>
    <row r="377" spans="4:8" x14ac:dyDescent="0.25">
      <c r="D377" s="16" t="s">
        <v>26</v>
      </c>
      <c r="E377" s="16">
        <v>7268.04</v>
      </c>
      <c r="F377" s="16">
        <f t="shared" si="10"/>
        <v>7268.04</v>
      </c>
      <c r="G377" s="16">
        <v>97021.98</v>
      </c>
      <c r="H377" s="19">
        <f t="shared" si="11"/>
        <v>97021.98</v>
      </c>
    </row>
    <row r="378" spans="4:8" x14ac:dyDescent="0.25">
      <c r="D378" s="16" t="s">
        <v>56</v>
      </c>
      <c r="E378" s="16">
        <v>85.77</v>
      </c>
      <c r="F378" s="16">
        <f t="shared" si="10"/>
        <v>85.77</v>
      </c>
      <c r="G378" s="16">
        <v>859.94</v>
      </c>
      <c r="H378" s="19">
        <f t="shared" si="11"/>
        <v>859.94</v>
      </c>
    </row>
    <row r="379" spans="4:8" x14ac:dyDescent="0.25">
      <c r="D379" s="16" t="s">
        <v>26</v>
      </c>
      <c r="E379" s="16">
        <v>1749.03</v>
      </c>
      <c r="F379" s="16">
        <f t="shared" si="10"/>
        <v>1749.03</v>
      </c>
      <c r="G379" s="16">
        <v>15461.23</v>
      </c>
      <c r="H379" s="19">
        <f t="shared" si="11"/>
        <v>15461.23</v>
      </c>
    </row>
    <row r="380" spans="4:8" x14ac:dyDescent="0.25">
      <c r="D380" s="16" t="s">
        <v>56</v>
      </c>
      <c r="E380" s="16">
        <v>1192.6500000000001</v>
      </c>
      <c r="F380" s="16">
        <f t="shared" si="10"/>
        <v>1192.6500000000001</v>
      </c>
      <c r="G380" s="16">
        <v>13693.65</v>
      </c>
      <c r="H380" s="19">
        <f t="shared" si="11"/>
        <v>13693.65</v>
      </c>
    </row>
    <row r="381" spans="4:8" x14ac:dyDescent="0.25">
      <c r="D381" s="16" t="s">
        <v>56</v>
      </c>
      <c r="E381" s="16">
        <v>11541.25</v>
      </c>
      <c r="F381" s="16">
        <f t="shared" si="10"/>
        <v>11541.25</v>
      </c>
      <c r="G381" s="16">
        <v>127122.08</v>
      </c>
      <c r="H381" s="19">
        <f t="shared" si="11"/>
        <v>127122.08</v>
      </c>
    </row>
    <row r="382" spans="4:8" x14ac:dyDescent="0.25">
      <c r="D382" s="16" t="s">
        <v>26</v>
      </c>
      <c r="E382" s="16">
        <v>387.78</v>
      </c>
      <c r="F382" s="16">
        <f t="shared" si="10"/>
        <v>387.78</v>
      </c>
      <c r="G382" s="16">
        <v>3452.91</v>
      </c>
      <c r="H382" s="19">
        <f t="shared" si="11"/>
        <v>3452.91</v>
      </c>
    </row>
    <row r="383" spans="4:8" x14ac:dyDescent="0.25">
      <c r="D383" s="16" t="s">
        <v>17</v>
      </c>
      <c r="E383" s="16">
        <v>381.37</v>
      </c>
      <c r="F383" s="16">
        <f t="shared" si="10"/>
        <v>381.37</v>
      </c>
      <c r="G383" s="16">
        <v>4472.74</v>
      </c>
      <c r="H383" s="19">
        <f t="shared" si="11"/>
        <v>4472.74</v>
      </c>
    </row>
    <row r="384" spans="4:8" x14ac:dyDescent="0.25">
      <c r="D384" s="16" t="s">
        <v>48</v>
      </c>
      <c r="E384" s="16">
        <v>7693.42</v>
      </c>
      <c r="F384" s="16">
        <f t="shared" si="10"/>
        <v>7693.42</v>
      </c>
      <c r="G384" s="16">
        <v>73939.73</v>
      </c>
      <c r="H384" s="19">
        <f t="shared" si="11"/>
        <v>73939.73</v>
      </c>
    </row>
    <row r="385" spans="4:8" x14ac:dyDescent="0.25">
      <c r="D385" s="16" t="s">
        <v>26</v>
      </c>
      <c r="E385" s="16">
        <v>3543.43</v>
      </c>
      <c r="F385" s="16">
        <f t="shared" si="10"/>
        <v>3543.43</v>
      </c>
      <c r="G385" s="16">
        <v>42206.02</v>
      </c>
      <c r="H385" s="19">
        <f t="shared" si="11"/>
        <v>42206.02</v>
      </c>
    </row>
    <row r="386" spans="4:8" x14ac:dyDescent="0.25">
      <c r="D386" s="16" t="s">
        <v>56</v>
      </c>
      <c r="E386" s="16">
        <v>40.590000000000003</v>
      </c>
      <c r="F386" s="16">
        <f t="shared" ref="F386:F449" si="12">IF(E386="",VLOOKUP(D386,$A$1:$B$5,2,FALSE),E386)</f>
        <v>40.590000000000003</v>
      </c>
      <c r="G386" s="16">
        <v>514.53</v>
      </c>
      <c r="H386" s="19">
        <f t="shared" ref="H386:H449" si="13">IF(G386="",VLOOKUP(D386,$A$1:$C$5,3,FALSE),G386)</f>
        <v>514.53</v>
      </c>
    </row>
    <row r="387" spans="4:8" x14ac:dyDescent="0.25">
      <c r="D387" s="16" t="s">
        <v>56</v>
      </c>
      <c r="E387" s="16">
        <v>3258.45</v>
      </c>
      <c r="F387" s="16">
        <f t="shared" si="12"/>
        <v>3258.45</v>
      </c>
      <c r="G387" s="16">
        <v>34145.85</v>
      </c>
      <c r="H387" s="19">
        <f t="shared" si="13"/>
        <v>34145.85</v>
      </c>
    </row>
    <row r="388" spans="4:8" x14ac:dyDescent="0.25">
      <c r="D388" s="16" t="s">
        <v>26</v>
      </c>
      <c r="E388" s="16">
        <v>1700.78</v>
      </c>
      <c r="F388" s="16">
        <f t="shared" si="12"/>
        <v>1700.78</v>
      </c>
      <c r="G388" s="16">
        <v>18333.55</v>
      </c>
      <c r="H388" s="19">
        <f t="shared" si="13"/>
        <v>18333.55</v>
      </c>
    </row>
    <row r="389" spans="4:8" x14ac:dyDescent="0.25">
      <c r="D389" s="16" t="s">
        <v>17</v>
      </c>
      <c r="E389" s="16">
        <v>2300.13</v>
      </c>
      <c r="F389" s="16">
        <f t="shared" si="12"/>
        <v>2300.13</v>
      </c>
      <c r="G389" s="16">
        <v>30348.58</v>
      </c>
      <c r="H389" s="19">
        <f t="shared" si="13"/>
        <v>30348.58</v>
      </c>
    </row>
    <row r="390" spans="4:8" x14ac:dyDescent="0.25">
      <c r="D390" s="16" t="s">
        <v>17</v>
      </c>
      <c r="E390" s="16">
        <v>5197.95</v>
      </c>
      <c r="F390" s="16">
        <f t="shared" si="12"/>
        <v>5197.95</v>
      </c>
      <c r="G390" s="16">
        <v>57455.73</v>
      </c>
      <c r="H390" s="19">
        <f t="shared" si="13"/>
        <v>57455.73</v>
      </c>
    </row>
    <row r="391" spans="4:8" x14ac:dyDescent="0.25">
      <c r="D391" s="16" t="s">
        <v>56</v>
      </c>
      <c r="E391" s="16">
        <v>2099.1799999999998</v>
      </c>
      <c r="F391" s="16">
        <f t="shared" si="12"/>
        <v>2099.1799999999998</v>
      </c>
      <c r="G391" s="16">
        <v>23549.19</v>
      </c>
      <c r="H391" s="19">
        <f t="shared" si="13"/>
        <v>23549.19</v>
      </c>
    </row>
    <row r="392" spans="4:8" x14ac:dyDescent="0.25">
      <c r="D392" s="16" t="s">
        <v>56</v>
      </c>
      <c r="E392" s="16">
        <v>5903.99</v>
      </c>
      <c r="F392" s="16">
        <f t="shared" si="12"/>
        <v>5903.99</v>
      </c>
      <c r="G392" s="16">
        <v>50449.82</v>
      </c>
      <c r="H392" s="19">
        <f t="shared" si="13"/>
        <v>50449.82</v>
      </c>
    </row>
    <row r="393" spans="4:8" x14ac:dyDescent="0.25">
      <c r="D393" s="16" t="s">
        <v>17</v>
      </c>
      <c r="E393" s="16">
        <v>875.36</v>
      </c>
      <c r="F393" s="16">
        <f t="shared" si="12"/>
        <v>875.36</v>
      </c>
      <c r="G393" s="16">
        <v>8921.17</v>
      </c>
      <c r="H393" s="19">
        <f t="shared" si="13"/>
        <v>8921.17</v>
      </c>
    </row>
    <row r="394" spans="4:8" x14ac:dyDescent="0.25">
      <c r="D394" s="16" t="s">
        <v>48</v>
      </c>
      <c r="E394" s="16">
        <v>3813.21</v>
      </c>
      <c r="F394" s="16">
        <f t="shared" si="12"/>
        <v>3813.21</v>
      </c>
      <c r="G394" s="16">
        <v>41964.34</v>
      </c>
      <c r="H394" s="19">
        <f t="shared" si="13"/>
        <v>41964.34</v>
      </c>
    </row>
    <row r="395" spans="4:8" x14ac:dyDescent="0.25">
      <c r="D395" s="16" t="s">
        <v>26</v>
      </c>
      <c r="E395" s="16"/>
      <c r="F395" s="16">
        <f t="shared" si="12"/>
        <v>4205.87</v>
      </c>
      <c r="G395" s="16"/>
      <c r="H395" s="19">
        <f t="shared" si="13"/>
        <v>44766.91</v>
      </c>
    </row>
    <row r="396" spans="4:8" x14ac:dyDescent="0.25">
      <c r="D396" s="16" t="s">
        <v>56</v>
      </c>
      <c r="E396" s="16">
        <v>10385.48</v>
      </c>
      <c r="F396" s="16">
        <f t="shared" si="12"/>
        <v>10385.48</v>
      </c>
      <c r="G396" s="16">
        <v>129621.09</v>
      </c>
      <c r="H396" s="19">
        <f t="shared" si="13"/>
        <v>129621.09</v>
      </c>
    </row>
    <row r="397" spans="4:8" x14ac:dyDescent="0.25">
      <c r="D397" s="16" t="s">
        <v>56</v>
      </c>
      <c r="E397" s="16">
        <v>1318.57</v>
      </c>
      <c r="F397" s="16">
        <f t="shared" si="12"/>
        <v>1318.57</v>
      </c>
      <c r="G397" s="16">
        <v>13220.78</v>
      </c>
      <c r="H397" s="19">
        <f t="shared" si="13"/>
        <v>13220.78</v>
      </c>
    </row>
    <row r="398" spans="4:8" x14ac:dyDescent="0.25">
      <c r="D398" s="16" t="s">
        <v>17</v>
      </c>
      <c r="E398" s="16">
        <v>3184.37</v>
      </c>
      <c r="F398" s="16">
        <f t="shared" si="12"/>
        <v>3184.37</v>
      </c>
      <c r="G398" s="16">
        <v>34503.370000000003</v>
      </c>
      <c r="H398" s="19">
        <f t="shared" si="13"/>
        <v>34503.370000000003</v>
      </c>
    </row>
    <row r="399" spans="4:8" x14ac:dyDescent="0.25">
      <c r="D399" s="16" t="s">
        <v>26</v>
      </c>
      <c r="E399" s="16">
        <v>132.28</v>
      </c>
      <c r="F399" s="16">
        <f t="shared" si="12"/>
        <v>132.28</v>
      </c>
      <c r="G399" s="16">
        <v>1952.9</v>
      </c>
      <c r="H399" s="19">
        <f t="shared" si="13"/>
        <v>1952.9</v>
      </c>
    </row>
    <row r="400" spans="4:8" x14ac:dyDescent="0.25">
      <c r="D400" s="16" t="s">
        <v>17</v>
      </c>
      <c r="E400" s="16"/>
      <c r="F400" s="16">
        <f t="shared" si="12"/>
        <v>3263.73</v>
      </c>
      <c r="G400" s="16"/>
      <c r="H400" s="19">
        <f t="shared" si="13"/>
        <v>35034.370000000003</v>
      </c>
    </row>
    <row r="401" spans="4:8" x14ac:dyDescent="0.25">
      <c r="D401" s="16" t="s">
        <v>26</v>
      </c>
      <c r="E401" s="16">
        <v>7282.58</v>
      </c>
      <c r="F401" s="16">
        <f t="shared" si="12"/>
        <v>7282.58</v>
      </c>
      <c r="G401" s="16">
        <v>106568.18</v>
      </c>
      <c r="H401" s="19">
        <f t="shared" si="13"/>
        <v>106568.18</v>
      </c>
    </row>
    <row r="402" spans="4:8" x14ac:dyDescent="0.25">
      <c r="D402" s="16" t="s">
        <v>26</v>
      </c>
      <c r="E402" s="16">
        <v>9744.92</v>
      </c>
      <c r="F402" s="16">
        <f t="shared" si="12"/>
        <v>9744.92</v>
      </c>
      <c r="G402" s="16">
        <v>109344.61</v>
      </c>
      <c r="H402" s="19">
        <f t="shared" si="13"/>
        <v>109344.61</v>
      </c>
    </row>
    <row r="403" spans="4:8" x14ac:dyDescent="0.25">
      <c r="D403" s="16" t="s">
        <v>26</v>
      </c>
      <c r="E403" s="16">
        <v>673.68</v>
      </c>
      <c r="F403" s="16">
        <f t="shared" si="12"/>
        <v>673.68</v>
      </c>
      <c r="G403" s="16">
        <v>8641.48</v>
      </c>
      <c r="H403" s="19">
        <f t="shared" si="13"/>
        <v>8641.48</v>
      </c>
    </row>
    <row r="404" spans="4:8" x14ac:dyDescent="0.25">
      <c r="D404" s="16" t="s">
        <v>56</v>
      </c>
      <c r="E404" s="16">
        <v>57.39</v>
      </c>
      <c r="F404" s="16">
        <f t="shared" si="12"/>
        <v>57.39</v>
      </c>
      <c r="G404" s="16">
        <v>604.49</v>
      </c>
      <c r="H404" s="19">
        <f t="shared" si="13"/>
        <v>604.49</v>
      </c>
    </row>
    <row r="405" spans="4:8" x14ac:dyDescent="0.25">
      <c r="D405" s="16" t="s">
        <v>48</v>
      </c>
      <c r="E405" s="16">
        <v>3085.31</v>
      </c>
      <c r="F405" s="16">
        <f t="shared" si="12"/>
        <v>3085.31</v>
      </c>
      <c r="G405" s="16">
        <v>34114.22</v>
      </c>
      <c r="H405" s="19">
        <f t="shared" si="13"/>
        <v>34114.22</v>
      </c>
    </row>
    <row r="406" spans="4:8" x14ac:dyDescent="0.25">
      <c r="D406" s="16" t="s">
        <v>17</v>
      </c>
      <c r="E406" s="16">
        <v>2213.38</v>
      </c>
      <c r="F406" s="16">
        <f t="shared" si="12"/>
        <v>2213.38</v>
      </c>
      <c r="G406" s="16">
        <v>19347.25</v>
      </c>
      <c r="H406" s="19">
        <f t="shared" si="13"/>
        <v>19347.25</v>
      </c>
    </row>
    <row r="407" spans="4:8" x14ac:dyDescent="0.25">
      <c r="D407" s="16" t="s">
        <v>48</v>
      </c>
      <c r="E407" s="16">
        <v>3554.77</v>
      </c>
      <c r="F407" s="16">
        <f t="shared" si="12"/>
        <v>3554.77</v>
      </c>
      <c r="G407" s="16">
        <v>39279.269999999997</v>
      </c>
      <c r="H407" s="19">
        <f t="shared" si="13"/>
        <v>39279.269999999997</v>
      </c>
    </row>
    <row r="408" spans="4:8" x14ac:dyDescent="0.25">
      <c r="D408" s="16" t="s">
        <v>17</v>
      </c>
      <c r="E408" s="16">
        <v>71.12</v>
      </c>
      <c r="F408" s="16">
        <f t="shared" si="12"/>
        <v>71.12</v>
      </c>
      <c r="G408" s="16">
        <v>768.32</v>
      </c>
      <c r="H408" s="19">
        <f t="shared" si="13"/>
        <v>768.32</v>
      </c>
    </row>
    <row r="409" spans="4:8" x14ac:dyDescent="0.25">
      <c r="D409" s="16" t="s">
        <v>26</v>
      </c>
      <c r="E409" s="16"/>
      <c r="F409" s="16">
        <f t="shared" si="12"/>
        <v>4205.87</v>
      </c>
      <c r="G409" s="16">
        <v>2333.87</v>
      </c>
      <c r="H409" s="19">
        <f t="shared" si="13"/>
        <v>2333.87</v>
      </c>
    </row>
    <row r="410" spans="4:8" x14ac:dyDescent="0.25">
      <c r="D410" s="16" t="s">
        <v>56</v>
      </c>
      <c r="E410" s="16">
        <v>396.31</v>
      </c>
      <c r="F410" s="16">
        <f t="shared" si="12"/>
        <v>396.31</v>
      </c>
      <c r="G410" s="16">
        <v>5585.46</v>
      </c>
      <c r="H410" s="19">
        <f t="shared" si="13"/>
        <v>5585.46</v>
      </c>
    </row>
    <row r="411" spans="4:8" x14ac:dyDescent="0.25">
      <c r="D411" s="16" t="s">
        <v>48</v>
      </c>
      <c r="E411" s="16">
        <v>1825.63</v>
      </c>
      <c r="F411" s="16">
        <f t="shared" si="12"/>
        <v>1825.63</v>
      </c>
      <c r="G411" s="16">
        <v>24135.99</v>
      </c>
      <c r="H411" s="19">
        <f t="shared" si="13"/>
        <v>24135.99</v>
      </c>
    </row>
    <row r="412" spans="4:8" x14ac:dyDescent="0.25">
      <c r="D412" s="16" t="s">
        <v>56</v>
      </c>
      <c r="E412" s="16">
        <v>412.12</v>
      </c>
      <c r="F412" s="16">
        <f t="shared" si="12"/>
        <v>412.12</v>
      </c>
      <c r="G412" s="16">
        <v>3936.16</v>
      </c>
      <c r="H412" s="19">
        <f t="shared" si="13"/>
        <v>3936.16</v>
      </c>
    </row>
    <row r="413" spans="4:8" x14ac:dyDescent="0.25">
      <c r="D413" s="16" t="s">
        <v>17</v>
      </c>
      <c r="E413" s="16">
        <v>11093.71</v>
      </c>
      <c r="F413" s="16">
        <f t="shared" si="12"/>
        <v>11093.71</v>
      </c>
      <c r="G413" s="16">
        <v>149252.82999999999</v>
      </c>
      <c r="H413" s="19">
        <f t="shared" si="13"/>
        <v>149252.82999999999</v>
      </c>
    </row>
    <row r="414" spans="4:8" x14ac:dyDescent="0.25">
      <c r="D414" s="16" t="s">
        <v>56</v>
      </c>
      <c r="E414" s="16">
        <v>5550.26</v>
      </c>
      <c r="F414" s="16">
        <f t="shared" si="12"/>
        <v>5550.26</v>
      </c>
      <c r="G414" s="16">
        <v>47369.56</v>
      </c>
      <c r="H414" s="19">
        <f t="shared" si="13"/>
        <v>47369.56</v>
      </c>
    </row>
    <row r="415" spans="4:8" x14ac:dyDescent="0.25">
      <c r="D415" s="16" t="s">
        <v>56</v>
      </c>
      <c r="E415" s="16">
        <v>5890.03</v>
      </c>
      <c r="F415" s="16">
        <f t="shared" si="12"/>
        <v>5890.03</v>
      </c>
      <c r="G415" s="16">
        <v>73228.23</v>
      </c>
      <c r="H415" s="19">
        <f t="shared" si="13"/>
        <v>73228.23</v>
      </c>
    </row>
    <row r="416" spans="4:8" x14ac:dyDescent="0.25">
      <c r="D416" s="16" t="s">
        <v>48</v>
      </c>
      <c r="E416" s="16">
        <v>3997.05</v>
      </c>
      <c r="F416" s="16">
        <f t="shared" si="12"/>
        <v>3997.05</v>
      </c>
      <c r="G416" s="16">
        <v>46822.38</v>
      </c>
      <c r="H416" s="19">
        <f t="shared" si="13"/>
        <v>46822.38</v>
      </c>
    </row>
    <row r="417" spans="4:8" x14ac:dyDescent="0.25">
      <c r="D417" s="16" t="s">
        <v>26</v>
      </c>
      <c r="E417" s="16">
        <v>1267.27</v>
      </c>
      <c r="F417" s="16">
        <f t="shared" si="12"/>
        <v>1267.27</v>
      </c>
      <c r="G417" s="16">
        <v>11858.26</v>
      </c>
      <c r="H417" s="19">
        <f t="shared" si="13"/>
        <v>11858.26</v>
      </c>
    </row>
    <row r="418" spans="4:8" x14ac:dyDescent="0.25">
      <c r="D418" s="16" t="s">
        <v>56</v>
      </c>
      <c r="E418" s="16">
        <v>3630.83</v>
      </c>
      <c r="F418" s="16">
        <f t="shared" si="12"/>
        <v>3630.83</v>
      </c>
      <c r="G418" s="16">
        <v>48775.11</v>
      </c>
      <c r="H418" s="19">
        <f t="shared" si="13"/>
        <v>48775.11</v>
      </c>
    </row>
    <row r="419" spans="4:8" x14ac:dyDescent="0.25">
      <c r="D419" s="16" t="s">
        <v>26</v>
      </c>
      <c r="E419" s="16">
        <v>6709.79</v>
      </c>
      <c r="F419" s="16">
        <f t="shared" si="12"/>
        <v>6709.79</v>
      </c>
      <c r="G419" s="16">
        <v>70168.960000000006</v>
      </c>
      <c r="H419" s="19">
        <f t="shared" si="13"/>
        <v>70168.960000000006</v>
      </c>
    </row>
    <row r="420" spans="4:8" x14ac:dyDescent="0.25">
      <c r="D420" s="16" t="s">
        <v>17</v>
      </c>
      <c r="E420" s="16">
        <v>5534.23</v>
      </c>
      <c r="F420" s="16">
        <f t="shared" si="12"/>
        <v>5534.23</v>
      </c>
      <c r="G420" s="16">
        <v>81395.039999999994</v>
      </c>
      <c r="H420" s="19">
        <f t="shared" si="13"/>
        <v>81395.039999999994</v>
      </c>
    </row>
    <row r="421" spans="4:8" x14ac:dyDescent="0.25">
      <c r="D421" s="16" t="s">
        <v>56</v>
      </c>
      <c r="E421" s="16">
        <v>7377.42</v>
      </c>
      <c r="F421" s="16">
        <f t="shared" si="12"/>
        <v>7377.42</v>
      </c>
      <c r="G421" s="16">
        <v>92351.29</v>
      </c>
      <c r="H421" s="19">
        <f t="shared" si="13"/>
        <v>92351.29</v>
      </c>
    </row>
    <row r="422" spans="4:8" x14ac:dyDescent="0.25">
      <c r="D422" s="16" t="s">
        <v>48</v>
      </c>
      <c r="E422" s="16">
        <v>10728.36</v>
      </c>
      <c r="F422" s="16">
        <f t="shared" si="12"/>
        <v>10728.36</v>
      </c>
      <c r="G422" s="16">
        <v>96918.17</v>
      </c>
      <c r="H422" s="19">
        <f t="shared" si="13"/>
        <v>96918.17</v>
      </c>
    </row>
    <row r="423" spans="4:8" x14ac:dyDescent="0.25">
      <c r="D423" s="16" t="s">
        <v>17</v>
      </c>
      <c r="E423" s="16">
        <v>8947.14</v>
      </c>
      <c r="F423" s="16">
        <f t="shared" si="12"/>
        <v>8947.14</v>
      </c>
      <c r="G423" s="16">
        <v>78015.77</v>
      </c>
      <c r="H423" s="19">
        <f t="shared" si="13"/>
        <v>78015.77</v>
      </c>
    </row>
    <row r="424" spans="4:8" x14ac:dyDescent="0.25">
      <c r="D424" s="16" t="s">
        <v>17</v>
      </c>
      <c r="E424" s="16">
        <v>7442.71</v>
      </c>
      <c r="F424" s="16">
        <f t="shared" si="12"/>
        <v>7442.71</v>
      </c>
      <c r="G424" s="16">
        <v>72877.36</v>
      </c>
      <c r="H424" s="19">
        <f t="shared" si="13"/>
        <v>72877.36</v>
      </c>
    </row>
    <row r="425" spans="4:8" x14ac:dyDescent="0.25">
      <c r="D425" s="16" t="s">
        <v>48</v>
      </c>
      <c r="E425" s="16">
        <v>797.45</v>
      </c>
      <c r="F425" s="16">
        <f t="shared" si="12"/>
        <v>797.45</v>
      </c>
      <c r="G425" s="16">
        <v>7348.1</v>
      </c>
      <c r="H425" s="19">
        <f t="shared" si="13"/>
        <v>7348.1</v>
      </c>
    </row>
    <row r="426" spans="4:8" x14ac:dyDescent="0.25">
      <c r="D426" s="16" t="s">
        <v>56</v>
      </c>
      <c r="E426" s="16"/>
      <c r="F426" s="16">
        <f t="shared" si="12"/>
        <v>4148.93</v>
      </c>
      <c r="G426" s="16"/>
      <c r="H426" s="19">
        <f t="shared" si="13"/>
        <v>47369.56</v>
      </c>
    </row>
    <row r="427" spans="4:8" x14ac:dyDescent="0.25">
      <c r="D427" s="16" t="s">
        <v>56</v>
      </c>
      <c r="E427" s="16">
        <v>8254.43</v>
      </c>
      <c r="F427" s="16">
        <f t="shared" si="12"/>
        <v>8254.43</v>
      </c>
      <c r="G427" s="16">
        <v>109900.03</v>
      </c>
      <c r="H427" s="19">
        <f t="shared" si="13"/>
        <v>109900.03</v>
      </c>
    </row>
    <row r="428" spans="4:8" x14ac:dyDescent="0.25">
      <c r="D428" s="16" t="s">
        <v>17</v>
      </c>
      <c r="E428" s="16">
        <v>10395.94</v>
      </c>
      <c r="F428" s="16">
        <f t="shared" si="12"/>
        <v>10395.94</v>
      </c>
      <c r="G428" s="16">
        <v>88651.1</v>
      </c>
      <c r="H428" s="19">
        <f t="shared" si="13"/>
        <v>88651.1</v>
      </c>
    </row>
    <row r="429" spans="4:8" x14ac:dyDescent="0.25">
      <c r="D429" s="16" t="s">
        <v>56</v>
      </c>
      <c r="E429" s="16">
        <v>7251.91</v>
      </c>
      <c r="F429" s="16">
        <f t="shared" si="12"/>
        <v>7251.91</v>
      </c>
      <c r="G429" s="16">
        <v>106306.07</v>
      </c>
      <c r="H429" s="19">
        <f t="shared" si="13"/>
        <v>106306.07</v>
      </c>
    </row>
    <row r="430" spans="4:8" x14ac:dyDescent="0.25">
      <c r="D430" s="16" t="s">
        <v>26</v>
      </c>
      <c r="E430" s="16">
        <v>738.57</v>
      </c>
      <c r="F430" s="16">
        <f t="shared" si="12"/>
        <v>738.57</v>
      </c>
      <c r="G430" s="16">
        <v>9155.0499999999993</v>
      </c>
      <c r="H430" s="19">
        <f t="shared" si="13"/>
        <v>9155.0499999999993</v>
      </c>
    </row>
    <row r="431" spans="4:8" x14ac:dyDescent="0.25">
      <c r="D431" s="16" t="s">
        <v>48</v>
      </c>
      <c r="E431" s="16">
        <v>382.38</v>
      </c>
      <c r="F431" s="16">
        <f t="shared" si="12"/>
        <v>382.38</v>
      </c>
      <c r="G431" s="16">
        <v>4300.88</v>
      </c>
      <c r="H431" s="19">
        <f t="shared" si="13"/>
        <v>4300.88</v>
      </c>
    </row>
    <row r="432" spans="4:8" x14ac:dyDescent="0.25">
      <c r="D432" s="16" t="s">
        <v>26</v>
      </c>
      <c r="E432" s="16">
        <v>9946.34</v>
      </c>
      <c r="F432" s="16">
        <f t="shared" si="12"/>
        <v>9946.34</v>
      </c>
      <c r="G432" s="16">
        <v>118820.45</v>
      </c>
      <c r="H432" s="19">
        <f t="shared" si="13"/>
        <v>118820.45</v>
      </c>
    </row>
    <row r="433" spans="4:8" x14ac:dyDescent="0.25">
      <c r="D433" s="16" t="s">
        <v>56</v>
      </c>
      <c r="E433" s="16">
        <v>7126.84</v>
      </c>
      <c r="F433" s="16">
        <f t="shared" si="12"/>
        <v>7126.84</v>
      </c>
      <c r="G433" s="16">
        <v>85923.15</v>
      </c>
      <c r="H433" s="19">
        <f t="shared" si="13"/>
        <v>85923.15</v>
      </c>
    </row>
    <row r="434" spans="4:8" x14ac:dyDescent="0.25">
      <c r="D434" s="16" t="s">
        <v>17</v>
      </c>
      <c r="E434" s="16">
        <v>381.55</v>
      </c>
      <c r="F434" s="16">
        <f t="shared" si="12"/>
        <v>381.55</v>
      </c>
      <c r="G434" s="16">
        <v>4871.6099999999997</v>
      </c>
      <c r="H434" s="19">
        <f t="shared" si="13"/>
        <v>4871.6099999999997</v>
      </c>
    </row>
    <row r="435" spans="4:8" x14ac:dyDescent="0.25">
      <c r="D435" s="16" t="s">
        <v>48</v>
      </c>
      <c r="E435" s="16">
        <v>2514.69</v>
      </c>
      <c r="F435" s="16">
        <f t="shared" si="12"/>
        <v>2514.69</v>
      </c>
      <c r="G435" s="16">
        <v>35644.06</v>
      </c>
      <c r="H435" s="19">
        <f t="shared" si="13"/>
        <v>35644.06</v>
      </c>
    </row>
    <row r="436" spans="4:8" x14ac:dyDescent="0.25">
      <c r="D436" s="16" t="s">
        <v>56</v>
      </c>
      <c r="E436" s="16"/>
      <c r="F436" s="16">
        <f t="shared" si="12"/>
        <v>4148.93</v>
      </c>
      <c r="G436" s="16">
        <v>80857.100000000006</v>
      </c>
      <c r="H436" s="19">
        <f t="shared" si="13"/>
        <v>80857.100000000006</v>
      </c>
    </row>
    <row r="437" spans="4:8" x14ac:dyDescent="0.25">
      <c r="D437" s="16" t="s">
        <v>56</v>
      </c>
      <c r="E437" s="16">
        <v>1382.47</v>
      </c>
      <c r="F437" s="16">
        <f t="shared" si="12"/>
        <v>1382.47</v>
      </c>
      <c r="G437" s="16">
        <v>20606.72</v>
      </c>
      <c r="H437" s="19">
        <f t="shared" si="13"/>
        <v>20606.72</v>
      </c>
    </row>
    <row r="438" spans="4:8" x14ac:dyDescent="0.25">
      <c r="D438" s="16" t="s">
        <v>17</v>
      </c>
      <c r="E438" s="16">
        <v>3698.8</v>
      </c>
      <c r="F438" s="16">
        <f t="shared" si="12"/>
        <v>3698.8</v>
      </c>
      <c r="G438" s="16">
        <v>37958.78</v>
      </c>
      <c r="H438" s="19">
        <f t="shared" si="13"/>
        <v>37958.78</v>
      </c>
    </row>
    <row r="439" spans="4:8" x14ac:dyDescent="0.25">
      <c r="D439" s="16" t="s">
        <v>17</v>
      </c>
      <c r="E439" s="16">
        <v>11964.87</v>
      </c>
      <c r="F439" s="16">
        <f t="shared" si="12"/>
        <v>11964.87</v>
      </c>
      <c r="G439" s="16">
        <v>177041.93</v>
      </c>
      <c r="H439" s="19">
        <f t="shared" si="13"/>
        <v>177041.93</v>
      </c>
    </row>
    <row r="440" spans="4:8" x14ac:dyDescent="0.25">
      <c r="D440" s="16" t="s">
        <v>26</v>
      </c>
      <c r="E440" s="16">
        <v>1364.07</v>
      </c>
      <c r="F440" s="16">
        <f t="shared" si="12"/>
        <v>1364.07</v>
      </c>
      <c r="G440" s="16">
        <v>13931.21</v>
      </c>
      <c r="H440" s="19">
        <f t="shared" si="13"/>
        <v>13931.21</v>
      </c>
    </row>
    <row r="441" spans="4:8" x14ac:dyDescent="0.25">
      <c r="D441" s="16" t="s">
        <v>48</v>
      </c>
      <c r="E441" s="16">
        <v>407.12</v>
      </c>
      <c r="F441" s="16">
        <f t="shared" si="12"/>
        <v>407.12</v>
      </c>
      <c r="G441" s="16">
        <v>4510.21</v>
      </c>
      <c r="H441" s="19">
        <f t="shared" si="13"/>
        <v>4510.21</v>
      </c>
    </row>
    <row r="442" spans="4:8" x14ac:dyDescent="0.25">
      <c r="D442" s="16" t="s">
        <v>48</v>
      </c>
      <c r="E442" s="16">
        <v>11644.14</v>
      </c>
      <c r="F442" s="16">
        <f t="shared" si="12"/>
        <v>11644.14</v>
      </c>
      <c r="G442" s="16">
        <v>131374.39999999999</v>
      </c>
      <c r="H442" s="19">
        <f t="shared" si="13"/>
        <v>131374.39999999999</v>
      </c>
    </row>
    <row r="443" spans="4:8" x14ac:dyDescent="0.25">
      <c r="D443" s="16" t="s">
        <v>17</v>
      </c>
      <c r="E443" s="16"/>
      <c r="F443" s="16">
        <f t="shared" si="12"/>
        <v>3263.73</v>
      </c>
      <c r="G443" s="16"/>
      <c r="H443" s="19">
        <f t="shared" si="13"/>
        <v>35034.370000000003</v>
      </c>
    </row>
    <row r="444" spans="4:8" x14ac:dyDescent="0.25">
      <c r="D444" s="16" t="s">
        <v>26</v>
      </c>
      <c r="E444" s="16">
        <v>5196</v>
      </c>
      <c r="F444" s="16">
        <f t="shared" si="12"/>
        <v>5196</v>
      </c>
      <c r="G444" s="16">
        <v>70532.100000000006</v>
      </c>
      <c r="H444" s="19">
        <f t="shared" si="13"/>
        <v>70532.100000000006</v>
      </c>
    </row>
    <row r="445" spans="4:8" x14ac:dyDescent="0.25">
      <c r="D445" s="16" t="s">
        <v>48</v>
      </c>
      <c r="E445" s="16">
        <v>4192.17</v>
      </c>
      <c r="F445" s="16">
        <f t="shared" si="12"/>
        <v>4192.17</v>
      </c>
      <c r="G445" s="16">
        <v>50892.69</v>
      </c>
      <c r="H445" s="19">
        <f t="shared" si="13"/>
        <v>50892.69</v>
      </c>
    </row>
    <row r="446" spans="4:8" x14ac:dyDescent="0.25">
      <c r="D446" s="16" t="s">
        <v>17</v>
      </c>
      <c r="E446" s="16">
        <v>1702.9</v>
      </c>
      <c r="F446" s="16">
        <f t="shared" si="12"/>
        <v>1702.9</v>
      </c>
      <c r="G446" s="16">
        <v>17818.46</v>
      </c>
      <c r="H446" s="19">
        <f t="shared" si="13"/>
        <v>17818.46</v>
      </c>
    </row>
    <row r="447" spans="4:8" x14ac:dyDescent="0.25">
      <c r="D447" s="16" t="s">
        <v>56</v>
      </c>
      <c r="E447" s="16">
        <v>2349.4899999999998</v>
      </c>
      <c r="F447" s="16">
        <f t="shared" si="12"/>
        <v>2349.4899999999998</v>
      </c>
      <c r="G447" s="16">
        <v>20016.09</v>
      </c>
      <c r="H447" s="19">
        <f t="shared" si="13"/>
        <v>20016.09</v>
      </c>
    </row>
    <row r="448" spans="4:8" x14ac:dyDescent="0.25">
      <c r="D448" s="16" t="s">
        <v>48</v>
      </c>
      <c r="E448" s="16">
        <v>5233.92</v>
      </c>
      <c r="F448" s="16">
        <f t="shared" si="12"/>
        <v>5233.92</v>
      </c>
      <c r="G448" s="16">
        <v>58788.42</v>
      </c>
      <c r="H448" s="19">
        <f t="shared" si="13"/>
        <v>58788.42</v>
      </c>
    </row>
    <row r="449" spans="4:8" x14ac:dyDescent="0.25">
      <c r="D449" s="16" t="s">
        <v>26</v>
      </c>
      <c r="E449" s="16">
        <v>6197.89</v>
      </c>
      <c r="F449" s="16">
        <f t="shared" si="12"/>
        <v>6197.89</v>
      </c>
      <c r="G449" s="16">
        <v>51214.720000000001</v>
      </c>
      <c r="H449" s="19">
        <f t="shared" si="13"/>
        <v>51214.720000000001</v>
      </c>
    </row>
    <row r="450" spans="4:8" x14ac:dyDescent="0.25">
      <c r="D450" s="16" t="s">
        <v>26</v>
      </c>
      <c r="E450" s="16">
        <v>2021.49</v>
      </c>
      <c r="F450" s="16">
        <f t="shared" ref="F450:F501" si="14">IF(E450="",VLOOKUP(D450,$A$1:$B$5,2,FALSE),E450)</f>
        <v>2021.49</v>
      </c>
      <c r="G450" s="16">
        <v>21389.72</v>
      </c>
      <c r="H450" s="19">
        <f t="shared" ref="H450:H501" si="15">IF(G450="",VLOOKUP(D450,$A$1:$C$5,3,FALSE),G450)</f>
        <v>21389.72</v>
      </c>
    </row>
    <row r="451" spans="4:8" x14ac:dyDescent="0.25">
      <c r="D451" s="16" t="s">
        <v>26</v>
      </c>
      <c r="E451" s="16">
        <v>200.23</v>
      </c>
      <c r="F451" s="16">
        <f t="shared" si="14"/>
        <v>200.23</v>
      </c>
      <c r="G451" s="16">
        <v>2004.21</v>
      </c>
      <c r="H451" s="19">
        <f t="shared" si="15"/>
        <v>2004.21</v>
      </c>
    </row>
    <row r="452" spans="4:8" x14ac:dyDescent="0.25">
      <c r="D452" s="16" t="s">
        <v>56</v>
      </c>
      <c r="E452" s="16">
        <v>9245.75</v>
      </c>
      <c r="F452" s="16">
        <f t="shared" si="14"/>
        <v>9245.75</v>
      </c>
      <c r="G452" s="16">
        <v>115688.98</v>
      </c>
      <c r="H452" s="19">
        <f t="shared" si="15"/>
        <v>115688.98</v>
      </c>
    </row>
    <row r="453" spans="4:8" x14ac:dyDescent="0.25">
      <c r="D453" s="16" t="s">
        <v>48</v>
      </c>
      <c r="E453" s="16">
        <v>922.02</v>
      </c>
      <c r="F453" s="16">
        <f t="shared" si="14"/>
        <v>922.02</v>
      </c>
      <c r="G453" s="16">
        <v>13684.23</v>
      </c>
      <c r="H453" s="19">
        <f t="shared" si="15"/>
        <v>13684.23</v>
      </c>
    </row>
    <row r="454" spans="4:8" x14ac:dyDescent="0.25">
      <c r="D454" s="16" t="s">
        <v>48</v>
      </c>
      <c r="E454" s="16">
        <v>1512.69</v>
      </c>
      <c r="F454" s="16">
        <f t="shared" si="14"/>
        <v>1512.69</v>
      </c>
      <c r="G454" s="16">
        <v>13057.65</v>
      </c>
      <c r="H454" s="19">
        <f t="shared" si="15"/>
        <v>13057.65</v>
      </c>
    </row>
    <row r="455" spans="4:8" x14ac:dyDescent="0.25">
      <c r="D455" s="16" t="s">
        <v>56</v>
      </c>
      <c r="E455" s="16">
        <v>3402.59</v>
      </c>
      <c r="F455" s="16">
        <f t="shared" si="14"/>
        <v>3402.59</v>
      </c>
      <c r="G455" s="16">
        <v>41370.589999999997</v>
      </c>
      <c r="H455" s="19">
        <f t="shared" si="15"/>
        <v>41370.589999999997</v>
      </c>
    </row>
    <row r="456" spans="4:8" x14ac:dyDescent="0.25">
      <c r="D456" s="16" t="s">
        <v>48</v>
      </c>
      <c r="E456" s="16">
        <v>57.96</v>
      </c>
      <c r="F456" s="16">
        <f t="shared" si="14"/>
        <v>57.96</v>
      </c>
      <c r="G456" s="16">
        <v>619.66999999999996</v>
      </c>
      <c r="H456" s="19">
        <f t="shared" si="15"/>
        <v>619.66999999999996</v>
      </c>
    </row>
    <row r="457" spans="4:8" x14ac:dyDescent="0.25">
      <c r="D457" s="16" t="s">
        <v>56</v>
      </c>
      <c r="E457" s="16">
        <v>9384.2999999999993</v>
      </c>
      <c r="F457" s="16">
        <f t="shared" si="14"/>
        <v>9384.2999999999993</v>
      </c>
      <c r="G457" s="16">
        <v>113196.3</v>
      </c>
      <c r="H457" s="19">
        <f t="shared" si="15"/>
        <v>113196.3</v>
      </c>
    </row>
    <row r="458" spans="4:8" x14ac:dyDescent="0.25">
      <c r="D458" s="16" t="s">
        <v>56</v>
      </c>
      <c r="E458" s="16">
        <v>10446.469999999999</v>
      </c>
      <c r="F458" s="16">
        <f t="shared" si="14"/>
        <v>10446.469999999999</v>
      </c>
      <c r="G458" s="16">
        <v>153350.21</v>
      </c>
      <c r="H458" s="19">
        <f t="shared" si="15"/>
        <v>153350.21</v>
      </c>
    </row>
    <row r="459" spans="4:8" x14ac:dyDescent="0.25">
      <c r="D459" s="16" t="s">
        <v>56</v>
      </c>
      <c r="E459" s="16">
        <v>9986.66</v>
      </c>
      <c r="F459" s="16">
        <f t="shared" si="14"/>
        <v>9986.66</v>
      </c>
      <c r="G459" s="16">
        <v>131548.75</v>
      </c>
      <c r="H459" s="19">
        <f t="shared" si="15"/>
        <v>131548.75</v>
      </c>
    </row>
    <row r="460" spans="4:8" x14ac:dyDescent="0.25">
      <c r="D460" s="16" t="s">
        <v>26</v>
      </c>
      <c r="E460" s="16">
        <v>513.24</v>
      </c>
      <c r="F460" s="16">
        <f t="shared" si="14"/>
        <v>513.24</v>
      </c>
      <c r="G460" s="16">
        <v>4253.3</v>
      </c>
      <c r="H460" s="19">
        <f t="shared" si="15"/>
        <v>4253.3</v>
      </c>
    </row>
    <row r="461" spans="4:8" x14ac:dyDescent="0.25">
      <c r="D461" s="16" t="s">
        <v>48</v>
      </c>
      <c r="E461" s="16">
        <v>10497.73</v>
      </c>
      <c r="F461" s="16">
        <f t="shared" si="14"/>
        <v>10497.73</v>
      </c>
      <c r="G461" s="16">
        <v>150782.57</v>
      </c>
      <c r="H461" s="19">
        <f t="shared" si="15"/>
        <v>150782.57</v>
      </c>
    </row>
    <row r="462" spans="4:8" x14ac:dyDescent="0.25">
      <c r="D462" s="16" t="s">
        <v>56</v>
      </c>
      <c r="E462" s="16">
        <v>5812.73</v>
      </c>
      <c r="F462" s="16">
        <f t="shared" si="14"/>
        <v>5812.73</v>
      </c>
      <c r="G462" s="16">
        <v>69762.039999999994</v>
      </c>
      <c r="H462" s="19">
        <f t="shared" si="15"/>
        <v>69762.039999999994</v>
      </c>
    </row>
    <row r="463" spans="4:8" x14ac:dyDescent="0.25">
      <c r="D463" s="16" t="s">
        <v>48</v>
      </c>
      <c r="E463" s="16">
        <v>10.84</v>
      </c>
      <c r="F463" s="16">
        <f t="shared" si="14"/>
        <v>10.84</v>
      </c>
      <c r="G463" s="16"/>
      <c r="H463" s="19">
        <f t="shared" si="15"/>
        <v>43569.509999999995</v>
      </c>
    </row>
    <row r="464" spans="4:8" x14ac:dyDescent="0.25">
      <c r="D464" s="16" t="s">
        <v>26</v>
      </c>
      <c r="E464" s="16">
        <v>6462.05</v>
      </c>
      <c r="F464" s="16">
        <f t="shared" si="14"/>
        <v>6462.05</v>
      </c>
      <c r="G464" s="16">
        <v>79063.45</v>
      </c>
      <c r="H464" s="19">
        <f t="shared" si="15"/>
        <v>79063.45</v>
      </c>
    </row>
    <row r="465" spans="4:8" x14ac:dyDescent="0.25">
      <c r="D465" s="16" t="s">
        <v>56</v>
      </c>
      <c r="E465" s="16">
        <v>7660.29</v>
      </c>
      <c r="F465" s="16">
        <f t="shared" si="14"/>
        <v>7660.29</v>
      </c>
      <c r="G465" s="16">
        <v>88166.65</v>
      </c>
      <c r="H465" s="19">
        <f t="shared" si="15"/>
        <v>88166.65</v>
      </c>
    </row>
    <row r="466" spans="4:8" x14ac:dyDescent="0.25">
      <c r="D466" s="16" t="s">
        <v>17</v>
      </c>
      <c r="E466" s="16">
        <v>6232.67</v>
      </c>
      <c r="F466" s="16">
        <f t="shared" si="14"/>
        <v>6232.67</v>
      </c>
      <c r="G466" s="16">
        <v>91645.53</v>
      </c>
      <c r="H466" s="19">
        <f t="shared" si="15"/>
        <v>91645.53</v>
      </c>
    </row>
    <row r="467" spans="4:8" x14ac:dyDescent="0.25">
      <c r="D467" s="16" t="s">
        <v>26</v>
      </c>
      <c r="E467" s="16">
        <v>5583.47</v>
      </c>
      <c r="F467" s="16">
        <f t="shared" si="14"/>
        <v>5583.47</v>
      </c>
      <c r="G467" s="16">
        <v>62276.14</v>
      </c>
      <c r="H467" s="19">
        <f t="shared" si="15"/>
        <v>62276.14</v>
      </c>
    </row>
    <row r="468" spans="4:8" x14ac:dyDescent="0.25">
      <c r="D468" s="16" t="s">
        <v>17</v>
      </c>
      <c r="E468" s="16">
        <v>10.32</v>
      </c>
      <c r="F468" s="16">
        <f t="shared" si="14"/>
        <v>10.32</v>
      </c>
      <c r="G468" s="16">
        <v>141.13999999999999</v>
      </c>
      <c r="H468" s="19">
        <f t="shared" si="15"/>
        <v>141.13999999999999</v>
      </c>
    </row>
    <row r="469" spans="4:8" x14ac:dyDescent="0.25">
      <c r="D469" s="16" t="s">
        <v>48</v>
      </c>
      <c r="E469" s="16">
        <v>3571.15</v>
      </c>
      <c r="F469" s="16">
        <f t="shared" si="14"/>
        <v>3571.15</v>
      </c>
      <c r="G469" s="16">
        <v>49502</v>
      </c>
      <c r="H469" s="19">
        <f t="shared" si="15"/>
        <v>49502</v>
      </c>
    </row>
    <row r="470" spans="4:8" x14ac:dyDescent="0.25">
      <c r="D470" s="16" t="s">
        <v>48</v>
      </c>
      <c r="E470" s="16">
        <v>65.510000000000005</v>
      </c>
      <c r="F470" s="16">
        <f t="shared" si="14"/>
        <v>65.510000000000005</v>
      </c>
      <c r="G470" s="16">
        <v>974.57</v>
      </c>
      <c r="H470" s="19">
        <f t="shared" si="15"/>
        <v>974.57</v>
      </c>
    </row>
    <row r="471" spans="4:8" x14ac:dyDescent="0.25">
      <c r="D471" s="16" t="s">
        <v>26</v>
      </c>
      <c r="E471" s="16">
        <v>3812.34</v>
      </c>
      <c r="F471" s="16">
        <f t="shared" si="14"/>
        <v>3812.34</v>
      </c>
      <c r="G471" s="16">
        <v>32749.16</v>
      </c>
      <c r="H471" s="19">
        <f t="shared" si="15"/>
        <v>32749.16</v>
      </c>
    </row>
    <row r="472" spans="4:8" x14ac:dyDescent="0.25">
      <c r="D472" s="16" t="s">
        <v>48</v>
      </c>
      <c r="E472" s="16">
        <v>10629.74</v>
      </c>
      <c r="F472" s="16">
        <f t="shared" si="14"/>
        <v>10629.74</v>
      </c>
      <c r="G472" s="16">
        <v>133115.06</v>
      </c>
      <c r="H472" s="19">
        <f t="shared" si="15"/>
        <v>133115.06</v>
      </c>
    </row>
    <row r="473" spans="4:8" x14ac:dyDescent="0.25">
      <c r="D473" s="16" t="s">
        <v>17</v>
      </c>
      <c r="E473" s="16">
        <v>6074.19</v>
      </c>
      <c r="F473" s="16">
        <f t="shared" si="14"/>
        <v>6074.19</v>
      </c>
      <c r="G473" s="16">
        <v>50257.82</v>
      </c>
      <c r="H473" s="19">
        <f t="shared" si="15"/>
        <v>50257.82</v>
      </c>
    </row>
    <row r="474" spans="4:8" x14ac:dyDescent="0.25">
      <c r="D474" s="16" t="s">
        <v>56</v>
      </c>
      <c r="E474" s="16">
        <v>183.72</v>
      </c>
      <c r="F474" s="16">
        <f t="shared" si="14"/>
        <v>183.72</v>
      </c>
      <c r="G474" s="16">
        <v>2379.79</v>
      </c>
      <c r="H474" s="19">
        <f t="shared" si="15"/>
        <v>2379.79</v>
      </c>
    </row>
    <row r="475" spans="4:8" x14ac:dyDescent="0.25">
      <c r="D475" s="16" t="s">
        <v>56</v>
      </c>
      <c r="E475" s="16">
        <v>7745.26</v>
      </c>
      <c r="F475" s="16">
        <f t="shared" si="14"/>
        <v>7745.26</v>
      </c>
      <c r="G475" s="16">
        <v>115690.19</v>
      </c>
      <c r="H475" s="19">
        <f t="shared" si="15"/>
        <v>115690.19</v>
      </c>
    </row>
    <row r="476" spans="4:8" x14ac:dyDescent="0.25">
      <c r="D476" s="16" t="s">
        <v>56</v>
      </c>
      <c r="E476" s="16">
        <v>9692.11</v>
      </c>
      <c r="F476" s="16">
        <f t="shared" si="14"/>
        <v>9692.11</v>
      </c>
      <c r="G476" s="16">
        <v>113092.19</v>
      </c>
      <c r="H476" s="19">
        <f t="shared" si="15"/>
        <v>113092.19</v>
      </c>
    </row>
    <row r="477" spans="4:8" x14ac:dyDescent="0.25">
      <c r="D477" s="16" t="s">
        <v>26</v>
      </c>
      <c r="E477" s="16">
        <v>141.96</v>
      </c>
      <c r="F477" s="16">
        <f t="shared" si="14"/>
        <v>141.96</v>
      </c>
      <c r="G477" s="16">
        <v>1741.66</v>
      </c>
      <c r="H477" s="19">
        <f t="shared" si="15"/>
        <v>1741.66</v>
      </c>
    </row>
    <row r="478" spans="4:8" x14ac:dyDescent="0.25">
      <c r="D478" s="16" t="s">
        <v>48</v>
      </c>
      <c r="E478" s="16">
        <v>4073.63</v>
      </c>
      <c r="F478" s="16">
        <f t="shared" si="14"/>
        <v>4073.63</v>
      </c>
      <c r="G478" s="16">
        <v>42965.74</v>
      </c>
      <c r="H478" s="19">
        <f t="shared" si="15"/>
        <v>42965.74</v>
      </c>
    </row>
    <row r="479" spans="4:8" x14ac:dyDescent="0.25">
      <c r="D479" s="16" t="s">
        <v>17</v>
      </c>
      <c r="E479" s="16"/>
      <c r="F479" s="16">
        <f t="shared" si="14"/>
        <v>3263.73</v>
      </c>
      <c r="G479" s="16"/>
      <c r="H479" s="19">
        <f t="shared" si="15"/>
        <v>35034.370000000003</v>
      </c>
    </row>
    <row r="480" spans="4:8" x14ac:dyDescent="0.25">
      <c r="D480" s="16" t="s">
        <v>48</v>
      </c>
      <c r="E480" s="16"/>
      <c r="F480" s="16">
        <f t="shared" si="14"/>
        <v>3571.15</v>
      </c>
      <c r="G480" s="16">
        <v>55615.09</v>
      </c>
      <c r="H480" s="19">
        <f t="shared" si="15"/>
        <v>55615.09</v>
      </c>
    </row>
    <row r="481" spans="4:8" x14ac:dyDescent="0.25">
      <c r="D481" s="16" t="s">
        <v>48</v>
      </c>
      <c r="E481" s="16">
        <v>44.94</v>
      </c>
      <c r="F481" s="16">
        <f t="shared" si="14"/>
        <v>44.94</v>
      </c>
      <c r="G481" s="16">
        <v>603.15</v>
      </c>
      <c r="H481" s="19">
        <f t="shared" si="15"/>
        <v>603.15</v>
      </c>
    </row>
    <row r="482" spans="4:8" x14ac:dyDescent="0.25">
      <c r="D482" s="16" t="s">
        <v>48</v>
      </c>
      <c r="E482" s="16">
        <v>10176.17</v>
      </c>
      <c r="F482" s="16">
        <f t="shared" si="14"/>
        <v>10176.17</v>
      </c>
      <c r="G482" s="16">
        <v>129769.41</v>
      </c>
      <c r="H482" s="19">
        <f t="shared" si="15"/>
        <v>129769.41</v>
      </c>
    </row>
    <row r="483" spans="4:8" x14ac:dyDescent="0.25">
      <c r="D483" s="16" t="s">
        <v>56</v>
      </c>
      <c r="E483" s="16">
        <v>56.73</v>
      </c>
      <c r="F483" s="16">
        <f t="shared" si="14"/>
        <v>56.73</v>
      </c>
      <c r="G483" s="16">
        <v>474.63</v>
      </c>
      <c r="H483" s="19">
        <f t="shared" si="15"/>
        <v>474.63</v>
      </c>
    </row>
    <row r="484" spans="4:8" x14ac:dyDescent="0.25">
      <c r="D484" s="16" t="s">
        <v>17</v>
      </c>
      <c r="E484" s="16">
        <v>473.53</v>
      </c>
      <c r="F484" s="16">
        <f t="shared" si="14"/>
        <v>473.53</v>
      </c>
      <c r="G484" s="16">
        <v>5879.45</v>
      </c>
      <c r="H484" s="19">
        <f t="shared" si="15"/>
        <v>5879.45</v>
      </c>
    </row>
    <row r="485" spans="4:8" x14ac:dyDescent="0.25">
      <c r="D485" s="16" t="s">
        <v>17</v>
      </c>
      <c r="E485" s="16">
        <v>7948.66</v>
      </c>
      <c r="F485" s="16">
        <f t="shared" si="14"/>
        <v>7948.66</v>
      </c>
      <c r="G485" s="16">
        <v>82209.38</v>
      </c>
      <c r="H485" s="19">
        <f t="shared" si="15"/>
        <v>82209.38</v>
      </c>
    </row>
    <row r="486" spans="4:8" x14ac:dyDescent="0.25">
      <c r="D486" s="16" t="s">
        <v>48</v>
      </c>
      <c r="E486" s="16">
        <v>76.989999999999995</v>
      </c>
      <c r="F486" s="16">
        <f t="shared" si="14"/>
        <v>76.989999999999995</v>
      </c>
      <c r="G486" s="16">
        <v>793.6</v>
      </c>
      <c r="H486" s="19">
        <f t="shared" si="15"/>
        <v>793.6</v>
      </c>
    </row>
    <row r="487" spans="4:8" x14ac:dyDescent="0.25">
      <c r="D487" s="16" t="s">
        <v>56</v>
      </c>
      <c r="E487" s="16">
        <v>11225.51</v>
      </c>
      <c r="F487" s="16">
        <f t="shared" si="14"/>
        <v>11225.51</v>
      </c>
      <c r="G487" s="16">
        <v>133648.03</v>
      </c>
      <c r="H487" s="19">
        <f t="shared" si="15"/>
        <v>133648.03</v>
      </c>
    </row>
    <row r="488" spans="4:8" x14ac:dyDescent="0.25">
      <c r="D488" s="16" t="s">
        <v>56</v>
      </c>
      <c r="E488" s="16">
        <v>3856.41</v>
      </c>
      <c r="F488" s="16">
        <f t="shared" si="14"/>
        <v>3856.41</v>
      </c>
      <c r="G488" s="16">
        <v>41286.53</v>
      </c>
      <c r="H488" s="19">
        <f t="shared" si="15"/>
        <v>41286.53</v>
      </c>
    </row>
    <row r="489" spans="4:8" x14ac:dyDescent="0.25">
      <c r="D489" s="16" t="s">
        <v>17</v>
      </c>
      <c r="E489" s="16">
        <v>352.71</v>
      </c>
      <c r="F489" s="16">
        <f t="shared" si="14"/>
        <v>352.71</v>
      </c>
      <c r="G489" s="16">
        <v>3443.85</v>
      </c>
      <c r="H489" s="19">
        <f t="shared" si="15"/>
        <v>3443.85</v>
      </c>
    </row>
    <row r="490" spans="4:8" x14ac:dyDescent="0.25">
      <c r="D490" s="16" t="s">
        <v>56</v>
      </c>
      <c r="E490" s="16">
        <v>1304.92</v>
      </c>
      <c r="F490" s="16">
        <f t="shared" si="14"/>
        <v>1304.92</v>
      </c>
      <c r="G490" s="16"/>
      <c r="H490" s="19">
        <f t="shared" si="15"/>
        <v>47369.56</v>
      </c>
    </row>
    <row r="491" spans="4:8" x14ac:dyDescent="0.25">
      <c r="D491" s="16" t="s">
        <v>56</v>
      </c>
      <c r="E491" s="16">
        <v>6048.75</v>
      </c>
      <c r="F491" s="16">
        <f t="shared" si="14"/>
        <v>6048.75</v>
      </c>
      <c r="G491" s="16">
        <v>89224.33</v>
      </c>
      <c r="H491" s="19">
        <f t="shared" si="15"/>
        <v>89224.33</v>
      </c>
    </row>
    <row r="492" spans="4:8" x14ac:dyDescent="0.25">
      <c r="D492" s="16" t="s">
        <v>56</v>
      </c>
      <c r="E492" s="16">
        <v>5930.53</v>
      </c>
      <c r="F492" s="16">
        <f t="shared" si="14"/>
        <v>5930.53</v>
      </c>
      <c r="G492" s="16">
        <v>72464.59</v>
      </c>
      <c r="H492" s="19">
        <f t="shared" si="15"/>
        <v>72464.59</v>
      </c>
    </row>
    <row r="493" spans="4:8" x14ac:dyDescent="0.25">
      <c r="D493" s="16" t="s">
        <v>26</v>
      </c>
      <c r="E493" s="16">
        <v>5753.04</v>
      </c>
      <c r="F493" s="16">
        <f t="shared" si="14"/>
        <v>5753.04</v>
      </c>
      <c r="G493" s="16">
        <v>52080.05</v>
      </c>
      <c r="H493" s="19">
        <f t="shared" si="15"/>
        <v>52080.05</v>
      </c>
    </row>
    <row r="494" spans="4:8" x14ac:dyDescent="0.25">
      <c r="D494" s="16" t="s">
        <v>48</v>
      </c>
      <c r="E494" s="16">
        <v>2163.38</v>
      </c>
      <c r="F494" s="16">
        <f t="shared" si="14"/>
        <v>2163.38</v>
      </c>
      <c r="G494" s="16"/>
      <c r="H494" s="19">
        <f t="shared" si="15"/>
        <v>43569.509999999995</v>
      </c>
    </row>
    <row r="495" spans="4:8" x14ac:dyDescent="0.25">
      <c r="D495" s="16" t="s">
        <v>17</v>
      </c>
      <c r="E495" s="16">
        <v>2692.02</v>
      </c>
      <c r="F495" s="16">
        <f t="shared" si="14"/>
        <v>2692.02</v>
      </c>
      <c r="G495" s="16">
        <v>34041.360000000001</v>
      </c>
      <c r="H495" s="19">
        <f t="shared" si="15"/>
        <v>34041.360000000001</v>
      </c>
    </row>
    <row r="496" spans="4:8" x14ac:dyDescent="0.25">
      <c r="D496" s="16" t="s">
        <v>17</v>
      </c>
      <c r="E496" s="16">
        <v>7392.84</v>
      </c>
      <c r="F496" s="16">
        <f t="shared" si="14"/>
        <v>7392.84</v>
      </c>
      <c r="G496" s="16">
        <v>106584.24</v>
      </c>
      <c r="H496" s="19">
        <f t="shared" si="15"/>
        <v>106584.24</v>
      </c>
    </row>
    <row r="497" spans="4:8" x14ac:dyDescent="0.25">
      <c r="D497" s="16" t="s">
        <v>26</v>
      </c>
      <c r="E497" s="16"/>
      <c r="F497" s="16">
        <f t="shared" si="14"/>
        <v>4205.87</v>
      </c>
      <c r="G497" s="16"/>
      <c r="H497" s="19">
        <f t="shared" si="15"/>
        <v>44766.91</v>
      </c>
    </row>
    <row r="498" spans="4:8" x14ac:dyDescent="0.25">
      <c r="D498" s="16" t="s">
        <v>48</v>
      </c>
      <c r="E498" s="16">
        <v>2069.85</v>
      </c>
      <c r="F498" s="16">
        <f t="shared" si="14"/>
        <v>2069.85</v>
      </c>
      <c r="G498" s="16">
        <v>26064.34</v>
      </c>
      <c r="H498" s="19">
        <f t="shared" si="15"/>
        <v>26064.34</v>
      </c>
    </row>
    <row r="499" spans="4:8" x14ac:dyDescent="0.25">
      <c r="D499" s="16" t="s">
        <v>17</v>
      </c>
      <c r="E499" s="16">
        <v>1302.82</v>
      </c>
      <c r="F499" s="16">
        <f t="shared" si="14"/>
        <v>1302.82</v>
      </c>
      <c r="G499" s="16">
        <v>16461.060000000001</v>
      </c>
      <c r="H499" s="19">
        <f t="shared" si="15"/>
        <v>16461.060000000001</v>
      </c>
    </row>
    <row r="500" spans="4:8" x14ac:dyDescent="0.25">
      <c r="D500" s="16" t="s">
        <v>56</v>
      </c>
      <c r="E500" s="16">
        <v>9385.76</v>
      </c>
      <c r="F500" s="16">
        <f t="shared" si="14"/>
        <v>9385.76</v>
      </c>
      <c r="G500" s="16">
        <v>83558.25</v>
      </c>
      <c r="H500" s="19">
        <f t="shared" si="15"/>
        <v>83558.25</v>
      </c>
    </row>
    <row r="501" spans="4:8" x14ac:dyDescent="0.25">
      <c r="D501" s="16" t="s">
        <v>17</v>
      </c>
      <c r="E501" s="16">
        <v>10325.74</v>
      </c>
      <c r="F501" s="16">
        <f t="shared" si="14"/>
        <v>10325.74</v>
      </c>
      <c r="G501" s="16">
        <v>133840.57</v>
      </c>
      <c r="H501" s="19">
        <f t="shared" si="15"/>
        <v>133840.57</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FA8362-EAE9-4306-8953-6BF0617DED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Ev Raw Data</vt:lpstr>
      <vt:lpstr>Ev charging Cleaned</vt:lpstr>
      <vt:lpstr> Report   </vt:lpstr>
      <vt:lpstr>Dashboads</vt:lpstr>
      <vt:lpstr>Formulas Used</vt:lpstr>
      <vt:lpstr>Pivot</vt:lpstr>
      <vt:lpstr>Pivots Used for Inights</vt:lpstr>
      <vt:lpstr>Table1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2026-05-23T06:11:44Z</dcterms:created>
  <dcterms:modified xsi:type="dcterms:W3CDTF">2026-06-05T06:39:33Z</dcterms:modified>
</cp:coreProperties>
</file>